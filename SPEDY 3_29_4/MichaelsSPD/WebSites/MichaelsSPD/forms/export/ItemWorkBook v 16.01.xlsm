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5" windowWidth="15480" windowHeight="6270" tabRatio="830"/>
  </bookViews>
  <sheets>
    <sheet name="00-Securtiy" sheetId="18" r:id="rId1"/>
    <sheet name="Signature" sheetId="14" state="veryHidden" r:id="rId2"/>
    <sheet name="Add Change" sheetId="4" state="veryHidden" r:id="rId3"/>
    <sheet name="Like Item" sheetId="17" state="veryHidden" r:id="rId4"/>
    <sheet name="Attachments" sheetId="16" state="veryHidden" r:id="rId5"/>
  </sheets>
  <functionGroups builtInGroupCount="17"/>
  <definedNames>
    <definedName name="_Fill" localSheetId="0" hidden="1">#REF!</definedName>
    <definedName name="_Fill" localSheetId="3" hidden="1">#REF!</definedName>
    <definedName name="_Fill" hidden="1">'Add Change'!$B$15:$AV$15</definedName>
    <definedName name="Hazardous" localSheetId="0">#REF!</definedName>
    <definedName name="Hazardous">'Add Change'!$AY$23:$AY$122</definedName>
    <definedName name="_xlnm.Print_Area" localSheetId="2">'Add Change'!$A$1:$CJ$59</definedName>
    <definedName name="_xlnm.Print_Area" localSheetId="3">'Like Item'!$A$1:$AI$118</definedName>
    <definedName name="_xlnm.Print_Area" localSheetId="1">Signature!#REF!</definedName>
    <definedName name="_xlnm.Print_Titles" localSheetId="2">'Add Change'!$A:$E,'Add Change'!$3:$21</definedName>
    <definedName name="_xlnm.Print_Titles" localSheetId="3">'Like Item'!$1:$16</definedName>
    <definedName name="retail" localSheetId="0">#REF!</definedName>
    <definedName name="retail">'Add Change'!$CW$23:$CW$27</definedName>
    <definedName name="SHIPPOINTS" localSheetId="0">#REF!</definedName>
    <definedName name="Version" localSheetId="0">Signature!$A$2</definedName>
    <definedName name="Version">Signature!$G$2</definedName>
  </definedNames>
  <calcPr calcId="145621"/>
</workbook>
</file>

<file path=xl/calcChain.xml><?xml version="1.0" encoding="utf-8"?>
<calcChain xmlns="http://schemas.openxmlformats.org/spreadsheetml/2006/main">
  <c r="G60" i="14" l="1"/>
  <c r="G59" i="14"/>
  <c r="G58" i="14"/>
  <c r="G57" i="14"/>
  <c r="G56" i="14"/>
  <c r="G55" i="14"/>
  <c r="G54" i="14"/>
  <c r="G53" i="14" s="1"/>
  <c r="G52" i="14" s="1"/>
  <c r="G51" i="14" s="1"/>
  <c r="G50" i="14" s="1"/>
  <c r="G49" i="14" s="1"/>
  <c r="G48" i="14" s="1"/>
  <c r="G47" i="14" s="1"/>
  <c r="G46" i="14" s="1"/>
  <c r="G45" i="14" s="1"/>
  <c r="G44" i="14" s="1"/>
  <c r="G43" i="14" s="1"/>
  <c r="G42" i="14" s="1"/>
  <c r="G41" i="14" s="1"/>
  <c r="G40" i="14" s="1"/>
  <c r="G39" i="14" s="1"/>
  <c r="G38" i="14" s="1"/>
  <c r="G37" i="14" s="1"/>
  <c r="G61" i="14"/>
  <c r="BO272" i="4"/>
  <c r="BO271" i="4"/>
  <c r="BO270" i="4"/>
  <c r="BO269" i="4"/>
  <c r="BO268" i="4"/>
  <c r="BO267" i="4"/>
  <c r="BO266" i="4"/>
  <c r="BO265" i="4"/>
  <c r="BO264" i="4"/>
  <c r="BO263" i="4"/>
  <c r="BO262" i="4"/>
  <c r="BO261" i="4"/>
  <c r="BO260" i="4"/>
  <c r="BO259" i="4"/>
  <c r="BO258" i="4"/>
  <c r="BO257" i="4"/>
  <c r="BO256" i="4"/>
  <c r="BO255" i="4"/>
  <c r="BO254" i="4"/>
  <c r="BO253" i="4"/>
  <c r="BO252" i="4"/>
  <c r="BO251" i="4"/>
  <c r="BO250" i="4"/>
  <c r="BO249" i="4"/>
  <c r="BO248" i="4"/>
  <c r="BO247" i="4"/>
  <c r="BO246" i="4"/>
  <c r="BO245" i="4"/>
  <c r="BO244" i="4"/>
  <c r="BO243" i="4"/>
  <c r="BO242" i="4"/>
  <c r="BO241" i="4"/>
  <c r="BO240" i="4"/>
  <c r="BO239" i="4"/>
  <c r="BO238" i="4"/>
  <c r="BO237" i="4"/>
  <c r="BO236" i="4"/>
  <c r="BO235" i="4"/>
  <c r="BO234" i="4"/>
  <c r="BO233" i="4"/>
  <c r="BO232" i="4"/>
  <c r="BO231" i="4"/>
  <c r="BO230" i="4"/>
  <c r="BO229" i="4"/>
  <c r="BO228" i="4"/>
  <c r="BO227" i="4"/>
  <c r="BO226" i="4"/>
  <c r="BO225" i="4"/>
  <c r="BO224" i="4"/>
  <c r="BO223" i="4"/>
  <c r="BO222" i="4"/>
  <c r="BO221" i="4"/>
  <c r="BO220" i="4"/>
  <c r="BO219" i="4"/>
  <c r="BO218" i="4"/>
  <c r="BO217" i="4"/>
  <c r="BO216" i="4"/>
  <c r="BO215" i="4"/>
  <c r="BO214" i="4"/>
  <c r="BO213" i="4"/>
  <c r="BO212" i="4"/>
  <c r="BO211" i="4"/>
  <c r="BO210" i="4"/>
  <c r="BO209" i="4"/>
  <c r="BO208" i="4"/>
  <c r="BO207" i="4"/>
  <c r="BO206" i="4"/>
  <c r="BO205" i="4"/>
  <c r="BO204" i="4"/>
  <c r="BO203" i="4"/>
  <c r="BO202" i="4"/>
  <c r="BO201" i="4"/>
  <c r="BO200" i="4"/>
  <c r="BO199" i="4"/>
  <c r="BO198" i="4"/>
  <c r="BO197" i="4"/>
  <c r="BO196" i="4"/>
  <c r="BO195" i="4"/>
  <c r="BO194" i="4"/>
  <c r="BO193" i="4"/>
  <c r="BO192" i="4"/>
  <c r="BO191" i="4"/>
  <c r="BO190" i="4"/>
  <c r="BO189" i="4"/>
  <c r="BO188" i="4"/>
  <c r="BO187" i="4"/>
  <c r="BO186" i="4"/>
  <c r="BO185" i="4"/>
  <c r="BO184" i="4"/>
  <c r="BO183" i="4"/>
  <c r="BO182" i="4"/>
  <c r="BO181" i="4"/>
  <c r="BO180" i="4"/>
  <c r="BO179" i="4"/>
  <c r="BO178" i="4"/>
  <c r="BO177" i="4"/>
  <c r="BO176" i="4"/>
  <c r="BO175" i="4"/>
  <c r="BO174" i="4"/>
  <c r="BO173" i="4"/>
  <c r="BO172" i="4"/>
  <c r="BO171" i="4"/>
  <c r="BO170" i="4"/>
  <c r="BO169" i="4"/>
  <c r="BO168" i="4"/>
  <c r="BO167" i="4"/>
  <c r="BO166" i="4"/>
  <c r="BO165" i="4"/>
  <c r="BO164" i="4"/>
  <c r="BO163" i="4"/>
  <c r="BO162" i="4"/>
  <c r="BO161" i="4"/>
  <c r="BO160" i="4"/>
  <c r="BO159" i="4"/>
  <c r="BO158" i="4"/>
  <c r="BO157" i="4"/>
  <c r="BO156" i="4"/>
  <c r="BO155" i="4"/>
  <c r="BO154" i="4"/>
  <c r="BO153" i="4"/>
  <c r="BO152" i="4"/>
  <c r="BO151" i="4"/>
  <c r="BO150" i="4"/>
  <c r="BO149" i="4"/>
  <c r="BO148" i="4"/>
  <c r="BO147" i="4"/>
  <c r="BO146" i="4"/>
  <c r="BO145" i="4"/>
  <c r="BO144" i="4"/>
  <c r="BO143" i="4"/>
  <c r="BO142" i="4"/>
  <c r="BO141" i="4"/>
  <c r="BO140" i="4"/>
  <c r="BO139" i="4"/>
  <c r="BO138" i="4"/>
  <c r="BO137" i="4"/>
  <c r="BO136" i="4"/>
  <c r="BO135" i="4"/>
  <c r="BO134" i="4"/>
  <c r="BO133" i="4"/>
  <c r="BO132" i="4"/>
  <c r="BO131" i="4"/>
  <c r="BO130" i="4"/>
  <c r="BO129" i="4"/>
  <c r="BO128" i="4"/>
  <c r="BO127" i="4"/>
  <c r="BO126" i="4"/>
  <c r="BO125" i="4"/>
  <c r="BO124" i="4"/>
  <c r="BO123" i="4"/>
  <c r="BO122" i="4"/>
  <c r="BO121" i="4"/>
  <c r="BO120" i="4"/>
  <c r="BO119" i="4"/>
  <c r="BO118" i="4"/>
  <c r="BO117" i="4"/>
  <c r="BO116" i="4"/>
  <c r="BO115" i="4"/>
  <c r="BO114" i="4"/>
  <c r="BO113" i="4"/>
  <c r="BO112" i="4"/>
  <c r="BO111" i="4"/>
  <c r="BO110" i="4"/>
  <c r="BO109" i="4"/>
  <c r="BO108" i="4"/>
  <c r="BO107" i="4"/>
  <c r="BO106" i="4"/>
  <c r="BO105" i="4"/>
  <c r="BO104" i="4"/>
  <c r="BO103" i="4"/>
  <c r="BO102" i="4"/>
  <c r="BO101" i="4"/>
  <c r="BO100" i="4"/>
  <c r="BO99" i="4"/>
  <c r="BO98" i="4"/>
  <c r="BO97" i="4"/>
  <c r="BO96" i="4"/>
  <c r="BO95" i="4"/>
  <c r="BO94" i="4"/>
  <c r="BO93" i="4"/>
  <c r="BO92" i="4"/>
  <c r="BO91" i="4"/>
  <c r="BO90" i="4"/>
  <c r="BO89" i="4"/>
  <c r="BO88" i="4"/>
  <c r="BO87" i="4"/>
  <c r="BO86" i="4"/>
  <c r="BO85" i="4"/>
  <c r="BO84" i="4"/>
  <c r="BO83" i="4"/>
  <c r="BO82" i="4"/>
  <c r="BO81" i="4"/>
  <c r="BO80" i="4"/>
  <c r="BO79" i="4"/>
  <c r="BO78" i="4"/>
  <c r="BO77" i="4"/>
  <c r="BO76" i="4"/>
  <c r="BO75" i="4"/>
  <c r="BO74" i="4"/>
  <c r="BO73" i="4"/>
  <c r="BO72" i="4"/>
  <c r="BO71" i="4"/>
  <c r="BO70" i="4"/>
  <c r="BO69" i="4"/>
  <c r="BO68" i="4"/>
  <c r="BO67" i="4"/>
  <c r="BO66" i="4"/>
  <c r="BO65" i="4"/>
  <c r="BO64" i="4"/>
  <c r="BO63" i="4"/>
  <c r="BO62" i="4"/>
  <c r="BO61" i="4"/>
  <c r="BO60" i="4"/>
  <c r="BO59" i="4"/>
  <c r="BO58" i="4"/>
  <c r="BO57" i="4"/>
  <c r="BO56" i="4"/>
  <c r="BO55" i="4"/>
  <c r="BO54" i="4"/>
  <c r="BO53" i="4"/>
  <c r="BO52" i="4"/>
  <c r="BO51" i="4"/>
  <c r="BO50" i="4"/>
  <c r="BO49" i="4"/>
  <c r="BO48" i="4"/>
  <c r="BO47" i="4"/>
  <c r="BO46" i="4"/>
  <c r="BO45" i="4"/>
  <c r="BO44" i="4"/>
  <c r="BO43" i="4"/>
  <c r="BO42" i="4"/>
  <c r="BO41" i="4"/>
  <c r="BO40" i="4"/>
  <c r="BO39" i="4"/>
  <c r="BO38" i="4"/>
  <c r="BO37" i="4"/>
  <c r="BO36" i="4"/>
  <c r="BO35" i="4"/>
  <c r="BO34" i="4"/>
  <c r="BO33" i="4"/>
  <c r="BO32" i="4"/>
  <c r="BO31" i="4"/>
  <c r="BO30" i="4"/>
  <c r="BO29" i="4"/>
  <c r="BO28" i="4"/>
  <c r="BO27" i="4"/>
  <c r="BO26" i="4"/>
  <c r="BO25" i="4"/>
  <c r="BO24" i="4"/>
  <c r="BO23" i="4"/>
  <c r="CR272" i="4" l="1"/>
  <c r="CW272" i="4" l="1"/>
  <c r="CW271" i="4"/>
  <c r="CW270" i="4"/>
  <c r="CW269" i="4"/>
  <c r="CW268" i="4"/>
  <c r="CW267" i="4"/>
  <c r="CW266" i="4"/>
  <c r="CW265" i="4"/>
  <c r="CW264" i="4"/>
  <c r="CW263" i="4"/>
  <c r="CW262" i="4"/>
  <c r="CW261" i="4"/>
  <c r="CW260" i="4"/>
  <c r="CW259" i="4"/>
  <c r="CW258" i="4"/>
  <c r="CW257" i="4"/>
  <c r="CW256" i="4"/>
  <c r="CW255" i="4"/>
  <c r="CW254" i="4"/>
  <c r="CW253" i="4"/>
  <c r="CW252" i="4"/>
  <c r="CW251" i="4"/>
  <c r="CW250" i="4"/>
  <c r="CW249" i="4"/>
  <c r="CW248" i="4"/>
  <c r="CW247" i="4"/>
  <c r="CW246" i="4"/>
  <c r="CW245" i="4"/>
  <c r="CW244" i="4"/>
  <c r="CW243" i="4"/>
  <c r="CW242" i="4"/>
  <c r="CW241" i="4"/>
  <c r="CW240" i="4"/>
  <c r="CW239" i="4"/>
  <c r="CW238" i="4"/>
  <c r="CW237" i="4"/>
  <c r="CW236" i="4"/>
  <c r="CW235" i="4"/>
  <c r="CW234" i="4"/>
  <c r="CW233" i="4"/>
  <c r="CW232" i="4"/>
  <c r="CW231" i="4"/>
  <c r="CW230" i="4"/>
  <c r="CW229" i="4"/>
  <c r="CW228" i="4"/>
  <c r="CW227" i="4"/>
  <c r="CW226" i="4"/>
  <c r="CW225" i="4"/>
  <c r="CW224" i="4"/>
  <c r="CW223" i="4"/>
  <c r="CW222" i="4"/>
  <c r="CW221" i="4"/>
  <c r="CW220" i="4"/>
  <c r="CW219" i="4"/>
  <c r="CW218" i="4"/>
  <c r="CW217" i="4"/>
  <c r="CW216" i="4"/>
  <c r="CW215" i="4"/>
  <c r="CW214" i="4"/>
  <c r="CW213" i="4"/>
  <c r="CW212" i="4"/>
  <c r="CW211" i="4"/>
  <c r="CW210" i="4"/>
  <c r="CW209" i="4"/>
  <c r="CW208" i="4"/>
  <c r="CW207" i="4"/>
  <c r="CW206" i="4"/>
  <c r="CW205" i="4"/>
  <c r="CW204" i="4"/>
  <c r="CW203" i="4"/>
  <c r="CW202" i="4"/>
  <c r="CW201" i="4"/>
  <c r="CW200" i="4"/>
  <c r="CW199" i="4"/>
  <c r="CW198" i="4"/>
  <c r="CW197" i="4"/>
  <c r="CW196" i="4"/>
  <c r="CW195" i="4"/>
  <c r="CW194" i="4"/>
  <c r="CW193" i="4"/>
  <c r="CW192" i="4"/>
  <c r="CW191" i="4"/>
  <c r="CW190" i="4"/>
  <c r="CW189" i="4"/>
  <c r="CW188" i="4"/>
  <c r="CW187" i="4"/>
  <c r="CW186" i="4"/>
  <c r="CW185" i="4"/>
  <c r="CW184" i="4"/>
  <c r="CW183" i="4"/>
  <c r="CW182" i="4"/>
  <c r="CW181" i="4"/>
  <c r="CW180" i="4"/>
  <c r="CW179" i="4"/>
  <c r="CW178" i="4"/>
  <c r="CW177" i="4"/>
  <c r="CW176" i="4"/>
  <c r="CW175" i="4"/>
  <c r="CW174" i="4"/>
  <c r="CW173" i="4"/>
  <c r="CW172" i="4"/>
  <c r="CW171" i="4"/>
  <c r="CW170" i="4"/>
  <c r="CW169" i="4"/>
  <c r="CW168" i="4"/>
  <c r="CW167" i="4"/>
  <c r="CW166" i="4"/>
  <c r="CW165" i="4"/>
  <c r="CW164" i="4"/>
  <c r="CW163" i="4"/>
  <c r="CW162" i="4"/>
  <c r="CW161" i="4"/>
  <c r="CW160" i="4"/>
  <c r="CW159" i="4"/>
  <c r="CW158" i="4"/>
  <c r="CW157" i="4"/>
  <c r="CW156" i="4"/>
  <c r="CW155" i="4"/>
  <c r="CW154" i="4"/>
  <c r="CW153" i="4"/>
  <c r="CW152" i="4"/>
  <c r="CW151" i="4"/>
  <c r="CW150" i="4"/>
  <c r="CW149" i="4"/>
  <c r="CW148" i="4"/>
  <c r="CW147" i="4"/>
  <c r="CW146" i="4"/>
  <c r="CW145" i="4"/>
  <c r="CW144" i="4"/>
  <c r="CW143" i="4"/>
  <c r="CW142" i="4"/>
  <c r="CW141" i="4"/>
  <c r="CW140" i="4"/>
  <c r="CW139" i="4"/>
  <c r="CW138" i="4"/>
  <c r="CW137" i="4"/>
  <c r="CW136" i="4"/>
  <c r="CW135" i="4"/>
  <c r="CW134" i="4"/>
  <c r="CW133" i="4"/>
  <c r="CW132" i="4"/>
  <c r="CW131" i="4"/>
  <c r="CW130" i="4"/>
  <c r="CW129" i="4"/>
  <c r="CW128" i="4"/>
  <c r="CW127" i="4"/>
  <c r="CW126" i="4"/>
  <c r="CW125" i="4"/>
  <c r="CW124" i="4"/>
  <c r="CW123" i="4"/>
  <c r="CW122" i="4"/>
  <c r="CW121" i="4"/>
  <c r="CW120" i="4"/>
  <c r="CW119" i="4"/>
  <c r="AJ272" i="4"/>
  <c r="AI272" i="4"/>
  <c r="AJ271" i="4"/>
  <c r="AI271" i="4"/>
  <c r="AJ270" i="4"/>
  <c r="AI270" i="4"/>
  <c r="AJ269" i="4"/>
  <c r="AI269" i="4"/>
  <c r="AJ268" i="4"/>
  <c r="AI268" i="4"/>
  <c r="AJ267" i="4"/>
  <c r="AI267" i="4"/>
  <c r="AJ266" i="4"/>
  <c r="AI266" i="4"/>
  <c r="AJ265" i="4"/>
  <c r="AI265" i="4"/>
  <c r="AJ264" i="4"/>
  <c r="AI264" i="4"/>
  <c r="AJ263" i="4"/>
  <c r="AI263" i="4"/>
  <c r="AJ262" i="4"/>
  <c r="AI262" i="4"/>
  <c r="AJ261" i="4"/>
  <c r="AI261" i="4"/>
  <c r="AJ260" i="4"/>
  <c r="AI260" i="4"/>
  <c r="AJ259" i="4"/>
  <c r="AI259" i="4"/>
  <c r="AJ258" i="4"/>
  <c r="AI258" i="4"/>
  <c r="AJ257" i="4"/>
  <c r="AI257" i="4"/>
  <c r="AJ256" i="4"/>
  <c r="AI256" i="4"/>
  <c r="AJ255" i="4"/>
  <c r="AI255" i="4"/>
  <c r="AJ254" i="4"/>
  <c r="AI254" i="4"/>
  <c r="AJ253" i="4"/>
  <c r="AI253" i="4"/>
  <c r="AJ252" i="4"/>
  <c r="AI252" i="4"/>
  <c r="AJ251" i="4"/>
  <c r="AI251" i="4"/>
  <c r="AJ250" i="4"/>
  <c r="AI250" i="4"/>
  <c r="AJ249" i="4"/>
  <c r="AI249" i="4"/>
  <c r="AJ248" i="4"/>
  <c r="AI248" i="4"/>
  <c r="AJ247" i="4"/>
  <c r="AI247" i="4"/>
  <c r="AJ246" i="4"/>
  <c r="AI246" i="4"/>
  <c r="AJ245" i="4"/>
  <c r="AI245" i="4"/>
  <c r="AJ244" i="4"/>
  <c r="AI244" i="4"/>
  <c r="AJ243" i="4"/>
  <c r="AI243" i="4"/>
  <c r="AJ242" i="4"/>
  <c r="AI242" i="4"/>
  <c r="AJ241" i="4"/>
  <c r="AI241" i="4"/>
  <c r="AJ240" i="4"/>
  <c r="AI240" i="4"/>
  <c r="AJ239" i="4"/>
  <c r="AI239" i="4"/>
  <c r="AJ238" i="4"/>
  <c r="AI238" i="4"/>
  <c r="AJ237" i="4"/>
  <c r="AI237" i="4"/>
  <c r="AJ236" i="4"/>
  <c r="AI236" i="4"/>
  <c r="AJ235" i="4"/>
  <c r="AI235" i="4"/>
  <c r="AJ234" i="4"/>
  <c r="AI234" i="4"/>
  <c r="AJ233" i="4"/>
  <c r="AI233" i="4"/>
  <c r="AJ232" i="4"/>
  <c r="AI232" i="4"/>
  <c r="AJ231" i="4"/>
  <c r="AI231" i="4"/>
  <c r="AJ230" i="4"/>
  <c r="AI230" i="4"/>
  <c r="AJ229" i="4"/>
  <c r="AI229" i="4"/>
  <c r="AJ228" i="4"/>
  <c r="AI228" i="4"/>
  <c r="AJ227" i="4"/>
  <c r="AI227" i="4"/>
  <c r="AJ226" i="4"/>
  <c r="AI226" i="4"/>
  <c r="AJ225" i="4"/>
  <c r="AI225" i="4"/>
  <c r="AJ224" i="4"/>
  <c r="AI224" i="4"/>
  <c r="AJ223" i="4"/>
  <c r="AI223" i="4"/>
  <c r="AJ222" i="4"/>
  <c r="AI222" i="4"/>
  <c r="AJ221" i="4"/>
  <c r="AI221" i="4"/>
  <c r="AJ220" i="4"/>
  <c r="AI220" i="4"/>
  <c r="AJ219" i="4"/>
  <c r="AI219" i="4"/>
  <c r="AJ218" i="4"/>
  <c r="AI218" i="4"/>
  <c r="AJ217" i="4"/>
  <c r="AI217" i="4"/>
  <c r="AJ216" i="4"/>
  <c r="AI216" i="4"/>
  <c r="AJ215" i="4"/>
  <c r="AI215" i="4"/>
  <c r="AJ214" i="4"/>
  <c r="AI214" i="4"/>
  <c r="AJ213" i="4"/>
  <c r="AI213" i="4"/>
  <c r="AJ212" i="4"/>
  <c r="AI212" i="4"/>
  <c r="AJ211" i="4"/>
  <c r="AI211" i="4"/>
  <c r="AJ210" i="4"/>
  <c r="AI210" i="4"/>
  <c r="AJ209" i="4"/>
  <c r="AI209" i="4"/>
  <c r="AJ208" i="4"/>
  <c r="AI208" i="4"/>
  <c r="AJ207" i="4"/>
  <c r="AI207" i="4"/>
  <c r="AJ206" i="4"/>
  <c r="AI206" i="4"/>
  <c r="AJ205" i="4"/>
  <c r="AI205" i="4"/>
  <c r="AJ204" i="4"/>
  <c r="AI204" i="4"/>
  <c r="AJ203" i="4"/>
  <c r="AI203" i="4"/>
  <c r="AJ202" i="4"/>
  <c r="AI202" i="4"/>
  <c r="AJ201" i="4"/>
  <c r="AI201" i="4"/>
  <c r="AJ200" i="4"/>
  <c r="AI200" i="4"/>
  <c r="AJ199" i="4"/>
  <c r="AI199" i="4"/>
  <c r="AJ198" i="4"/>
  <c r="AI198" i="4"/>
  <c r="AJ197" i="4"/>
  <c r="AI197" i="4"/>
  <c r="AJ196" i="4"/>
  <c r="AI196" i="4"/>
  <c r="AJ195" i="4"/>
  <c r="AI195" i="4"/>
  <c r="AJ194" i="4"/>
  <c r="AI194" i="4"/>
  <c r="AJ193" i="4"/>
  <c r="AI193" i="4"/>
  <c r="AJ192" i="4"/>
  <c r="AI192" i="4"/>
  <c r="AJ191" i="4"/>
  <c r="AI191" i="4"/>
  <c r="AJ190" i="4"/>
  <c r="AI190" i="4"/>
  <c r="AJ189" i="4"/>
  <c r="AI189" i="4"/>
  <c r="AJ188" i="4"/>
  <c r="AI188" i="4"/>
  <c r="AJ187" i="4"/>
  <c r="AI187" i="4"/>
  <c r="AJ186" i="4"/>
  <c r="AI186" i="4"/>
  <c r="AJ185" i="4"/>
  <c r="AI185" i="4"/>
  <c r="AJ184" i="4"/>
  <c r="AI184" i="4"/>
  <c r="AJ183" i="4"/>
  <c r="AI183" i="4"/>
  <c r="AJ182" i="4"/>
  <c r="AI182" i="4"/>
  <c r="AJ181" i="4"/>
  <c r="AI181" i="4"/>
  <c r="AJ180" i="4"/>
  <c r="AI180" i="4"/>
  <c r="AJ179" i="4"/>
  <c r="AI179" i="4"/>
  <c r="AJ178" i="4"/>
  <c r="AI178" i="4"/>
  <c r="AJ177" i="4"/>
  <c r="AI177" i="4"/>
  <c r="AJ176" i="4"/>
  <c r="AI176" i="4"/>
  <c r="AJ175" i="4"/>
  <c r="AI175" i="4"/>
  <c r="AJ174" i="4"/>
  <c r="AI174" i="4"/>
  <c r="AJ173" i="4"/>
  <c r="AI173" i="4"/>
  <c r="AJ172" i="4"/>
  <c r="AI172" i="4"/>
  <c r="AJ171" i="4"/>
  <c r="AI171" i="4"/>
  <c r="AJ170" i="4"/>
  <c r="AI170" i="4"/>
  <c r="AJ169" i="4"/>
  <c r="AI169" i="4"/>
  <c r="AJ168" i="4"/>
  <c r="AI168" i="4"/>
  <c r="AJ167" i="4"/>
  <c r="AI167" i="4"/>
  <c r="AJ166" i="4"/>
  <c r="AI166" i="4"/>
  <c r="AJ165" i="4"/>
  <c r="AI165" i="4"/>
  <c r="AJ164" i="4"/>
  <c r="AI164" i="4"/>
  <c r="AJ163" i="4"/>
  <c r="AI163" i="4"/>
  <c r="AJ162" i="4"/>
  <c r="AI162" i="4"/>
  <c r="AJ161" i="4"/>
  <c r="AI161" i="4"/>
  <c r="AJ160" i="4"/>
  <c r="AI160" i="4"/>
  <c r="AJ159" i="4"/>
  <c r="AI159" i="4"/>
  <c r="AJ158" i="4"/>
  <c r="AI158" i="4"/>
  <c r="AJ157" i="4"/>
  <c r="AI157" i="4"/>
  <c r="AJ156" i="4"/>
  <c r="AI156" i="4"/>
  <c r="AJ155" i="4"/>
  <c r="AI155" i="4"/>
  <c r="AJ154" i="4"/>
  <c r="AI154" i="4"/>
  <c r="AJ153" i="4"/>
  <c r="AI153" i="4"/>
  <c r="AJ152" i="4"/>
  <c r="AI152" i="4"/>
  <c r="AJ151" i="4"/>
  <c r="AI151" i="4"/>
  <c r="AJ150" i="4"/>
  <c r="AI150" i="4"/>
  <c r="AJ149" i="4"/>
  <c r="AI149" i="4"/>
  <c r="AJ148" i="4"/>
  <c r="AI148" i="4"/>
  <c r="AJ147" i="4"/>
  <c r="AI147" i="4"/>
  <c r="AJ146" i="4"/>
  <c r="AI146" i="4"/>
  <c r="AJ145" i="4"/>
  <c r="AI145" i="4"/>
  <c r="AJ144" i="4"/>
  <c r="AI144" i="4"/>
  <c r="AJ143" i="4"/>
  <c r="AI143" i="4"/>
  <c r="AJ142" i="4"/>
  <c r="AI142" i="4"/>
  <c r="AJ141" i="4"/>
  <c r="AI141" i="4"/>
  <c r="AJ140" i="4"/>
  <c r="AI140" i="4"/>
  <c r="AJ139" i="4"/>
  <c r="AI139" i="4"/>
  <c r="AJ138" i="4"/>
  <c r="AI138" i="4"/>
  <c r="AJ137" i="4"/>
  <c r="AI137" i="4"/>
  <c r="AJ136" i="4"/>
  <c r="AI136" i="4"/>
  <c r="AJ135" i="4"/>
  <c r="AI135" i="4"/>
  <c r="AJ134" i="4"/>
  <c r="AI134" i="4"/>
  <c r="AJ133" i="4"/>
  <c r="AI133" i="4"/>
  <c r="AJ132" i="4"/>
  <c r="AI132" i="4"/>
  <c r="AJ131" i="4"/>
  <c r="AI131" i="4"/>
  <c r="AJ130" i="4"/>
  <c r="AI130" i="4"/>
  <c r="AJ129" i="4"/>
  <c r="AI129" i="4"/>
  <c r="AJ128" i="4"/>
  <c r="AI128" i="4"/>
  <c r="AJ127" i="4"/>
  <c r="AI127" i="4"/>
  <c r="AJ126" i="4"/>
  <c r="AI126" i="4"/>
  <c r="AJ125" i="4"/>
  <c r="AI125" i="4"/>
  <c r="AJ124" i="4"/>
  <c r="AI124" i="4"/>
  <c r="AJ123" i="4"/>
  <c r="AI123" i="4"/>
  <c r="AJ122" i="4"/>
  <c r="AI122" i="4"/>
  <c r="AJ121" i="4"/>
  <c r="AI121" i="4"/>
  <c r="AJ120" i="4"/>
  <c r="AI120" i="4"/>
  <c r="AJ119" i="4"/>
  <c r="AI119" i="4"/>
  <c r="AJ118" i="4"/>
  <c r="AI118" i="4"/>
  <c r="AJ117" i="4"/>
  <c r="AI117" i="4"/>
  <c r="AJ116" i="4"/>
  <c r="AI116" i="4"/>
  <c r="AJ115" i="4"/>
  <c r="AI115" i="4"/>
  <c r="AJ114" i="4"/>
  <c r="AI114" i="4"/>
  <c r="AJ113" i="4"/>
  <c r="AI113" i="4"/>
  <c r="AJ112" i="4"/>
  <c r="AI112" i="4"/>
  <c r="AJ111" i="4"/>
  <c r="AI111" i="4"/>
  <c r="AJ110" i="4"/>
  <c r="AI110" i="4"/>
  <c r="AJ109" i="4"/>
  <c r="AI109" i="4"/>
  <c r="AJ108" i="4"/>
  <c r="AI108" i="4"/>
  <c r="AJ107" i="4"/>
  <c r="AI107" i="4"/>
  <c r="AJ106" i="4"/>
  <c r="AI106" i="4"/>
  <c r="AJ105" i="4"/>
  <c r="AI105" i="4"/>
  <c r="AJ104" i="4"/>
  <c r="AI104" i="4"/>
  <c r="AJ103" i="4"/>
  <c r="AI103" i="4"/>
  <c r="AJ102" i="4"/>
  <c r="AI102" i="4"/>
  <c r="AJ101" i="4"/>
  <c r="AI101" i="4"/>
  <c r="AJ100" i="4"/>
  <c r="AI100" i="4"/>
  <c r="AJ99" i="4"/>
  <c r="AI99" i="4"/>
  <c r="AJ98" i="4"/>
  <c r="AI98" i="4"/>
  <c r="AJ97" i="4"/>
  <c r="AI97" i="4"/>
  <c r="AJ96" i="4"/>
  <c r="AI96" i="4"/>
  <c r="AJ95" i="4"/>
  <c r="AI95" i="4"/>
  <c r="AJ94" i="4"/>
  <c r="AI94" i="4"/>
  <c r="AJ93" i="4"/>
  <c r="AI93" i="4"/>
  <c r="AJ92" i="4"/>
  <c r="AI92" i="4"/>
  <c r="AJ91" i="4"/>
  <c r="AI91" i="4"/>
  <c r="AJ90" i="4"/>
  <c r="AI90" i="4"/>
  <c r="AJ89" i="4"/>
  <c r="AI89" i="4"/>
  <c r="AJ88" i="4"/>
  <c r="AI88" i="4"/>
  <c r="AJ87" i="4"/>
  <c r="AI87" i="4"/>
  <c r="AJ86" i="4"/>
  <c r="AI86" i="4"/>
  <c r="AJ85" i="4"/>
  <c r="AI85" i="4"/>
  <c r="AJ84" i="4"/>
  <c r="AI84" i="4"/>
  <c r="AJ83" i="4"/>
  <c r="AI83" i="4"/>
  <c r="AJ82" i="4"/>
  <c r="AI82" i="4"/>
  <c r="AJ81" i="4"/>
  <c r="AI81" i="4"/>
  <c r="AJ80" i="4"/>
  <c r="AI80" i="4"/>
  <c r="AJ79" i="4"/>
  <c r="AI79" i="4"/>
  <c r="AJ78" i="4"/>
  <c r="AI78" i="4"/>
  <c r="AJ77" i="4"/>
  <c r="AI77" i="4"/>
  <c r="AJ76" i="4"/>
  <c r="AI76" i="4"/>
  <c r="AJ75" i="4"/>
  <c r="AI75" i="4"/>
  <c r="AJ74" i="4"/>
  <c r="AI74" i="4"/>
  <c r="AJ73" i="4"/>
  <c r="AI73" i="4"/>
  <c r="AJ72" i="4"/>
  <c r="AI72" i="4"/>
  <c r="AJ71" i="4"/>
  <c r="AI71" i="4"/>
  <c r="AJ70" i="4"/>
  <c r="AI70" i="4"/>
  <c r="AJ69" i="4"/>
  <c r="AI69" i="4"/>
  <c r="AJ68" i="4"/>
  <c r="AI68" i="4"/>
  <c r="AJ67" i="4"/>
  <c r="AI67" i="4"/>
  <c r="AJ66" i="4"/>
  <c r="AI66" i="4"/>
  <c r="AJ65" i="4"/>
  <c r="AI65" i="4"/>
  <c r="AJ64" i="4"/>
  <c r="AI64" i="4"/>
  <c r="AJ63" i="4"/>
  <c r="AI63" i="4"/>
  <c r="AJ62" i="4"/>
  <c r="AI62" i="4"/>
  <c r="AJ61" i="4"/>
  <c r="AI61" i="4"/>
  <c r="AJ60" i="4"/>
  <c r="AI60" i="4"/>
  <c r="AJ59" i="4"/>
  <c r="AI59" i="4"/>
  <c r="AJ58" i="4"/>
  <c r="AI58" i="4"/>
  <c r="AJ57" i="4"/>
  <c r="AI57" i="4"/>
  <c r="AJ56" i="4"/>
  <c r="AI56" i="4"/>
  <c r="AJ55" i="4"/>
  <c r="AI55" i="4"/>
  <c r="AJ54" i="4"/>
  <c r="AI54" i="4"/>
  <c r="AJ53" i="4"/>
  <c r="AI53" i="4"/>
  <c r="AJ52" i="4"/>
  <c r="AI52" i="4"/>
  <c r="AJ51" i="4"/>
  <c r="AI51" i="4"/>
  <c r="AJ50" i="4"/>
  <c r="AI50" i="4"/>
  <c r="AJ49" i="4"/>
  <c r="AI49" i="4"/>
  <c r="AJ48" i="4"/>
  <c r="AI48" i="4"/>
  <c r="AJ47" i="4"/>
  <c r="AI47" i="4"/>
  <c r="AJ46" i="4"/>
  <c r="AI46" i="4"/>
  <c r="AJ45" i="4"/>
  <c r="AI45" i="4"/>
  <c r="AJ44" i="4"/>
  <c r="AI44" i="4"/>
  <c r="AJ43" i="4"/>
  <c r="AI43" i="4"/>
  <c r="AJ42" i="4"/>
  <c r="AI42" i="4"/>
  <c r="AJ41" i="4"/>
  <c r="AI41" i="4"/>
  <c r="AJ40" i="4"/>
  <c r="AI40" i="4"/>
  <c r="AJ39" i="4"/>
  <c r="AI39" i="4"/>
  <c r="AJ38" i="4"/>
  <c r="AI38" i="4"/>
  <c r="AJ37" i="4"/>
  <c r="AI37" i="4"/>
  <c r="AJ36" i="4"/>
  <c r="AI36" i="4"/>
  <c r="AJ35" i="4"/>
  <c r="AI35" i="4"/>
  <c r="AJ34" i="4"/>
  <c r="AI34" i="4"/>
  <c r="AJ33" i="4"/>
  <c r="AI33" i="4"/>
  <c r="AJ32" i="4"/>
  <c r="AI32" i="4"/>
  <c r="AJ31" i="4"/>
  <c r="AI31" i="4"/>
  <c r="AJ30" i="4"/>
  <c r="AI30" i="4"/>
  <c r="AJ29" i="4"/>
  <c r="AI29" i="4"/>
  <c r="AJ28" i="4"/>
  <c r="AI28" i="4"/>
  <c r="AJ27" i="4"/>
  <c r="AI27" i="4"/>
  <c r="AJ26" i="4"/>
  <c r="AI26" i="4"/>
  <c r="AJ25" i="4"/>
  <c r="AI25" i="4"/>
  <c r="AJ24" i="4"/>
  <c r="AI24" i="4"/>
  <c r="AK23" i="4"/>
  <c r="AJ23" i="4"/>
  <c r="AI23" i="4" l="1"/>
  <c r="AP24" i="4"/>
  <c r="V24" i="4" l="1"/>
  <c r="AH23" i="4"/>
  <c r="AG23" i="4"/>
  <c r="AF23" i="4"/>
  <c r="AE23" i="4"/>
  <c r="AD23" i="4"/>
  <c r="AC23" i="4"/>
  <c r="AB23" i="4"/>
  <c r="X23" i="4"/>
  <c r="G2" i="14"/>
  <c r="V272" i="4"/>
  <c r="V271" i="4"/>
  <c r="V270" i="4"/>
  <c r="V269" i="4"/>
  <c r="V268" i="4"/>
  <c r="V267" i="4"/>
  <c r="V266" i="4"/>
  <c r="V265" i="4"/>
  <c r="V264" i="4"/>
  <c r="V263" i="4"/>
  <c r="V262" i="4"/>
  <c r="V261" i="4"/>
  <c r="V260" i="4"/>
  <c r="V259" i="4"/>
  <c r="V258" i="4"/>
  <c r="V257" i="4"/>
  <c r="V256" i="4"/>
  <c r="V255" i="4"/>
  <c r="V254" i="4"/>
  <c r="V253" i="4"/>
  <c r="V252" i="4"/>
  <c r="V251" i="4"/>
  <c r="V250" i="4"/>
  <c r="V249" i="4"/>
  <c r="V248" i="4"/>
  <c r="V247" i="4"/>
  <c r="V246" i="4"/>
  <c r="V245" i="4"/>
  <c r="V244" i="4"/>
  <c r="V243" i="4"/>
  <c r="V242" i="4"/>
  <c r="V241" i="4"/>
  <c r="V240" i="4"/>
  <c r="V239" i="4"/>
  <c r="V238" i="4"/>
  <c r="V237" i="4"/>
  <c r="V236" i="4"/>
  <c r="V235" i="4"/>
  <c r="V234" i="4"/>
  <c r="V233" i="4"/>
  <c r="V232" i="4"/>
  <c r="V231" i="4"/>
  <c r="V230" i="4"/>
  <c r="V229" i="4"/>
  <c r="V228" i="4"/>
  <c r="V227" i="4"/>
  <c r="V226" i="4"/>
  <c r="V225" i="4"/>
  <c r="V224" i="4"/>
  <c r="V223" i="4"/>
  <c r="V222" i="4"/>
  <c r="V221" i="4"/>
  <c r="V220" i="4"/>
  <c r="V219" i="4"/>
  <c r="V218" i="4"/>
  <c r="V217" i="4"/>
  <c r="V216" i="4"/>
  <c r="V215" i="4"/>
  <c r="V214" i="4"/>
  <c r="V213" i="4"/>
  <c r="V212" i="4"/>
  <c r="V211" i="4"/>
  <c r="V210" i="4"/>
  <c r="V209" i="4"/>
  <c r="V208" i="4"/>
  <c r="V207" i="4"/>
  <c r="V206" i="4"/>
  <c r="V205" i="4"/>
  <c r="V204" i="4"/>
  <c r="V203" i="4"/>
  <c r="V202" i="4"/>
  <c r="V201" i="4"/>
  <c r="V200" i="4"/>
  <c r="V199" i="4"/>
  <c r="V198" i="4"/>
  <c r="V197" i="4"/>
  <c r="V196" i="4"/>
  <c r="V195" i="4"/>
  <c r="V194" i="4"/>
  <c r="V193" i="4"/>
  <c r="V192" i="4"/>
  <c r="V191" i="4"/>
  <c r="V190" i="4"/>
  <c r="V189" i="4"/>
  <c r="V188" i="4"/>
  <c r="V187" i="4"/>
  <c r="V186" i="4"/>
  <c r="V185" i="4"/>
  <c r="V184" i="4"/>
  <c r="V183" i="4"/>
  <c r="V182" i="4"/>
  <c r="V181" i="4"/>
  <c r="V180" i="4"/>
  <c r="V179" i="4"/>
  <c r="V178" i="4"/>
  <c r="V177" i="4"/>
  <c r="V176" i="4"/>
  <c r="V175" i="4"/>
  <c r="V174" i="4"/>
  <c r="V173" i="4"/>
  <c r="V172" i="4"/>
  <c r="V171" i="4"/>
  <c r="V170" i="4"/>
  <c r="V169" i="4"/>
  <c r="V168" i="4"/>
  <c r="V167" i="4"/>
  <c r="V166" i="4"/>
  <c r="V165" i="4"/>
  <c r="V164" i="4"/>
  <c r="V163" i="4"/>
  <c r="V162" i="4"/>
  <c r="V161" i="4"/>
  <c r="V160" i="4"/>
  <c r="V159" i="4"/>
  <c r="V158" i="4"/>
  <c r="V157" i="4"/>
  <c r="V156" i="4"/>
  <c r="V155" i="4"/>
  <c r="V154" i="4"/>
  <c r="V153" i="4"/>
  <c r="V152" i="4"/>
  <c r="V151" i="4"/>
  <c r="V150" i="4"/>
  <c r="V149" i="4"/>
  <c r="V148" i="4"/>
  <c r="V147" i="4"/>
  <c r="V146" i="4"/>
  <c r="V145" i="4"/>
  <c r="V144" i="4"/>
  <c r="V143" i="4"/>
  <c r="V142" i="4"/>
  <c r="V141" i="4"/>
  <c r="V140" i="4"/>
  <c r="V139" i="4"/>
  <c r="V138" i="4"/>
  <c r="V137" i="4"/>
  <c r="V136" i="4"/>
  <c r="V135" i="4"/>
  <c r="V134" i="4"/>
  <c r="V133" i="4"/>
  <c r="V132" i="4"/>
  <c r="V131" i="4"/>
  <c r="V130" i="4"/>
  <c r="V129" i="4"/>
  <c r="V128" i="4"/>
  <c r="V127" i="4"/>
  <c r="V126" i="4"/>
  <c r="V125" i="4"/>
  <c r="V124" i="4"/>
  <c r="V123" i="4"/>
  <c r="V122" i="4"/>
  <c r="V121" i="4"/>
  <c r="V120" i="4"/>
  <c r="V119" i="4"/>
  <c r="V118" i="4"/>
  <c r="V117" i="4"/>
  <c r="V116" i="4"/>
  <c r="V115" i="4"/>
  <c r="V114" i="4"/>
  <c r="V113" i="4"/>
  <c r="V112" i="4"/>
  <c r="V111" i="4"/>
  <c r="V110" i="4"/>
  <c r="V109" i="4"/>
  <c r="V108" i="4"/>
  <c r="V107" i="4"/>
  <c r="V106" i="4"/>
  <c r="V105" i="4"/>
  <c r="V104" i="4"/>
  <c r="V103" i="4"/>
  <c r="V102" i="4"/>
  <c r="V101" i="4"/>
  <c r="V100" i="4"/>
  <c r="V99" i="4"/>
  <c r="V98" i="4"/>
  <c r="V97" i="4"/>
  <c r="V96" i="4"/>
  <c r="V95" i="4"/>
  <c r="V94" i="4"/>
  <c r="V93" i="4"/>
  <c r="V92" i="4"/>
  <c r="V91" i="4"/>
  <c r="V90" i="4"/>
  <c r="V89" i="4"/>
  <c r="V88" i="4"/>
  <c r="V87" i="4"/>
  <c r="V86" i="4"/>
  <c r="V85" i="4"/>
  <c r="V84" i="4"/>
  <c r="V83" i="4"/>
  <c r="V82" i="4"/>
  <c r="V81" i="4"/>
  <c r="V80" i="4"/>
  <c r="V79" i="4"/>
  <c r="V78" i="4"/>
  <c r="V77" i="4"/>
  <c r="V76" i="4"/>
  <c r="V75" i="4"/>
  <c r="V74" i="4"/>
  <c r="V73" i="4"/>
  <c r="V72" i="4"/>
  <c r="V71" i="4"/>
  <c r="V70" i="4"/>
  <c r="V69" i="4"/>
  <c r="V68" i="4"/>
  <c r="V67" i="4"/>
  <c r="V66" i="4"/>
  <c r="V65" i="4"/>
  <c r="V64" i="4"/>
  <c r="V63" i="4"/>
  <c r="V62" i="4"/>
  <c r="V61" i="4"/>
  <c r="V60" i="4"/>
  <c r="V59" i="4"/>
  <c r="V58" i="4"/>
  <c r="V57" i="4"/>
  <c r="V56" i="4"/>
  <c r="V55" i="4"/>
  <c r="V54" i="4"/>
  <c r="V53" i="4"/>
  <c r="V52" i="4"/>
  <c r="V51" i="4"/>
  <c r="V50" i="4"/>
  <c r="V49" i="4"/>
  <c r="V48" i="4"/>
  <c r="V47" i="4"/>
  <c r="V46" i="4"/>
  <c r="V45" i="4"/>
  <c r="V44" i="4"/>
  <c r="V43" i="4"/>
  <c r="V42" i="4"/>
  <c r="V41" i="4"/>
  <c r="V40" i="4"/>
  <c r="V39" i="4"/>
  <c r="V38" i="4"/>
  <c r="V37" i="4"/>
  <c r="V36" i="4"/>
  <c r="V35" i="4"/>
  <c r="V34" i="4"/>
  <c r="V33" i="4"/>
  <c r="V32" i="4"/>
  <c r="V31" i="4"/>
  <c r="V30" i="4"/>
  <c r="V29" i="4"/>
  <c r="V28" i="4"/>
  <c r="V27" i="4"/>
  <c r="V26" i="4"/>
  <c r="V25" i="4"/>
  <c r="V23" i="4"/>
  <c r="T272" i="4"/>
  <c r="T271" i="4"/>
  <c r="T270" i="4"/>
  <c r="T269" i="4"/>
  <c r="T268" i="4"/>
  <c r="T267" i="4"/>
  <c r="T266" i="4"/>
  <c r="T265" i="4"/>
  <c r="T264" i="4"/>
  <c r="T263" i="4"/>
  <c r="T262" i="4"/>
  <c r="T261" i="4"/>
  <c r="T260" i="4"/>
  <c r="T259" i="4"/>
  <c r="T258" i="4"/>
  <c r="T257" i="4"/>
  <c r="T256" i="4"/>
  <c r="T255" i="4"/>
  <c r="T254" i="4"/>
  <c r="T253" i="4"/>
  <c r="T252" i="4"/>
  <c r="T251" i="4"/>
  <c r="T250" i="4"/>
  <c r="T249" i="4"/>
  <c r="T248" i="4"/>
  <c r="T247" i="4"/>
  <c r="T246" i="4"/>
  <c r="T245" i="4"/>
  <c r="T244" i="4"/>
  <c r="T243" i="4"/>
  <c r="T242" i="4"/>
  <c r="T241" i="4"/>
  <c r="T240" i="4"/>
  <c r="T239" i="4"/>
  <c r="T238" i="4"/>
  <c r="T237" i="4"/>
  <c r="T236" i="4"/>
  <c r="T235" i="4"/>
  <c r="T234" i="4"/>
  <c r="T233" i="4"/>
  <c r="T232" i="4"/>
  <c r="T231" i="4"/>
  <c r="T230" i="4"/>
  <c r="T229" i="4"/>
  <c r="T228" i="4"/>
  <c r="T227" i="4"/>
  <c r="T226" i="4"/>
  <c r="T225" i="4"/>
  <c r="T224" i="4"/>
  <c r="T223" i="4"/>
  <c r="T222" i="4"/>
  <c r="T221" i="4"/>
  <c r="T220" i="4"/>
  <c r="T219" i="4"/>
  <c r="T218" i="4"/>
  <c r="T217" i="4"/>
  <c r="T216" i="4"/>
  <c r="T215" i="4"/>
  <c r="T214" i="4"/>
  <c r="T213" i="4"/>
  <c r="T212" i="4"/>
  <c r="T211" i="4"/>
  <c r="T210" i="4"/>
  <c r="T209" i="4"/>
  <c r="T208" i="4"/>
  <c r="T207" i="4"/>
  <c r="T206" i="4"/>
  <c r="T205" i="4"/>
  <c r="T204" i="4"/>
  <c r="T203" i="4"/>
  <c r="T202" i="4"/>
  <c r="T201" i="4"/>
  <c r="T200" i="4"/>
  <c r="T199" i="4"/>
  <c r="T198" i="4"/>
  <c r="T197" i="4"/>
  <c r="T196" i="4"/>
  <c r="T195" i="4"/>
  <c r="T194" i="4"/>
  <c r="T193" i="4"/>
  <c r="T192" i="4"/>
  <c r="T191" i="4"/>
  <c r="T190" i="4"/>
  <c r="T189" i="4"/>
  <c r="T188" i="4"/>
  <c r="T187" i="4"/>
  <c r="T186" i="4"/>
  <c r="T185" i="4"/>
  <c r="T184" i="4"/>
  <c r="T183" i="4"/>
  <c r="T182" i="4"/>
  <c r="T181" i="4"/>
  <c r="T180" i="4"/>
  <c r="T179" i="4"/>
  <c r="T178" i="4"/>
  <c r="T177" i="4"/>
  <c r="T176" i="4"/>
  <c r="T175" i="4"/>
  <c r="T174" i="4"/>
  <c r="T173" i="4"/>
  <c r="T172" i="4"/>
  <c r="T171" i="4"/>
  <c r="T170" i="4"/>
  <c r="T169" i="4"/>
  <c r="T168" i="4"/>
  <c r="T167" i="4"/>
  <c r="T166" i="4"/>
  <c r="T165" i="4"/>
  <c r="T164" i="4"/>
  <c r="T163" i="4"/>
  <c r="T162" i="4"/>
  <c r="T161" i="4"/>
  <c r="T160" i="4"/>
  <c r="T159" i="4"/>
  <c r="T158" i="4"/>
  <c r="T157" i="4"/>
  <c r="T156" i="4"/>
  <c r="T155" i="4"/>
  <c r="T154" i="4"/>
  <c r="T153" i="4"/>
  <c r="T152" i="4"/>
  <c r="T151" i="4"/>
  <c r="T150" i="4"/>
  <c r="T149" i="4"/>
  <c r="T148" i="4"/>
  <c r="T147" i="4"/>
  <c r="T146" i="4"/>
  <c r="T145" i="4"/>
  <c r="T144" i="4"/>
  <c r="T143" i="4"/>
  <c r="T142" i="4"/>
  <c r="T141" i="4"/>
  <c r="T140" i="4"/>
  <c r="T139" i="4"/>
  <c r="T138" i="4"/>
  <c r="T137" i="4"/>
  <c r="T136" i="4"/>
  <c r="T135" i="4"/>
  <c r="T134" i="4"/>
  <c r="T133" i="4"/>
  <c r="T132" i="4"/>
  <c r="T131" i="4"/>
  <c r="T130" i="4"/>
  <c r="T129" i="4"/>
  <c r="T128" i="4"/>
  <c r="T127" i="4"/>
  <c r="T126" i="4"/>
  <c r="T125" i="4"/>
  <c r="T124" i="4"/>
  <c r="T123" i="4"/>
  <c r="T122" i="4"/>
  <c r="T121" i="4"/>
  <c r="T120" i="4"/>
  <c r="T119" i="4"/>
  <c r="T118" i="4"/>
  <c r="T117" i="4"/>
  <c r="T116" i="4"/>
  <c r="T115" i="4"/>
  <c r="T114" i="4"/>
  <c r="T113" i="4"/>
  <c r="T112" i="4"/>
  <c r="T111" i="4"/>
  <c r="T110" i="4"/>
  <c r="T109" i="4"/>
  <c r="T108" i="4"/>
  <c r="T107" i="4"/>
  <c r="T106" i="4"/>
  <c r="T105" i="4"/>
  <c r="T104" i="4"/>
  <c r="T103" i="4"/>
  <c r="T102" i="4"/>
  <c r="T101" i="4"/>
  <c r="T100" i="4"/>
  <c r="T99" i="4"/>
  <c r="T98" i="4"/>
  <c r="T97" i="4"/>
  <c r="T96" i="4"/>
  <c r="T95" i="4"/>
  <c r="T94" i="4"/>
  <c r="T93" i="4"/>
  <c r="T92" i="4"/>
  <c r="T91" i="4"/>
  <c r="T90" i="4"/>
  <c r="T89" i="4"/>
  <c r="T88" i="4"/>
  <c r="T87" i="4"/>
  <c r="T86" i="4"/>
  <c r="T85" i="4"/>
  <c r="T84" i="4"/>
  <c r="T83" i="4"/>
  <c r="T82" i="4"/>
  <c r="T81" i="4"/>
  <c r="T80" i="4"/>
  <c r="T79" i="4"/>
  <c r="T78" i="4"/>
  <c r="T77" i="4"/>
  <c r="T76" i="4"/>
  <c r="T75" i="4"/>
  <c r="T74" i="4"/>
  <c r="T73" i="4"/>
  <c r="T72" i="4"/>
  <c r="T71" i="4"/>
  <c r="T70" i="4"/>
  <c r="T69" i="4"/>
  <c r="T68" i="4"/>
  <c r="T67" i="4"/>
  <c r="T66" i="4"/>
  <c r="T65" i="4"/>
  <c r="T64" i="4"/>
  <c r="T63" i="4"/>
  <c r="T62" i="4"/>
  <c r="T61" i="4"/>
  <c r="T60" i="4"/>
  <c r="T59" i="4"/>
  <c r="T58" i="4"/>
  <c r="T57" i="4"/>
  <c r="T56" i="4"/>
  <c r="T55" i="4"/>
  <c r="T54" i="4"/>
  <c r="T53" i="4"/>
  <c r="T52" i="4"/>
  <c r="T51" i="4"/>
  <c r="T50" i="4"/>
  <c r="T49" i="4"/>
  <c r="T48" i="4"/>
  <c r="T47" i="4"/>
  <c r="T46" i="4"/>
  <c r="T45" i="4"/>
  <c r="T44" i="4"/>
  <c r="T43" i="4"/>
  <c r="T42" i="4"/>
  <c r="T41" i="4"/>
  <c r="T40" i="4"/>
  <c r="T39" i="4"/>
  <c r="T38" i="4"/>
  <c r="T37" i="4"/>
  <c r="T36" i="4"/>
  <c r="T35" i="4"/>
  <c r="T34" i="4"/>
  <c r="T33" i="4"/>
  <c r="T32" i="4"/>
  <c r="T31" i="4"/>
  <c r="T30" i="4"/>
  <c r="T29" i="4"/>
  <c r="T28" i="4"/>
  <c r="T27" i="4"/>
  <c r="T26" i="4"/>
  <c r="T25" i="4"/>
  <c r="T24" i="4"/>
  <c r="T23" i="4"/>
  <c r="S8" i="4"/>
  <c r="M272" i="4"/>
  <c r="M271" i="4"/>
  <c r="M270" i="4"/>
  <c r="M269" i="4"/>
  <c r="M268" i="4"/>
  <c r="M267" i="4"/>
  <c r="M266" i="4"/>
  <c r="M265" i="4"/>
  <c r="M264" i="4"/>
  <c r="M263" i="4"/>
  <c r="M262" i="4"/>
  <c r="M261" i="4"/>
  <c r="M260" i="4"/>
  <c r="M259" i="4"/>
  <c r="M258" i="4"/>
  <c r="M257" i="4"/>
  <c r="M256" i="4"/>
  <c r="M255" i="4"/>
  <c r="M254" i="4"/>
  <c r="M253" i="4"/>
  <c r="M252" i="4"/>
  <c r="M251" i="4"/>
  <c r="M250" i="4"/>
  <c r="M249" i="4"/>
  <c r="M248" i="4"/>
  <c r="M247" i="4"/>
  <c r="M246" i="4"/>
  <c r="M245" i="4"/>
  <c r="M244" i="4"/>
  <c r="M243" i="4"/>
  <c r="M242" i="4"/>
  <c r="M241" i="4"/>
  <c r="M240" i="4"/>
  <c r="M239" i="4"/>
  <c r="M238" i="4"/>
  <c r="M237" i="4"/>
  <c r="M236" i="4"/>
  <c r="M235" i="4"/>
  <c r="M234" i="4"/>
  <c r="M233" i="4"/>
  <c r="M232" i="4"/>
  <c r="M231" i="4"/>
  <c r="M230" i="4"/>
  <c r="M229" i="4"/>
  <c r="M228" i="4"/>
  <c r="M227" i="4"/>
  <c r="M226" i="4"/>
  <c r="M225" i="4"/>
  <c r="M224" i="4"/>
  <c r="M223" i="4"/>
  <c r="M222" i="4"/>
  <c r="M221" i="4"/>
  <c r="M220" i="4"/>
  <c r="M219" i="4"/>
  <c r="M218" i="4"/>
  <c r="M217" i="4"/>
  <c r="M216" i="4"/>
  <c r="M215" i="4"/>
  <c r="M214" i="4"/>
  <c r="M213" i="4"/>
  <c r="M212" i="4"/>
  <c r="M211" i="4"/>
  <c r="M210" i="4"/>
  <c r="M209" i="4"/>
  <c r="M208" i="4"/>
  <c r="M207" i="4"/>
  <c r="M206" i="4"/>
  <c r="M205" i="4"/>
  <c r="M204" i="4"/>
  <c r="M203" i="4"/>
  <c r="M202" i="4"/>
  <c r="M201" i="4"/>
  <c r="M200" i="4"/>
  <c r="M199" i="4"/>
  <c r="M198" i="4"/>
  <c r="M197" i="4"/>
  <c r="M196" i="4"/>
  <c r="M195" i="4"/>
  <c r="M194" i="4"/>
  <c r="M193" i="4"/>
  <c r="M192" i="4"/>
  <c r="M191" i="4"/>
  <c r="M190" i="4"/>
  <c r="M189" i="4"/>
  <c r="M188" i="4"/>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H267" i="17"/>
  <c r="P267" i="17" s="1"/>
  <c r="I267" i="17"/>
  <c r="H266" i="17"/>
  <c r="P266" i="17" s="1"/>
  <c r="I266" i="17"/>
  <c r="H265" i="17"/>
  <c r="P265" i="17" s="1"/>
  <c r="I265" i="17"/>
  <c r="H264" i="17"/>
  <c r="P264" i="17" s="1"/>
  <c r="I264" i="17"/>
  <c r="H263" i="17"/>
  <c r="P263" i="17" s="1"/>
  <c r="I263" i="17"/>
  <c r="H262" i="17"/>
  <c r="P262" i="17" s="1"/>
  <c r="I262" i="17"/>
  <c r="H261" i="17"/>
  <c r="P261" i="17" s="1"/>
  <c r="I261" i="17"/>
  <c r="H260" i="17"/>
  <c r="P260" i="17" s="1"/>
  <c r="I260" i="17"/>
  <c r="H259" i="17"/>
  <c r="P259" i="17" s="1"/>
  <c r="I259" i="17"/>
  <c r="H258" i="17"/>
  <c r="P258" i="17" s="1"/>
  <c r="I258" i="17"/>
  <c r="H257" i="17"/>
  <c r="P257" i="17" s="1"/>
  <c r="I257" i="17"/>
  <c r="H256" i="17"/>
  <c r="P256" i="17" s="1"/>
  <c r="I256" i="17"/>
  <c r="H255" i="17"/>
  <c r="P255" i="17" s="1"/>
  <c r="I255" i="17"/>
  <c r="H254" i="17"/>
  <c r="P254" i="17" s="1"/>
  <c r="I254" i="17"/>
  <c r="H253" i="17"/>
  <c r="P253" i="17" s="1"/>
  <c r="I253" i="17"/>
  <c r="H252" i="17"/>
  <c r="I252" i="17"/>
  <c r="H251" i="17"/>
  <c r="P251" i="17" s="1"/>
  <c r="I251" i="17"/>
  <c r="H250" i="17"/>
  <c r="P250" i="17" s="1"/>
  <c r="I250" i="17"/>
  <c r="H249" i="17"/>
  <c r="P249" i="17" s="1"/>
  <c r="I249" i="17"/>
  <c r="H248" i="17"/>
  <c r="I248" i="17"/>
  <c r="H247" i="17"/>
  <c r="P247" i="17" s="1"/>
  <c r="I247" i="17"/>
  <c r="H246" i="17"/>
  <c r="P246" i="17" s="1"/>
  <c r="I246" i="17"/>
  <c r="H245" i="17"/>
  <c r="P245" i="17" s="1"/>
  <c r="I245" i="17"/>
  <c r="H244" i="17"/>
  <c r="I244" i="17"/>
  <c r="H243" i="17"/>
  <c r="P243" i="17" s="1"/>
  <c r="I243" i="17"/>
  <c r="H242" i="17"/>
  <c r="P242" i="17" s="1"/>
  <c r="I242" i="17"/>
  <c r="H241" i="17"/>
  <c r="P241" i="17" s="1"/>
  <c r="I241" i="17"/>
  <c r="H240" i="17"/>
  <c r="I240" i="17"/>
  <c r="H239" i="17"/>
  <c r="P239" i="17" s="1"/>
  <c r="I239" i="17"/>
  <c r="H238" i="17"/>
  <c r="P238" i="17" s="1"/>
  <c r="I238" i="17"/>
  <c r="H237" i="17"/>
  <c r="P237" i="17" s="1"/>
  <c r="I237" i="17"/>
  <c r="H236" i="17"/>
  <c r="I236" i="17"/>
  <c r="H235" i="17"/>
  <c r="P235" i="17" s="1"/>
  <c r="I235" i="17"/>
  <c r="H234" i="17"/>
  <c r="P234" i="17" s="1"/>
  <c r="I234" i="17"/>
  <c r="H233" i="17"/>
  <c r="P233" i="17" s="1"/>
  <c r="I233" i="17"/>
  <c r="H232" i="17"/>
  <c r="I232" i="17"/>
  <c r="H231" i="17"/>
  <c r="I231" i="17"/>
  <c r="H230" i="17"/>
  <c r="P230" i="17" s="1"/>
  <c r="I230" i="17"/>
  <c r="H229" i="17"/>
  <c r="I229" i="17"/>
  <c r="H228" i="17"/>
  <c r="P228" i="17" s="1"/>
  <c r="I228" i="17"/>
  <c r="H227" i="17"/>
  <c r="I227" i="17"/>
  <c r="H226" i="17"/>
  <c r="P226" i="17" s="1"/>
  <c r="I226" i="17"/>
  <c r="H225" i="17"/>
  <c r="I225" i="17"/>
  <c r="H224" i="17"/>
  <c r="P224" i="17" s="1"/>
  <c r="I224" i="17"/>
  <c r="H223" i="17"/>
  <c r="I223" i="17"/>
  <c r="H222" i="17"/>
  <c r="P222" i="17" s="1"/>
  <c r="I222" i="17"/>
  <c r="H221" i="17"/>
  <c r="I221" i="17"/>
  <c r="H220" i="17"/>
  <c r="P220" i="17" s="1"/>
  <c r="I220" i="17"/>
  <c r="H219" i="17"/>
  <c r="I219" i="17"/>
  <c r="H218" i="17"/>
  <c r="P218" i="17" s="1"/>
  <c r="I218" i="17"/>
  <c r="H217" i="17"/>
  <c r="I217" i="17"/>
  <c r="H216" i="17"/>
  <c r="P216" i="17" s="1"/>
  <c r="I216" i="17"/>
  <c r="H215" i="17"/>
  <c r="I215" i="17"/>
  <c r="H214" i="17"/>
  <c r="P214" i="17" s="1"/>
  <c r="I214" i="17"/>
  <c r="H213" i="17"/>
  <c r="I213" i="17"/>
  <c r="H212" i="17"/>
  <c r="P212" i="17" s="1"/>
  <c r="I212" i="17"/>
  <c r="H211" i="17"/>
  <c r="I211" i="17"/>
  <c r="H210" i="17"/>
  <c r="P210" i="17" s="1"/>
  <c r="I210" i="17"/>
  <c r="H209" i="17"/>
  <c r="I209" i="17"/>
  <c r="H208" i="17"/>
  <c r="P208" i="17" s="1"/>
  <c r="I208" i="17"/>
  <c r="H207" i="17"/>
  <c r="I207" i="17"/>
  <c r="H206" i="17"/>
  <c r="P206" i="17" s="1"/>
  <c r="I206" i="17"/>
  <c r="H205" i="17"/>
  <c r="I205" i="17"/>
  <c r="H204" i="17"/>
  <c r="P204" i="17" s="1"/>
  <c r="I204" i="17"/>
  <c r="H203" i="17"/>
  <c r="I203" i="17"/>
  <c r="H202" i="17"/>
  <c r="P202" i="17" s="1"/>
  <c r="I202" i="17"/>
  <c r="H201" i="17"/>
  <c r="I201" i="17"/>
  <c r="H200" i="17"/>
  <c r="P200" i="17" s="1"/>
  <c r="I200" i="17"/>
  <c r="H199" i="17"/>
  <c r="I199" i="17"/>
  <c r="H198" i="17"/>
  <c r="P198" i="17" s="1"/>
  <c r="I198" i="17"/>
  <c r="H197" i="17"/>
  <c r="I197" i="17"/>
  <c r="H196" i="17"/>
  <c r="I196" i="17"/>
  <c r="H195" i="17"/>
  <c r="I195" i="17"/>
  <c r="H194" i="17"/>
  <c r="I194" i="17"/>
  <c r="H193" i="17"/>
  <c r="I193" i="17"/>
  <c r="H192" i="17"/>
  <c r="I192" i="17"/>
  <c r="H191" i="17"/>
  <c r="I191" i="17"/>
  <c r="H190" i="17"/>
  <c r="I190" i="17"/>
  <c r="H189" i="17"/>
  <c r="I189" i="17"/>
  <c r="H188" i="17"/>
  <c r="I188" i="17"/>
  <c r="H187" i="17"/>
  <c r="I187" i="17"/>
  <c r="H186" i="17"/>
  <c r="I186" i="17"/>
  <c r="H185" i="17"/>
  <c r="I185" i="17"/>
  <c r="H184" i="17"/>
  <c r="I184" i="17"/>
  <c r="H183" i="17"/>
  <c r="I183" i="17"/>
  <c r="H182" i="17"/>
  <c r="I182" i="17"/>
  <c r="H181" i="17"/>
  <c r="I181" i="17"/>
  <c r="H180" i="17"/>
  <c r="I180" i="17"/>
  <c r="H179" i="17"/>
  <c r="I179" i="17"/>
  <c r="H178" i="17"/>
  <c r="I178" i="17"/>
  <c r="H177" i="17"/>
  <c r="I177" i="17"/>
  <c r="H176" i="17"/>
  <c r="I176" i="17"/>
  <c r="H175" i="17"/>
  <c r="I175" i="17"/>
  <c r="H174" i="17"/>
  <c r="I174" i="17"/>
  <c r="H173" i="17"/>
  <c r="I173" i="17"/>
  <c r="H172" i="17"/>
  <c r="I172" i="17"/>
  <c r="H171" i="17"/>
  <c r="I171" i="17"/>
  <c r="H170" i="17"/>
  <c r="I170" i="17"/>
  <c r="H169" i="17"/>
  <c r="I169" i="17"/>
  <c r="H168" i="17"/>
  <c r="I168" i="17"/>
  <c r="H167" i="17"/>
  <c r="I167" i="17"/>
  <c r="H166" i="17"/>
  <c r="I166" i="17"/>
  <c r="H165" i="17"/>
  <c r="I165" i="17"/>
  <c r="H164" i="17"/>
  <c r="I164" i="17"/>
  <c r="H163" i="17"/>
  <c r="I163" i="17"/>
  <c r="H162" i="17"/>
  <c r="I162" i="17"/>
  <c r="H161" i="17"/>
  <c r="I161" i="17"/>
  <c r="H160" i="17"/>
  <c r="I160" i="17"/>
  <c r="H159" i="17"/>
  <c r="I159" i="17"/>
  <c r="H158" i="17"/>
  <c r="I158" i="17"/>
  <c r="H157" i="17"/>
  <c r="I157" i="17"/>
  <c r="H156" i="17"/>
  <c r="I156" i="17"/>
  <c r="H155" i="17"/>
  <c r="I155" i="17"/>
  <c r="H154" i="17"/>
  <c r="I154" i="17"/>
  <c r="H153" i="17"/>
  <c r="I153" i="17"/>
  <c r="H152" i="17"/>
  <c r="I152" i="17"/>
  <c r="H151" i="17"/>
  <c r="I151" i="17"/>
  <c r="H150" i="17"/>
  <c r="I150" i="17"/>
  <c r="H149" i="17"/>
  <c r="I149" i="17"/>
  <c r="H148" i="17"/>
  <c r="I148" i="17"/>
  <c r="H147" i="17"/>
  <c r="I147" i="17"/>
  <c r="H146" i="17"/>
  <c r="I146" i="17"/>
  <c r="H145" i="17"/>
  <c r="I145" i="17"/>
  <c r="H144" i="17"/>
  <c r="I144" i="17"/>
  <c r="H143" i="17"/>
  <c r="I143" i="17"/>
  <c r="H142" i="17"/>
  <c r="I142" i="17"/>
  <c r="H141" i="17"/>
  <c r="I141" i="17"/>
  <c r="H140" i="17"/>
  <c r="I140" i="17"/>
  <c r="H139" i="17"/>
  <c r="I139" i="17"/>
  <c r="H138" i="17"/>
  <c r="I138" i="17"/>
  <c r="H137" i="17"/>
  <c r="I137" i="17"/>
  <c r="H136" i="17"/>
  <c r="I136" i="17"/>
  <c r="H135" i="17"/>
  <c r="I135" i="17"/>
  <c r="H134" i="17"/>
  <c r="I134" i="17"/>
  <c r="H133" i="17"/>
  <c r="I133" i="17"/>
  <c r="H132" i="17"/>
  <c r="I132" i="17"/>
  <c r="H131" i="17"/>
  <c r="I131" i="17"/>
  <c r="H130" i="17"/>
  <c r="I130" i="17"/>
  <c r="H129" i="17"/>
  <c r="I129" i="17"/>
  <c r="H128" i="17"/>
  <c r="I128" i="17"/>
  <c r="H127" i="17"/>
  <c r="I127" i="17"/>
  <c r="H126" i="17"/>
  <c r="I126" i="17"/>
  <c r="H125" i="17"/>
  <c r="I125" i="17"/>
  <c r="H124" i="17"/>
  <c r="I124" i="17"/>
  <c r="H123" i="17"/>
  <c r="I123" i="17"/>
  <c r="H122" i="17"/>
  <c r="I122" i="17"/>
  <c r="H121" i="17"/>
  <c r="I121" i="17"/>
  <c r="H120" i="17"/>
  <c r="I120" i="17"/>
  <c r="H119" i="17"/>
  <c r="I119" i="17"/>
  <c r="H118" i="17"/>
  <c r="I118" i="17"/>
  <c r="H117" i="17"/>
  <c r="I117" i="17"/>
  <c r="H116" i="17"/>
  <c r="I116" i="17"/>
  <c r="H115" i="17"/>
  <c r="I115" i="17"/>
  <c r="H114" i="17"/>
  <c r="I114" i="17"/>
  <c r="H113" i="17"/>
  <c r="I113" i="17"/>
  <c r="H112" i="17"/>
  <c r="I112" i="17"/>
  <c r="H111" i="17"/>
  <c r="I111" i="17"/>
  <c r="H110" i="17"/>
  <c r="I110" i="17"/>
  <c r="H109" i="17"/>
  <c r="I109" i="17"/>
  <c r="H108" i="17"/>
  <c r="I108" i="17"/>
  <c r="H107" i="17"/>
  <c r="I107" i="17"/>
  <c r="H106" i="17"/>
  <c r="I106" i="17"/>
  <c r="H105" i="17"/>
  <c r="I105" i="17"/>
  <c r="H104" i="17"/>
  <c r="I104" i="17"/>
  <c r="H103" i="17"/>
  <c r="I103" i="17"/>
  <c r="H102" i="17"/>
  <c r="I102" i="17"/>
  <c r="H101" i="17"/>
  <c r="I101" i="17"/>
  <c r="H100" i="17"/>
  <c r="I100" i="17"/>
  <c r="H99" i="17"/>
  <c r="I99" i="17"/>
  <c r="H98" i="17"/>
  <c r="I98" i="17"/>
  <c r="H97" i="17"/>
  <c r="I97" i="17"/>
  <c r="H96" i="17"/>
  <c r="I96" i="17"/>
  <c r="H95" i="17"/>
  <c r="I95" i="17"/>
  <c r="H94" i="17"/>
  <c r="I94" i="17"/>
  <c r="H93" i="17"/>
  <c r="I93" i="17"/>
  <c r="H92" i="17"/>
  <c r="I92" i="17"/>
  <c r="H91" i="17"/>
  <c r="I91" i="17"/>
  <c r="H90" i="17"/>
  <c r="I90" i="17"/>
  <c r="H89" i="17"/>
  <c r="I89" i="17"/>
  <c r="H88" i="17"/>
  <c r="I88" i="17"/>
  <c r="H87" i="17"/>
  <c r="I87" i="17"/>
  <c r="H86" i="17"/>
  <c r="I86" i="17"/>
  <c r="H85" i="17"/>
  <c r="I85" i="17"/>
  <c r="H84" i="17"/>
  <c r="I84" i="17"/>
  <c r="H83" i="17"/>
  <c r="I83" i="17"/>
  <c r="H82" i="17"/>
  <c r="I82" i="17"/>
  <c r="H81" i="17"/>
  <c r="I81" i="17"/>
  <c r="H80" i="17"/>
  <c r="I80" i="17"/>
  <c r="H79" i="17"/>
  <c r="I79" i="17"/>
  <c r="H78" i="17"/>
  <c r="I78" i="17"/>
  <c r="H77" i="17"/>
  <c r="I77" i="17"/>
  <c r="H76" i="17"/>
  <c r="I76" i="17"/>
  <c r="H75" i="17"/>
  <c r="I75" i="17"/>
  <c r="H74" i="17"/>
  <c r="I74" i="17"/>
  <c r="H73" i="17"/>
  <c r="I73" i="17"/>
  <c r="H72" i="17"/>
  <c r="I72" i="17"/>
  <c r="H71" i="17"/>
  <c r="I71" i="17"/>
  <c r="H70" i="17"/>
  <c r="I70" i="17"/>
  <c r="H69" i="17"/>
  <c r="I69" i="17"/>
  <c r="H68" i="17"/>
  <c r="I68" i="17"/>
  <c r="H67" i="17"/>
  <c r="I67" i="17"/>
  <c r="H66" i="17"/>
  <c r="I66" i="17"/>
  <c r="H65" i="17"/>
  <c r="I65" i="17"/>
  <c r="H64" i="17"/>
  <c r="I64" i="17"/>
  <c r="H63" i="17"/>
  <c r="I63" i="17"/>
  <c r="H62" i="17"/>
  <c r="I62" i="17"/>
  <c r="H61" i="17"/>
  <c r="I61" i="17"/>
  <c r="H60" i="17"/>
  <c r="I60" i="17"/>
  <c r="H59" i="17"/>
  <c r="I59" i="17"/>
  <c r="H58" i="17"/>
  <c r="I58" i="17"/>
  <c r="H57" i="17"/>
  <c r="I57" i="17"/>
  <c r="H56" i="17"/>
  <c r="I56" i="17"/>
  <c r="H55" i="17"/>
  <c r="I55" i="17"/>
  <c r="H54" i="17"/>
  <c r="I54" i="17"/>
  <c r="H53" i="17"/>
  <c r="I53" i="17"/>
  <c r="H52" i="17"/>
  <c r="I52" i="17"/>
  <c r="H51" i="17"/>
  <c r="I51" i="17"/>
  <c r="H50" i="17"/>
  <c r="I50" i="17"/>
  <c r="H49" i="17"/>
  <c r="I49" i="17"/>
  <c r="H48" i="17"/>
  <c r="I48" i="17"/>
  <c r="H47" i="17"/>
  <c r="I47" i="17"/>
  <c r="H46" i="17"/>
  <c r="I46" i="17"/>
  <c r="H45" i="17"/>
  <c r="I45" i="17"/>
  <c r="H44" i="17"/>
  <c r="I44" i="17"/>
  <c r="H43" i="17"/>
  <c r="I43" i="17"/>
  <c r="H42" i="17"/>
  <c r="I42" i="17"/>
  <c r="H41" i="17"/>
  <c r="I41" i="17"/>
  <c r="H40" i="17"/>
  <c r="I40" i="17"/>
  <c r="H39" i="17"/>
  <c r="I39" i="17"/>
  <c r="H38" i="17"/>
  <c r="I38" i="17"/>
  <c r="H37" i="17"/>
  <c r="I37" i="17"/>
  <c r="H36" i="17"/>
  <c r="I36" i="17"/>
  <c r="H35" i="17"/>
  <c r="I35" i="17"/>
  <c r="H34" i="17"/>
  <c r="I34" i="17"/>
  <c r="H33" i="17"/>
  <c r="I33" i="17"/>
  <c r="H32" i="17"/>
  <c r="I32" i="17"/>
  <c r="H31" i="17"/>
  <c r="I31" i="17"/>
  <c r="H30" i="17"/>
  <c r="I30" i="17"/>
  <c r="H29" i="17"/>
  <c r="I29" i="17"/>
  <c r="H28" i="17"/>
  <c r="I28" i="17"/>
  <c r="H27" i="17"/>
  <c r="I27" i="17"/>
  <c r="H26" i="17"/>
  <c r="I26" i="17"/>
  <c r="H25" i="17"/>
  <c r="I25" i="17"/>
  <c r="H24" i="17"/>
  <c r="I24" i="17"/>
  <c r="H23" i="17"/>
  <c r="I23" i="17"/>
  <c r="H22" i="17"/>
  <c r="I22" i="17"/>
  <c r="H21" i="17"/>
  <c r="I21" i="17"/>
  <c r="H20" i="17"/>
  <c r="I20" i="17"/>
  <c r="H19" i="17"/>
  <c r="I19" i="17"/>
  <c r="H18" i="17"/>
  <c r="I18" i="17"/>
  <c r="X272" i="4"/>
  <c r="CX272" i="4" s="1"/>
  <c r="X271" i="4"/>
  <c r="CX271" i="4" s="1"/>
  <c r="X270" i="4"/>
  <c r="CX270" i="4" s="1"/>
  <c r="X269" i="4"/>
  <c r="CX269" i="4" s="1"/>
  <c r="X268" i="4"/>
  <c r="CX268" i="4" s="1"/>
  <c r="X267" i="4"/>
  <c r="CX267" i="4" s="1"/>
  <c r="X266" i="4"/>
  <c r="CX266" i="4" s="1"/>
  <c r="X265" i="4"/>
  <c r="CX265" i="4" s="1"/>
  <c r="X264" i="4"/>
  <c r="CX264" i="4" s="1"/>
  <c r="X263" i="4"/>
  <c r="CX263" i="4" s="1"/>
  <c r="X262" i="4"/>
  <c r="CX262" i="4" s="1"/>
  <c r="X261" i="4"/>
  <c r="CX261" i="4" s="1"/>
  <c r="X260" i="4"/>
  <c r="CX260" i="4" s="1"/>
  <c r="X259" i="4"/>
  <c r="CX259" i="4" s="1"/>
  <c r="X258" i="4"/>
  <c r="CX258" i="4" s="1"/>
  <c r="X257" i="4"/>
  <c r="CX257" i="4" s="1"/>
  <c r="X256" i="4"/>
  <c r="CX256" i="4" s="1"/>
  <c r="X255" i="4"/>
  <c r="CX255" i="4" s="1"/>
  <c r="X254" i="4"/>
  <c r="CX254" i="4" s="1"/>
  <c r="X253" i="4"/>
  <c r="CX253" i="4" s="1"/>
  <c r="X252" i="4"/>
  <c r="CX252" i="4" s="1"/>
  <c r="X251" i="4"/>
  <c r="CX251" i="4" s="1"/>
  <c r="X250" i="4"/>
  <c r="CX250" i="4" s="1"/>
  <c r="X249" i="4"/>
  <c r="CX249" i="4" s="1"/>
  <c r="X248" i="4"/>
  <c r="CX248" i="4" s="1"/>
  <c r="X247" i="4"/>
  <c r="CX247" i="4" s="1"/>
  <c r="X246" i="4"/>
  <c r="CX246" i="4" s="1"/>
  <c r="X245" i="4"/>
  <c r="CX245" i="4" s="1"/>
  <c r="X244" i="4"/>
  <c r="CX244" i="4" s="1"/>
  <c r="X243" i="4"/>
  <c r="CX243" i="4" s="1"/>
  <c r="X242" i="4"/>
  <c r="CX242" i="4" s="1"/>
  <c r="X241" i="4"/>
  <c r="CX241" i="4" s="1"/>
  <c r="X240" i="4"/>
  <c r="CX240" i="4" s="1"/>
  <c r="X239" i="4"/>
  <c r="CX239" i="4" s="1"/>
  <c r="X238" i="4"/>
  <c r="CX238" i="4" s="1"/>
  <c r="X237" i="4"/>
  <c r="CX237" i="4" s="1"/>
  <c r="X236" i="4"/>
  <c r="CX236" i="4" s="1"/>
  <c r="X235" i="4"/>
  <c r="CX235" i="4" s="1"/>
  <c r="X234" i="4"/>
  <c r="CX234" i="4" s="1"/>
  <c r="X233" i="4"/>
  <c r="CX233" i="4" s="1"/>
  <c r="X232" i="4"/>
  <c r="CX232" i="4" s="1"/>
  <c r="X231" i="4"/>
  <c r="CX231" i="4" s="1"/>
  <c r="X230" i="4"/>
  <c r="CX230" i="4" s="1"/>
  <c r="X229" i="4"/>
  <c r="CX229" i="4" s="1"/>
  <c r="X228" i="4"/>
  <c r="CX228" i="4" s="1"/>
  <c r="X227" i="4"/>
  <c r="CX227" i="4" s="1"/>
  <c r="X226" i="4"/>
  <c r="CX226" i="4" s="1"/>
  <c r="X225" i="4"/>
  <c r="CX225" i="4" s="1"/>
  <c r="X224" i="4"/>
  <c r="CX224" i="4" s="1"/>
  <c r="X223" i="4"/>
  <c r="CX223" i="4" s="1"/>
  <c r="X222" i="4"/>
  <c r="CX222" i="4" s="1"/>
  <c r="X221" i="4"/>
  <c r="CX221" i="4" s="1"/>
  <c r="X220" i="4"/>
  <c r="CX220" i="4" s="1"/>
  <c r="X219" i="4"/>
  <c r="CX219" i="4" s="1"/>
  <c r="X218" i="4"/>
  <c r="CX218" i="4" s="1"/>
  <c r="X217" i="4"/>
  <c r="CX217" i="4" s="1"/>
  <c r="X216" i="4"/>
  <c r="CX216" i="4" s="1"/>
  <c r="X215" i="4"/>
  <c r="CX215" i="4" s="1"/>
  <c r="X214" i="4"/>
  <c r="CX214" i="4" s="1"/>
  <c r="X213" i="4"/>
  <c r="CX213" i="4" s="1"/>
  <c r="X212" i="4"/>
  <c r="CX212" i="4" s="1"/>
  <c r="X211" i="4"/>
  <c r="CX211" i="4" s="1"/>
  <c r="X210" i="4"/>
  <c r="CX210" i="4" s="1"/>
  <c r="X209" i="4"/>
  <c r="CX209" i="4" s="1"/>
  <c r="X208" i="4"/>
  <c r="CX208" i="4" s="1"/>
  <c r="X207" i="4"/>
  <c r="CX207" i="4" s="1"/>
  <c r="X206" i="4"/>
  <c r="CX206" i="4" s="1"/>
  <c r="X205" i="4"/>
  <c r="CX205" i="4" s="1"/>
  <c r="X204" i="4"/>
  <c r="CX204" i="4" s="1"/>
  <c r="X203" i="4"/>
  <c r="CX203" i="4" s="1"/>
  <c r="X202" i="4"/>
  <c r="CX202" i="4" s="1"/>
  <c r="X201" i="4"/>
  <c r="CX201" i="4" s="1"/>
  <c r="X200" i="4"/>
  <c r="CX200" i="4" s="1"/>
  <c r="X199" i="4"/>
  <c r="CX199" i="4" s="1"/>
  <c r="X198" i="4"/>
  <c r="CX198" i="4" s="1"/>
  <c r="X197" i="4"/>
  <c r="CX197" i="4" s="1"/>
  <c r="X196" i="4"/>
  <c r="CX196" i="4" s="1"/>
  <c r="X195" i="4"/>
  <c r="CX195" i="4" s="1"/>
  <c r="X194" i="4"/>
  <c r="CX194" i="4" s="1"/>
  <c r="X193" i="4"/>
  <c r="CX193" i="4" s="1"/>
  <c r="X192" i="4"/>
  <c r="CX192" i="4" s="1"/>
  <c r="X191" i="4"/>
  <c r="CX191" i="4" s="1"/>
  <c r="X190" i="4"/>
  <c r="CX190" i="4" s="1"/>
  <c r="X189" i="4"/>
  <c r="CX189" i="4" s="1"/>
  <c r="X188" i="4"/>
  <c r="CX188" i="4" s="1"/>
  <c r="X187" i="4"/>
  <c r="CX187" i="4" s="1"/>
  <c r="X186" i="4"/>
  <c r="CX186" i="4" s="1"/>
  <c r="X185" i="4"/>
  <c r="CX185" i="4" s="1"/>
  <c r="X184" i="4"/>
  <c r="CX184" i="4" s="1"/>
  <c r="X183" i="4"/>
  <c r="CX183" i="4" s="1"/>
  <c r="X182" i="4"/>
  <c r="CX182" i="4" s="1"/>
  <c r="X181" i="4"/>
  <c r="CX181" i="4" s="1"/>
  <c r="X180" i="4"/>
  <c r="CX180" i="4" s="1"/>
  <c r="X179" i="4"/>
  <c r="CX179" i="4" s="1"/>
  <c r="X178" i="4"/>
  <c r="CX178" i="4" s="1"/>
  <c r="X177" i="4"/>
  <c r="CX177" i="4" s="1"/>
  <c r="X176" i="4"/>
  <c r="CX176" i="4" s="1"/>
  <c r="X175" i="4"/>
  <c r="CX175" i="4" s="1"/>
  <c r="X174" i="4"/>
  <c r="CX174" i="4" s="1"/>
  <c r="X173" i="4"/>
  <c r="CX173" i="4" s="1"/>
  <c r="X172" i="4"/>
  <c r="CX172" i="4" s="1"/>
  <c r="X171" i="4"/>
  <c r="CX171" i="4" s="1"/>
  <c r="X170" i="4"/>
  <c r="CX170" i="4" s="1"/>
  <c r="X169" i="4"/>
  <c r="CX169" i="4" s="1"/>
  <c r="X168" i="4"/>
  <c r="CX168" i="4" s="1"/>
  <c r="X167" i="4"/>
  <c r="CX167" i="4" s="1"/>
  <c r="X166" i="4"/>
  <c r="CX166" i="4" s="1"/>
  <c r="X165" i="4"/>
  <c r="CX165" i="4" s="1"/>
  <c r="X164" i="4"/>
  <c r="CX164" i="4" s="1"/>
  <c r="X163" i="4"/>
  <c r="CX163" i="4" s="1"/>
  <c r="X162" i="4"/>
  <c r="CX162" i="4" s="1"/>
  <c r="X161" i="4"/>
  <c r="CX161" i="4" s="1"/>
  <c r="X160" i="4"/>
  <c r="CX160" i="4" s="1"/>
  <c r="X159" i="4"/>
  <c r="CX159" i="4" s="1"/>
  <c r="X158" i="4"/>
  <c r="CX158" i="4" s="1"/>
  <c r="X157" i="4"/>
  <c r="CX157" i="4" s="1"/>
  <c r="X156" i="4"/>
  <c r="CX156" i="4" s="1"/>
  <c r="X155" i="4"/>
  <c r="CX155" i="4" s="1"/>
  <c r="X154" i="4"/>
  <c r="CX154" i="4" s="1"/>
  <c r="X153" i="4"/>
  <c r="CX153" i="4" s="1"/>
  <c r="X152" i="4"/>
  <c r="CX152" i="4" s="1"/>
  <c r="X151" i="4"/>
  <c r="CX151" i="4" s="1"/>
  <c r="X150" i="4"/>
  <c r="CX150" i="4" s="1"/>
  <c r="X149" i="4"/>
  <c r="CX149" i="4" s="1"/>
  <c r="X148" i="4"/>
  <c r="CX148" i="4" s="1"/>
  <c r="X147" i="4"/>
  <c r="CX147" i="4" s="1"/>
  <c r="X146" i="4"/>
  <c r="CX146" i="4" s="1"/>
  <c r="X145" i="4"/>
  <c r="CX145" i="4" s="1"/>
  <c r="X144" i="4"/>
  <c r="CX144" i="4" s="1"/>
  <c r="X143" i="4"/>
  <c r="CX143" i="4" s="1"/>
  <c r="X142" i="4"/>
  <c r="CX142" i="4" s="1"/>
  <c r="X141" i="4"/>
  <c r="CX141" i="4" s="1"/>
  <c r="X140" i="4"/>
  <c r="CX140" i="4" s="1"/>
  <c r="X139" i="4"/>
  <c r="CX139" i="4" s="1"/>
  <c r="X138" i="4"/>
  <c r="CX138" i="4" s="1"/>
  <c r="X137" i="4"/>
  <c r="CX137" i="4" s="1"/>
  <c r="X136" i="4"/>
  <c r="CX136" i="4" s="1"/>
  <c r="X135" i="4"/>
  <c r="CX135" i="4" s="1"/>
  <c r="X134" i="4"/>
  <c r="CX134" i="4" s="1"/>
  <c r="X133" i="4"/>
  <c r="CX133" i="4" s="1"/>
  <c r="X132" i="4"/>
  <c r="CX132" i="4" s="1"/>
  <c r="X131" i="4"/>
  <c r="CX131" i="4" s="1"/>
  <c r="X130" i="4"/>
  <c r="CX130" i="4" s="1"/>
  <c r="X129" i="4"/>
  <c r="CX129" i="4" s="1"/>
  <c r="X128" i="4"/>
  <c r="CX128" i="4" s="1"/>
  <c r="X127" i="4"/>
  <c r="CX127" i="4" s="1"/>
  <c r="X126" i="4"/>
  <c r="CX126" i="4" s="1"/>
  <c r="X125" i="4"/>
  <c r="CX125" i="4" s="1"/>
  <c r="X124" i="4"/>
  <c r="CX124" i="4" s="1"/>
  <c r="X123" i="4"/>
  <c r="CX123" i="4" s="1"/>
  <c r="X122" i="4"/>
  <c r="CX122" i="4" s="1"/>
  <c r="AC267" i="17"/>
  <c r="AD267" i="17"/>
  <c r="AE267" i="17"/>
  <c r="AF267" i="17"/>
  <c r="AG267" i="17"/>
  <c r="AH267" i="17"/>
  <c r="L267" i="17"/>
  <c r="M267" i="17"/>
  <c r="N267" i="17" s="1"/>
  <c r="O267" i="17" s="1"/>
  <c r="D267" i="17"/>
  <c r="C267" i="17"/>
  <c r="B267" i="17"/>
  <c r="AC266" i="17"/>
  <c r="AD266" i="17"/>
  <c r="AE266" i="17"/>
  <c r="AF266" i="17"/>
  <c r="AG266" i="17"/>
  <c r="AH266" i="17"/>
  <c r="L266" i="17"/>
  <c r="M266" i="17"/>
  <c r="N266" i="17" s="1"/>
  <c r="O266" i="17" s="1"/>
  <c r="D266" i="17"/>
  <c r="C266" i="17"/>
  <c r="B266" i="17"/>
  <c r="AC265" i="17"/>
  <c r="AD265" i="17"/>
  <c r="AE265" i="17"/>
  <c r="AF265" i="17"/>
  <c r="AG265" i="17"/>
  <c r="AH265" i="17"/>
  <c r="L265" i="17"/>
  <c r="M265" i="17"/>
  <c r="N265" i="17" s="1"/>
  <c r="O265" i="17" s="1"/>
  <c r="D265" i="17"/>
  <c r="C265" i="17"/>
  <c r="B265" i="17"/>
  <c r="AC264" i="17"/>
  <c r="AD264" i="17"/>
  <c r="AE264" i="17"/>
  <c r="AF264" i="17"/>
  <c r="AG264" i="17"/>
  <c r="AH264" i="17"/>
  <c r="L264" i="17"/>
  <c r="M264" i="17"/>
  <c r="N264" i="17" s="1"/>
  <c r="O264" i="17" s="1"/>
  <c r="D264" i="17"/>
  <c r="C264" i="17"/>
  <c r="B264" i="17"/>
  <c r="AC263" i="17"/>
  <c r="AD263" i="17"/>
  <c r="AE263" i="17"/>
  <c r="AF263" i="17"/>
  <c r="AG263" i="17"/>
  <c r="AH263" i="17"/>
  <c r="L263" i="17"/>
  <c r="M263" i="17"/>
  <c r="N263" i="17" s="1"/>
  <c r="O263" i="17" s="1"/>
  <c r="D263" i="17"/>
  <c r="C263" i="17"/>
  <c r="B263" i="17"/>
  <c r="AC262" i="17"/>
  <c r="AD262" i="17"/>
  <c r="AE262" i="17"/>
  <c r="AF262" i="17"/>
  <c r="AG262" i="17"/>
  <c r="AH262" i="17"/>
  <c r="L262" i="17"/>
  <c r="M262" i="17"/>
  <c r="N262" i="17" s="1"/>
  <c r="O262" i="17" s="1"/>
  <c r="D262" i="17"/>
  <c r="C262" i="17"/>
  <c r="B262" i="17"/>
  <c r="AC261" i="17"/>
  <c r="AD261" i="17"/>
  <c r="AE261" i="17"/>
  <c r="AF261" i="17"/>
  <c r="AG261" i="17"/>
  <c r="AH261" i="17"/>
  <c r="L261" i="17"/>
  <c r="M261" i="17"/>
  <c r="N261" i="17" s="1"/>
  <c r="O261" i="17" s="1"/>
  <c r="D261" i="17"/>
  <c r="C261" i="17"/>
  <c r="B261" i="17"/>
  <c r="AC260" i="17"/>
  <c r="AD260" i="17"/>
  <c r="AE260" i="17"/>
  <c r="AF260" i="17"/>
  <c r="AG260" i="17"/>
  <c r="AH260" i="17"/>
  <c r="L260" i="17"/>
  <c r="M260" i="17"/>
  <c r="N260" i="17" s="1"/>
  <c r="O260" i="17" s="1"/>
  <c r="D260" i="17"/>
  <c r="C260" i="17"/>
  <c r="B260" i="17"/>
  <c r="AC259" i="17"/>
  <c r="AD259" i="17"/>
  <c r="AE259" i="17"/>
  <c r="AF259" i="17"/>
  <c r="AG259" i="17"/>
  <c r="AH259" i="17"/>
  <c r="L259" i="17"/>
  <c r="M259" i="17"/>
  <c r="N259" i="17" s="1"/>
  <c r="O259" i="17" s="1"/>
  <c r="D259" i="17"/>
  <c r="C259" i="17"/>
  <c r="B259" i="17"/>
  <c r="AC258" i="17"/>
  <c r="AD258" i="17"/>
  <c r="AE258" i="17"/>
  <c r="AF258" i="17"/>
  <c r="AG258" i="17"/>
  <c r="AH258" i="17"/>
  <c r="L258" i="17"/>
  <c r="M258" i="17"/>
  <c r="N258" i="17" s="1"/>
  <c r="O258" i="17" s="1"/>
  <c r="D258" i="17"/>
  <c r="C258" i="17"/>
  <c r="B258" i="17"/>
  <c r="AC257" i="17"/>
  <c r="AD257" i="17"/>
  <c r="AE257" i="17"/>
  <c r="AF257" i="17"/>
  <c r="AG257" i="17"/>
  <c r="AH257" i="17"/>
  <c r="L257" i="17"/>
  <c r="M257" i="17"/>
  <c r="N257" i="17" s="1"/>
  <c r="O257" i="17" s="1"/>
  <c r="D257" i="17"/>
  <c r="C257" i="17"/>
  <c r="B257" i="17"/>
  <c r="AC256" i="17"/>
  <c r="AD256" i="17"/>
  <c r="AE256" i="17"/>
  <c r="AF256" i="17"/>
  <c r="AG256" i="17"/>
  <c r="AH256" i="17"/>
  <c r="L256" i="17"/>
  <c r="M256" i="17"/>
  <c r="N256" i="17" s="1"/>
  <c r="O256" i="17" s="1"/>
  <c r="D256" i="17"/>
  <c r="C256" i="17"/>
  <c r="B256" i="17"/>
  <c r="AC255" i="17"/>
  <c r="AD255" i="17"/>
  <c r="AE255" i="17"/>
  <c r="AF255" i="17"/>
  <c r="AG255" i="17"/>
  <c r="AH255" i="17"/>
  <c r="L255" i="17"/>
  <c r="M255" i="17"/>
  <c r="N255" i="17" s="1"/>
  <c r="O255" i="17" s="1"/>
  <c r="D255" i="17"/>
  <c r="C255" i="17"/>
  <c r="B255" i="17"/>
  <c r="AC254" i="17"/>
  <c r="AD254" i="17"/>
  <c r="AI254" i="17" s="1"/>
  <c r="AE254" i="17"/>
  <c r="AF254" i="17"/>
  <c r="AG254" i="17"/>
  <c r="AH254" i="17"/>
  <c r="L254" i="17"/>
  <c r="M254" i="17" s="1"/>
  <c r="N254" i="17"/>
  <c r="O254" i="17" s="1"/>
  <c r="D254" i="17"/>
  <c r="C254" i="17"/>
  <c r="B254" i="17"/>
  <c r="AC253" i="17"/>
  <c r="AD253" i="17"/>
  <c r="AE253" i="17"/>
  <c r="AF253" i="17"/>
  <c r="AI253" i="17" s="1"/>
  <c r="AG253" i="17"/>
  <c r="AH253" i="17"/>
  <c r="L253" i="17"/>
  <c r="M253" i="17"/>
  <c r="N253" i="17" s="1"/>
  <c r="O253" i="17"/>
  <c r="D253" i="17"/>
  <c r="C253" i="17"/>
  <c r="B253" i="17"/>
  <c r="AC252" i="17"/>
  <c r="AD252" i="17"/>
  <c r="AE252" i="17"/>
  <c r="AF252" i="17"/>
  <c r="AG252" i="17"/>
  <c r="AH252" i="17"/>
  <c r="L252" i="17"/>
  <c r="M252" i="17" s="1"/>
  <c r="N252" i="17" s="1"/>
  <c r="O252" i="17" s="1"/>
  <c r="P252" i="17"/>
  <c r="D252" i="17"/>
  <c r="C252" i="17"/>
  <c r="B252" i="17"/>
  <c r="AC251" i="17"/>
  <c r="AD251" i="17"/>
  <c r="AE251" i="17"/>
  <c r="AF251" i="17"/>
  <c r="AI251" i="17" s="1"/>
  <c r="AG251" i="17"/>
  <c r="AH251" i="17"/>
  <c r="L251" i="17"/>
  <c r="M251" i="17"/>
  <c r="N251" i="17" s="1"/>
  <c r="O251" i="17" s="1"/>
  <c r="D251" i="17"/>
  <c r="C251" i="17"/>
  <c r="B251" i="17"/>
  <c r="AC250" i="17"/>
  <c r="AD250" i="17"/>
  <c r="AI250" i="17" s="1"/>
  <c r="AE250" i="17"/>
  <c r="AF250" i="17"/>
  <c r="AG250" i="17"/>
  <c r="AH250" i="17"/>
  <c r="L250" i="17"/>
  <c r="M250" i="17" s="1"/>
  <c r="N250" i="17"/>
  <c r="O250" i="17" s="1"/>
  <c r="D250" i="17"/>
  <c r="C250" i="17"/>
  <c r="B250" i="17"/>
  <c r="AC249" i="17"/>
  <c r="AD249" i="17"/>
  <c r="AE249" i="17"/>
  <c r="AF249" i="17"/>
  <c r="AI249" i="17" s="1"/>
  <c r="AG249" i="17"/>
  <c r="AH249" i="17"/>
  <c r="L249" i="17"/>
  <c r="M249" i="17"/>
  <c r="N249" i="17" s="1"/>
  <c r="O249" i="17"/>
  <c r="D249" i="17"/>
  <c r="C249" i="17"/>
  <c r="B249" i="17"/>
  <c r="AC248" i="17"/>
  <c r="AD248" i="17"/>
  <c r="AE248" i="17"/>
  <c r="AF248" i="17"/>
  <c r="AG248" i="17"/>
  <c r="AH248" i="17"/>
  <c r="L248" i="17"/>
  <c r="M248" i="17" s="1"/>
  <c r="N248" i="17" s="1"/>
  <c r="O248" i="17" s="1"/>
  <c r="P248" i="17"/>
  <c r="D248" i="17"/>
  <c r="C248" i="17"/>
  <c r="B248" i="17"/>
  <c r="AC247" i="17"/>
  <c r="AD247" i="17"/>
  <c r="AE247" i="17"/>
  <c r="AF247" i="17"/>
  <c r="AI247" i="17" s="1"/>
  <c r="AG247" i="17"/>
  <c r="AH247" i="17"/>
  <c r="L247" i="17"/>
  <c r="M247" i="17"/>
  <c r="N247" i="17" s="1"/>
  <c r="O247" i="17" s="1"/>
  <c r="D247" i="17"/>
  <c r="C247" i="17"/>
  <c r="B247" i="17"/>
  <c r="AC246" i="17"/>
  <c r="AD246" i="17"/>
  <c r="AI246" i="17" s="1"/>
  <c r="AE246" i="17"/>
  <c r="AF246" i="17"/>
  <c r="AG246" i="17"/>
  <c r="AH246" i="17"/>
  <c r="L246" i="17"/>
  <c r="M246" i="17" s="1"/>
  <c r="N246" i="17"/>
  <c r="O246" i="17" s="1"/>
  <c r="D246" i="17"/>
  <c r="C246" i="17"/>
  <c r="B246" i="17"/>
  <c r="AC245" i="17"/>
  <c r="AD245" i="17"/>
  <c r="AE245" i="17"/>
  <c r="AF245" i="17"/>
  <c r="AI245" i="17" s="1"/>
  <c r="AG245" i="17"/>
  <c r="AH245" i="17"/>
  <c r="L245" i="17"/>
  <c r="M245" i="17"/>
  <c r="N245" i="17" s="1"/>
  <c r="O245" i="17"/>
  <c r="D245" i="17"/>
  <c r="C245" i="17"/>
  <c r="B245" i="17"/>
  <c r="AC244" i="17"/>
  <c r="AD244" i="17"/>
  <c r="AE244" i="17"/>
  <c r="AF244" i="17"/>
  <c r="AG244" i="17"/>
  <c r="AH244" i="17"/>
  <c r="L244" i="17"/>
  <c r="M244" i="17" s="1"/>
  <c r="N244" i="17" s="1"/>
  <c r="O244" i="17" s="1"/>
  <c r="P244" i="17"/>
  <c r="D244" i="17"/>
  <c r="C244" i="17"/>
  <c r="B244" i="17"/>
  <c r="AC243" i="17"/>
  <c r="AD243" i="17"/>
  <c r="AE243" i="17"/>
  <c r="AF243" i="17"/>
  <c r="AI243" i="17" s="1"/>
  <c r="AG243" i="17"/>
  <c r="AH243" i="17"/>
  <c r="L243" i="17"/>
  <c r="M243" i="17"/>
  <c r="N243" i="17" s="1"/>
  <c r="O243" i="17" s="1"/>
  <c r="D243" i="17"/>
  <c r="C243" i="17"/>
  <c r="B243" i="17"/>
  <c r="AC242" i="17"/>
  <c r="AD242" i="17"/>
  <c r="AI242" i="17" s="1"/>
  <c r="AE242" i="17"/>
  <c r="AF242" i="17"/>
  <c r="AG242" i="17"/>
  <c r="AH242" i="17"/>
  <c r="L242" i="17"/>
  <c r="M242" i="17" s="1"/>
  <c r="N242" i="17"/>
  <c r="O242" i="17" s="1"/>
  <c r="D242" i="17"/>
  <c r="C242" i="17"/>
  <c r="B242" i="17"/>
  <c r="AC241" i="17"/>
  <c r="AD241" i="17"/>
  <c r="AE241" i="17"/>
  <c r="AF241" i="17"/>
  <c r="AI241" i="17" s="1"/>
  <c r="AG241" i="17"/>
  <c r="AH241" i="17"/>
  <c r="L241" i="17"/>
  <c r="M241" i="17"/>
  <c r="N241" i="17" s="1"/>
  <c r="O241" i="17"/>
  <c r="D241" i="17"/>
  <c r="C241" i="17"/>
  <c r="B241" i="17"/>
  <c r="AC240" i="17"/>
  <c r="AD240" i="17"/>
  <c r="AE240" i="17"/>
  <c r="AF240" i="17"/>
  <c r="AG240" i="17"/>
  <c r="AH240" i="17"/>
  <c r="L240" i="17"/>
  <c r="M240" i="17" s="1"/>
  <c r="N240" i="17" s="1"/>
  <c r="O240" i="17" s="1"/>
  <c r="P240" i="17"/>
  <c r="D240" i="17"/>
  <c r="C240" i="17"/>
  <c r="B240" i="17"/>
  <c r="AC239" i="17"/>
  <c r="AD239" i="17"/>
  <c r="AE239" i="17"/>
  <c r="AF239" i="17"/>
  <c r="AI239" i="17" s="1"/>
  <c r="AG239" i="17"/>
  <c r="AH239" i="17"/>
  <c r="L239" i="17"/>
  <c r="M239" i="17"/>
  <c r="N239" i="17" s="1"/>
  <c r="O239" i="17" s="1"/>
  <c r="D239" i="17"/>
  <c r="C239" i="17"/>
  <c r="B239" i="17"/>
  <c r="AC238" i="17"/>
  <c r="AD238" i="17"/>
  <c r="AI238" i="17" s="1"/>
  <c r="AE238" i="17"/>
  <c r="AF238" i="17"/>
  <c r="AG238" i="17"/>
  <c r="AH238" i="17"/>
  <c r="L238" i="17"/>
  <c r="M238" i="17" s="1"/>
  <c r="N238" i="17"/>
  <c r="O238" i="17" s="1"/>
  <c r="D238" i="17"/>
  <c r="C238" i="17"/>
  <c r="B238" i="17"/>
  <c r="AC237" i="17"/>
  <c r="AD237" i="17"/>
  <c r="AE237" i="17"/>
  <c r="AF237" i="17"/>
  <c r="AI237" i="17" s="1"/>
  <c r="AG237" i="17"/>
  <c r="AH237" i="17"/>
  <c r="L237" i="17"/>
  <c r="M237" i="17"/>
  <c r="N237" i="17" s="1"/>
  <c r="O237" i="17"/>
  <c r="D237" i="17"/>
  <c r="C237" i="17"/>
  <c r="B237" i="17"/>
  <c r="AC236" i="17"/>
  <c r="AD236" i="17"/>
  <c r="AE236" i="17"/>
  <c r="AF236" i="17"/>
  <c r="AG236" i="17"/>
  <c r="AH236" i="17"/>
  <c r="L236" i="17"/>
  <c r="M236" i="17" s="1"/>
  <c r="N236" i="17" s="1"/>
  <c r="O236" i="17" s="1"/>
  <c r="P236" i="17"/>
  <c r="D236" i="17"/>
  <c r="C236" i="17"/>
  <c r="B236" i="17"/>
  <c r="AC235" i="17"/>
  <c r="AD235" i="17"/>
  <c r="AE235" i="17"/>
  <c r="AF235" i="17"/>
  <c r="AI235" i="17" s="1"/>
  <c r="AG235" i="17"/>
  <c r="AH235" i="17"/>
  <c r="L235" i="17"/>
  <c r="M235" i="17"/>
  <c r="N235" i="17" s="1"/>
  <c r="O235" i="17" s="1"/>
  <c r="D235" i="17"/>
  <c r="C235" i="17"/>
  <c r="B235" i="17"/>
  <c r="AC234" i="17"/>
  <c r="AD234" i="17"/>
  <c r="AI234" i="17" s="1"/>
  <c r="AE234" i="17"/>
  <c r="AF234" i="17"/>
  <c r="AG234" i="17"/>
  <c r="AH234" i="17"/>
  <c r="L234" i="17"/>
  <c r="M234" i="17" s="1"/>
  <c r="N234" i="17"/>
  <c r="O234" i="17" s="1"/>
  <c r="D234" i="17"/>
  <c r="C234" i="17"/>
  <c r="B234" i="17"/>
  <c r="AC233" i="17"/>
  <c r="AD233" i="17"/>
  <c r="AE233" i="17"/>
  <c r="AF233" i="17"/>
  <c r="AI233" i="17" s="1"/>
  <c r="AG233" i="17"/>
  <c r="AH233" i="17"/>
  <c r="L233" i="17"/>
  <c r="M233" i="17"/>
  <c r="N233" i="17" s="1"/>
  <c r="O233" i="17"/>
  <c r="D233" i="17"/>
  <c r="C233" i="17"/>
  <c r="B233" i="17"/>
  <c r="AC232" i="17"/>
  <c r="AD232" i="17"/>
  <c r="AE232" i="17"/>
  <c r="AF232" i="17"/>
  <c r="AG232" i="17"/>
  <c r="AH232" i="17"/>
  <c r="L232" i="17"/>
  <c r="M232" i="17" s="1"/>
  <c r="N232" i="17" s="1"/>
  <c r="O232" i="17" s="1"/>
  <c r="P232" i="17"/>
  <c r="D232" i="17"/>
  <c r="C232" i="17"/>
  <c r="B232" i="17"/>
  <c r="AC231" i="17"/>
  <c r="AD231" i="17"/>
  <c r="AE231" i="17"/>
  <c r="AF231" i="17"/>
  <c r="AI231" i="17" s="1"/>
  <c r="AG231" i="17"/>
  <c r="AH231" i="17"/>
  <c r="L231" i="17"/>
  <c r="M231" i="17"/>
  <c r="N231" i="17" s="1"/>
  <c r="O231" i="17" s="1"/>
  <c r="P231" i="17"/>
  <c r="D231" i="17"/>
  <c r="C231" i="17"/>
  <c r="B231" i="17"/>
  <c r="AC230" i="17"/>
  <c r="AD230" i="17"/>
  <c r="AE230" i="17"/>
  <c r="AF230" i="17"/>
  <c r="AI230" i="17" s="1"/>
  <c r="AG230" i="17"/>
  <c r="AH230" i="17"/>
  <c r="L230" i="17"/>
  <c r="M230" i="17"/>
  <c r="N230" i="17" s="1"/>
  <c r="O230" i="17"/>
  <c r="D230" i="17"/>
  <c r="C230" i="17"/>
  <c r="B230" i="17"/>
  <c r="AC229" i="17"/>
  <c r="AD229" i="17"/>
  <c r="AE229" i="17"/>
  <c r="AF229" i="17"/>
  <c r="AG229" i="17"/>
  <c r="AH229" i="17"/>
  <c r="L229" i="17"/>
  <c r="M229" i="17" s="1"/>
  <c r="N229" i="17" s="1"/>
  <c r="O229" i="17" s="1"/>
  <c r="P229" i="17"/>
  <c r="D229" i="17"/>
  <c r="C229" i="17"/>
  <c r="B229" i="17"/>
  <c r="AC228" i="17"/>
  <c r="AD228" i="17"/>
  <c r="AE228" i="17"/>
  <c r="AF228" i="17"/>
  <c r="AI228" i="17" s="1"/>
  <c r="AG228" i="17"/>
  <c r="AH228" i="17"/>
  <c r="L228" i="17"/>
  <c r="M228" i="17"/>
  <c r="N228" i="17" s="1"/>
  <c r="O228" i="17" s="1"/>
  <c r="D228" i="17"/>
  <c r="C228" i="17"/>
  <c r="B228" i="17"/>
  <c r="AC227" i="17"/>
  <c r="AD227" i="17"/>
  <c r="AI227" i="17" s="1"/>
  <c r="AE227" i="17"/>
  <c r="AF227" i="17"/>
  <c r="AG227" i="17"/>
  <c r="AH227" i="17"/>
  <c r="L227" i="17"/>
  <c r="M227" i="17" s="1"/>
  <c r="N227" i="17"/>
  <c r="O227" i="17" s="1"/>
  <c r="P227" i="17"/>
  <c r="D227" i="17"/>
  <c r="C227" i="17"/>
  <c r="B227" i="17"/>
  <c r="AC226" i="17"/>
  <c r="AD226" i="17"/>
  <c r="AE226" i="17"/>
  <c r="AF226" i="17"/>
  <c r="AI226" i="17" s="1"/>
  <c r="AG226" i="17"/>
  <c r="AH226" i="17"/>
  <c r="L226" i="17"/>
  <c r="M226" i="17"/>
  <c r="N226" i="17" s="1"/>
  <c r="O226" i="17"/>
  <c r="D226" i="17"/>
  <c r="C226" i="17"/>
  <c r="B226" i="17"/>
  <c r="AC225" i="17"/>
  <c r="AD225" i="17"/>
  <c r="AE225" i="17"/>
  <c r="AF225" i="17"/>
  <c r="AG225" i="17"/>
  <c r="AH225" i="17"/>
  <c r="L225" i="17"/>
  <c r="M225" i="17" s="1"/>
  <c r="N225" i="17" s="1"/>
  <c r="O225" i="17" s="1"/>
  <c r="P225" i="17"/>
  <c r="D225" i="17"/>
  <c r="C225" i="17"/>
  <c r="B225" i="17"/>
  <c r="AC224" i="17"/>
  <c r="AD224" i="17"/>
  <c r="AE224" i="17"/>
  <c r="AF224" i="17"/>
  <c r="AI224" i="17" s="1"/>
  <c r="AG224" i="17"/>
  <c r="AH224" i="17"/>
  <c r="L224" i="17"/>
  <c r="M224" i="17"/>
  <c r="N224" i="17" s="1"/>
  <c r="O224" i="17" s="1"/>
  <c r="D224" i="17"/>
  <c r="C224" i="17"/>
  <c r="B224" i="17"/>
  <c r="AC223" i="17"/>
  <c r="AD223" i="17"/>
  <c r="AI223" i="17" s="1"/>
  <c r="AE223" i="17"/>
  <c r="AF223" i="17"/>
  <c r="AG223" i="17"/>
  <c r="AH223" i="17"/>
  <c r="L223" i="17"/>
  <c r="M223" i="17" s="1"/>
  <c r="N223" i="17"/>
  <c r="O223" i="17" s="1"/>
  <c r="P223" i="17"/>
  <c r="D223" i="17"/>
  <c r="C223" i="17"/>
  <c r="B223" i="17"/>
  <c r="AC222" i="17"/>
  <c r="AD222" i="17"/>
  <c r="AE222" i="17"/>
  <c r="AF222" i="17"/>
  <c r="AI222" i="17" s="1"/>
  <c r="AG222" i="17"/>
  <c r="AH222" i="17"/>
  <c r="L222" i="17"/>
  <c r="M222" i="17"/>
  <c r="N222" i="17" s="1"/>
  <c r="O222" i="17"/>
  <c r="D222" i="17"/>
  <c r="C222" i="17"/>
  <c r="B222" i="17"/>
  <c r="AC221" i="17"/>
  <c r="AD221" i="17"/>
  <c r="AE221" i="17"/>
  <c r="AF221" i="17"/>
  <c r="AG221" i="17"/>
  <c r="AH221" i="17"/>
  <c r="L221" i="17"/>
  <c r="M221" i="17" s="1"/>
  <c r="N221" i="17" s="1"/>
  <c r="O221" i="17" s="1"/>
  <c r="P221" i="17"/>
  <c r="D221" i="17"/>
  <c r="C221" i="17"/>
  <c r="B221" i="17"/>
  <c r="AC220" i="17"/>
  <c r="AD220" i="17"/>
  <c r="AE220" i="17"/>
  <c r="AF220" i="17"/>
  <c r="AI220" i="17" s="1"/>
  <c r="AG220" i="17"/>
  <c r="AH220" i="17"/>
  <c r="L220" i="17"/>
  <c r="M220" i="17"/>
  <c r="N220" i="17" s="1"/>
  <c r="O220" i="17" s="1"/>
  <c r="D220" i="17"/>
  <c r="C220" i="17"/>
  <c r="B220" i="17"/>
  <c r="AC219" i="17"/>
  <c r="AD219" i="17"/>
  <c r="AI219" i="17" s="1"/>
  <c r="AE219" i="17"/>
  <c r="AF219" i="17"/>
  <c r="AG219" i="17"/>
  <c r="AH219" i="17"/>
  <c r="L219" i="17"/>
  <c r="M219" i="17" s="1"/>
  <c r="N219" i="17"/>
  <c r="O219" i="17" s="1"/>
  <c r="P219" i="17"/>
  <c r="D219" i="17"/>
  <c r="C219" i="17"/>
  <c r="B219" i="17"/>
  <c r="AC218" i="17"/>
  <c r="AD218" i="17"/>
  <c r="AE218" i="17"/>
  <c r="AF218" i="17"/>
  <c r="AI218" i="17" s="1"/>
  <c r="AG218" i="17"/>
  <c r="AH218" i="17"/>
  <c r="L218" i="17"/>
  <c r="M218" i="17"/>
  <c r="N218" i="17" s="1"/>
  <c r="O218" i="17"/>
  <c r="D218" i="17"/>
  <c r="C218" i="17"/>
  <c r="B218" i="17"/>
  <c r="AC217" i="17"/>
  <c r="AD217" i="17"/>
  <c r="AE217" i="17"/>
  <c r="AF217" i="17"/>
  <c r="AG217" i="17"/>
  <c r="AH217" i="17"/>
  <c r="L217" i="17"/>
  <c r="M217" i="17" s="1"/>
  <c r="N217" i="17" s="1"/>
  <c r="O217" i="17" s="1"/>
  <c r="P217" i="17"/>
  <c r="D217" i="17"/>
  <c r="C217" i="17"/>
  <c r="B217" i="17"/>
  <c r="AC216" i="17"/>
  <c r="AD216" i="17"/>
  <c r="AE216" i="17"/>
  <c r="AF216" i="17"/>
  <c r="AI216" i="17" s="1"/>
  <c r="AG216" i="17"/>
  <c r="AH216" i="17"/>
  <c r="L216" i="17"/>
  <c r="M216" i="17"/>
  <c r="N216" i="17" s="1"/>
  <c r="O216" i="17" s="1"/>
  <c r="D216" i="17"/>
  <c r="C216" i="17"/>
  <c r="B216" i="17"/>
  <c r="AC215" i="17"/>
  <c r="AD215" i="17"/>
  <c r="AI215" i="17" s="1"/>
  <c r="AE215" i="17"/>
  <c r="AF215" i="17"/>
  <c r="AG215" i="17"/>
  <c r="AH215" i="17"/>
  <c r="L215" i="17"/>
  <c r="M215" i="17" s="1"/>
  <c r="N215" i="17"/>
  <c r="O215" i="17" s="1"/>
  <c r="P215" i="17"/>
  <c r="D215" i="17"/>
  <c r="C215" i="17"/>
  <c r="B215" i="17"/>
  <c r="AC214" i="17"/>
  <c r="AD214" i="17"/>
  <c r="AE214" i="17"/>
  <c r="AF214" i="17"/>
  <c r="AI214" i="17" s="1"/>
  <c r="AG214" i="17"/>
  <c r="AH214" i="17"/>
  <c r="L214" i="17"/>
  <c r="M214" i="17"/>
  <c r="N214" i="17" s="1"/>
  <c r="O214" i="17"/>
  <c r="D214" i="17"/>
  <c r="C214" i="17"/>
  <c r="B214" i="17"/>
  <c r="AC213" i="17"/>
  <c r="AD213" i="17"/>
  <c r="AE213" i="17"/>
  <c r="AF213" i="17"/>
  <c r="AG213" i="17"/>
  <c r="AH213" i="17"/>
  <c r="L213" i="17"/>
  <c r="M213" i="17" s="1"/>
  <c r="N213" i="17" s="1"/>
  <c r="O213" i="17" s="1"/>
  <c r="P213" i="17"/>
  <c r="D213" i="17"/>
  <c r="C213" i="17"/>
  <c r="B213" i="17"/>
  <c r="AC212" i="17"/>
  <c r="AD212" i="17"/>
  <c r="AE212" i="17"/>
  <c r="AF212" i="17"/>
  <c r="AI212" i="17" s="1"/>
  <c r="AG212" i="17"/>
  <c r="AH212" i="17"/>
  <c r="L212" i="17"/>
  <c r="M212" i="17"/>
  <c r="N212" i="17" s="1"/>
  <c r="O212" i="17" s="1"/>
  <c r="D212" i="17"/>
  <c r="C212" i="17"/>
  <c r="B212" i="17"/>
  <c r="AC211" i="17"/>
  <c r="AD211" i="17"/>
  <c r="AI211" i="17" s="1"/>
  <c r="AE211" i="17"/>
  <c r="AF211" i="17"/>
  <c r="AG211" i="17"/>
  <c r="AH211" i="17"/>
  <c r="L211" i="17"/>
  <c r="M211" i="17" s="1"/>
  <c r="N211" i="17"/>
  <c r="O211" i="17" s="1"/>
  <c r="P211" i="17"/>
  <c r="D211" i="17"/>
  <c r="C211" i="17"/>
  <c r="B211" i="17"/>
  <c r="AC210" i="17"/>
  <c r="AD210" i="17"/>
  <c r="AE210" i="17"/>
  <c r="AF210" i="17"/>
  <c r="AI210" i="17" s="1"/>
  <c r="AG210" i="17"/>
  <c r="AH210" i="17"/>
  <c r="L210" i="17"/>
  <c r="M210" i="17"/>
  <c r="N210" i="17" s="1"/>
  <c r="O210" i="17"/>
  <c r="D210" i="17"/>
  <c r="C210" i="17"/>
  <c r="B210" i="17"/>
  <c r="AC209" i="17"/>
  <c r="AD209" i="17"/>
  <c r="AE209" i="17"/>
  <c r="AF209" i="17"/>
  <c r="AG209" i="17"/>
  <c r="AH209" i="17"/>
  <c r="L209" i="17"/>
  <c r="M209" i="17" s="1"/>
  <c r="N209" i="17" s="1"/>
  <c r="O209" i="17" s="1"/>
  <c r="P209" i="17"/>
  <c r="D209" i="17"/>
  <c r="C209" i="17"/>
  <c r="B209" i="17"/>
  <c r="AC208" i="17"/>
  <c r="AD208" i="17"/>
  <c r="AE208" i="17"/>
  <c r="AF208" i="17"/>
  <c r="AI208" i="17" s="1"/>
  <c r="AG208" i="17"/>
  <c r="AH208" i="17"/>
  <c r="L208" i="17"/>
  <c r="M208" i="17"/>
  <c r="N208" i="17" s="1"/>
  <c r="O208" i="17" s="1"/>
  <c r="D208" i="17"/>
  <c r="C208" i="17"/>
  <c r="B208" i="17"/>
  <c r="AC207" i="17"/>
  <c r="AD207" i="17"/>
  <c r="AI207" i="17" s="1"/>
  <c r="AE207" i="17"/>
  <c r="AF207" i="17"/>
  <c r="AG207" i="17"/>
  <c r="AH207" i="17"/>
  <c r="L207" i="17"/>
  <c r="M207" i="17" s="1"/>
  <c r="N207" i="17"/>
  <c r="O207" i="17" s="1"/>
  <c r="P207" i="17"/>
  <c r="D207" i="17"/>
  <c r="C207" i="17"/>
  <c r="B207" i="17"/>
  <c r="AC206" i="17"/>
  <c r="AD206" i="17"/>
  <c r="AE206" i="17"/>
  <c r="AF206" i="17"/>
  <c r="AI206" i="17" s="1"/>
  <c r="AG206" i="17"/>
  <c r="AH206" i="17"/>
  <c r="L206" i="17"/>
  <c r="M206" i="17"/>
  <c r="N206" i="17" s="1"/>
  <c r="O206" i="17"/>
  <c r="D206" i="17"/>
  <c r="C206" i="17"/>
  <c r="B206" i="17"/>
  <c r="AC205" i="17"/>
  <c r="AD205" i="17"/>
  <c r="AE205" i="17"/>
  <c r="AF205" i="17"/>
  <c r="AG205" i="17"/>
  <c r="AH205" i="17"/>
  <c r="L205" i="17"/>
  <c r="M205" i="17" s="1"/>
  <c r="N205" i="17" s="1"/>
  <c r="O205" i="17" s="1"/>
  <c r="P205" i="17"/>
  <c r="D205" i="17"/>
  <c r="C205" i="17"/>
  <c r="B205" i="17"/>
  <c r="AC204" i="17"/>
  <c r="AD204" i="17"/>
  <c r="AE204" i="17"/>
  <c r="AF204" i="17"/>
  <c r="AI204" i="17" s="1"/>
  <c r="AG204" i="17"/>
  <c r="AH204" i="17"/>
  <c r="L204" i="17"/>
  <c r="M204" i="17"/>
  <c r="N204" i="17" s="1"/>
  <c r="O204" i="17" s="1"/>
  <c r="D204" i="17"/>
  <c r="C204" i="17"/>
  <c r="B204" i="17"/>
  <c r="AC203" i="17"/>
  <c r="AD203" i="17"/>
  <c r="AI203" i="17" s="1"/>
  <c r="AE203" i="17"/>
  <c r="AF203" i="17"/>
  <c r="AG203" i="17"/>
  <c r="AH203" i="17"/>
  <c r="L203" i="17"/>
  <c r="M203" i="17" s="1"/>
  <c r="N203" i="17"/>
  <c r="O203" i="17" s="1"/>
  <c r="P203" i="17"/>
  <c r="D203" i="17"/>
  <c r="C203" i="17"/>
  <c r="B203" i="17"/>
  <c r="AC202" i="17"/>
  <c r="AD202" i="17"/>
  <c r="AE202" i="17"/>
  <c r="AF202" i="17"/>
  <c r="AI202" i="17" s="1"/>
  <c r="AG202" i="17"/>
  <c r="AH202" i="17"/>
  <c r="L202" i="17"/>
  <c r="M202" i="17"/>
  <c r="N202" i="17" s="1"/>
  <c r="O202" i="17"/>
  <c r="D202" i="17"/>
  <c r="C202" i="17"/>
  <c r="B202" i="17"/>
  <c r="AC201" i="17"/>
  <c r="AD201" i="17"/>
  <c r="AE201" i="17"/>
  <c r="AF201" i="17"/>
  <c r="AG201" i="17"/>
  <c r="AH201" i="17"/>
  <c r="L201" i="17"/>
  <c r="M201" i="17" s="1"/>
  <c r="N201" i="17" s="1"/>
  <c r="O201" i="17" s="1"/>
  <c r="P201" i="17"/>
  <c r="D201" i="17"/>
  <c r="C201" i="17"/>
  <c r="B201" i="17"/>
  <c r="AC200" i="17"/>
  <c r="AD200" i="17"/>
  <c r="AE200" i="17"/>
  <c r="AF200" i="17"/>
  <c r="AI200" i="17" s="1"/>
  <c r="AG200" i="17"/>
  <c r="AH200" i="17"/>
  <c r="L200" i="17"/>
  <c r="M200" i="17"/>
  <c r="N200" i="17" s="1"/>
  <c r="O200" i="17" s="1"/>
  <c r="D200" i="17"/>
  <c r="C200" i="17"/>
  <c r="B200" i="17"/>
  <c r="AC199" i="17"/>
  <c r="AD199" i="17"/>
  <c r="AI199" i="17" s="1"/>
  <c r="AE199" i="17"/>
  <c r="AF199" i="17"/>
  <c r="AG199" i="17"/>
  <c r="AH199" i="17"/>
  <c r="L199" i="17"/>
  <c r="M199" i="17" s="1"/>
  <c r="N199" i="17"/>
  <c r="O199" i="17" s="1"/>
  <c r="P199" i="17"/>
  <c r="D199" i="17"/>
  <c r="C199" i="17"/>
  <c r="B199" i="17"/>
  <c r="AC198" i="17"/>
  <c r="AD198" i="17"/>
  <c r="AE198" i="17"/>
  <c r="AF198" i="17"/>
  <c r="AI198" i="17" s="1"/>
  <c r="AG198" i="17"/>
  <c r="AH198" i="17"/>
  <c r="L198" i="17"/>
  <c r="M198" i="17"/>
  <c r="N198" i="17" s="1"/>
  <c r="O198" i="17"/>
  <c r="D198" i="17"/>
  <c r="C198" i="17"/>
  <c r="B198" i="17"/>
  <c r="AC197" i="17"/>
  <c r="AD197" i="17"/>
  <c r="AE197" i="17"/>
  <c r="AF197" i="17"/>
  <c r="AG197" i="17"/>
  <c r="AH197" i="17"/>
  <c r="L197" i="17"/>
  <c r="M197" i="17" s="1"/>
  <c r="N197" i="17" s="1"/>
  <c r="O197" i="17" s="1"/>
  <c r="P197" i="17"/>
  <c r="D197" i="17"/>
  <c r="C197" i="17"/>
  <c r="B197" i="17"/>
  <c r="AC196" i="17"/>
  <c r="AD196" i="17"/>
  <c r="AE196" i="17"/>
  <c r="AF196" i="17"/>
  <c r="AI196" i="17" s="1"/>
  <c r="AG196" i="17"/>
  <c r="AH196" i="17"/>
  <c r="L196" i="17"/>
  <c r="M196" i="17"/>
  <c r="N196" i="17" s="1"/>
  <c r="O196" i="17" s="1"/>
  <c r="P196" i="17"/>
  <c r="D196" i="17"/>
  <c r="C196" i="17"/>
  <c r="B196" i="17"/>
  <c r="AC195" i="17"/>
  <c r="AD195" i="17"/>
  <c r="AE195" i="17"/>
  <c r="AF195" i="17"/>
  <c r="AG195" i="17"/>
  <c r="AH195" i="17"/>
  <c r="L195" i="17"/>
  <c r="M195" i="17" s="1"/>
  <c r="N195" i="17" s="1"/>
  <c r="O195" i="17" s="1"/>
  <c r="P195" i="17"/>
  <c r="D195" i="17"/>
  <c r="C195" i="17"/>
  <c r="B195" i="17"/>
  <c r="AC194" i="17"/>
  <c r="AD194" i="17"/>
  <c r="AE194" i="17"/>
  <c r="AF194" i="17"/>
  <c r="AI194" i="17" s="1"/>
  <c r="AG194" i="17"/>
  <c r="AH194" i="17"/>
  <c r="L194" i="17"/>
  <c r="M194" i="17"/>
  <c r="N194" i="17" s="1"/>
  <c r="O194" i="17" s="1"/>
  <c r="P194" i="17"/>
  <c r="D194" i="17"/>
  <c r="C194" i="17"/>
  <c r="B194" i="17"/>
  <c r="AC193" i="17"/>
  <c r="AD193" i="17"/>
  <c r="AE193" i="17"/>
  <c r="AF193" i="17"/>
  <c r="AG193" i="17"/>
  <c r="AH193" i="17"/>
  <c r="L193" i="17"/>
  <c r="M193" i="17" s="1"/>
  <c r="N193" i="17" s="1"/>
  <c r="O193" i="17" s="1"/>
  <c r="P193" i="17"/>
  <c r="D193" i="17"/>
  <c r="C193" i="17"/>
  <c r="B193" i="17"/>
  <c r="AC192" i="17"/>
  <c r="AD192" i="17"/>
  <c r="AE192" i="17"/>
  <c r="AF192" i="17"/>
  <c r="AI192" i="17" s="1"/>
  <c r="AG192" i="17"/>
  <c r="AH192" i="17"/>
  <c r="L192" i="17"/>
  <c r="M192" i="17"/>
  <c r="N192" i="17" s="1"/>
  <c r="O192" i="17" s="1"/>
  <c r="P192" i="17"/>
  <c r="D192" i="17"/>
  <c r="C192" i="17"/>
  <c r="B192" i="17"/>
  <c r="AC191" i="17"/>
  <c r="AD191" i="17"/>
  <c r="AE191" i="17"/>
  <c r="AF191" i="17"/>
  <c r="AG191" i="17"/>
  <c r="AH191" i="17"/>
  <c r="L191" i="17"/>
  <c r="M191" i="17" s="1"/>
  <c r="N191" i="17" s="1"/>
  <c r="O191" i="17" s="1"/>
  <c r="P191" i="17"/>
  <c r="D191" i="17"/>
  <c r="C191" i="17"/>
  <c r="B191" i="17"/>
  <c r="AC190" i="17"/>
  <c r="AD190" i="17"/>
  <c r="AE190" i="17"/>
  <c r="AF190" i="17"/>
  <c r="AI190" i="17" s="1"/>
  <c r="AG190" i="17"/>
  <c r="AH190" i="17"/>
  <c r="L190" i="17"/>
  <c r="M190" i="17"/>
  <c r="N190" i="17" s="1"/>
  <c r="O190" i="17" s="1"/>
  <c r="P190" i="17"/>
  <c r="D190" i="17"/>
  <c r="C190" i="17"/>
  <c r="B190" i="17"/>
  <c r="AC189" i="17"/>
  <c r="AD189" i="17"/>
  <c r="AE189" i="17"/>
  <c r="AF189" i="17"/>
  <c r="AG189" i="17"/>
  <c r="AH189" i="17"/>
  <c r="L189" i="17"/>
  <c r="M189" i="17" s="1"/>
  <c r="N189" i="17" s="1"/>
  <c r="O189" i="17" s="1"/>
  <c r="P189" i="17"/>
  <c r="D189" i="17"/>
  <c r="C189" i="17"/>
  <c r="B189" i="17"/>
  <c r="AC188" i="17"/>
  <c r="AD188" i="17"/>
  <c r="AE188" i="17"/>
  <c r="AF188" i="17"/>
  <c r="AI188" i="17" s="1"/>
  <c r="AG188" i="17"/>
  <c r="AH188" i="17"/>
  <c r="L188" i="17"/>
  <c r="M188" i="17"/>
  <c r="N188" i="17" s="1"/>
  <c r="O188" i="17" s="1"/>
  <c r="P188" i="17"/>
  <c r="D188" i="17"/>
  <c r="C188" i="17"/>
  <c r="B188" i="17"/>
  <c r="AC187" i="17"/>
  <c r="AD187" i="17"/>
  <c r="AE187" i="17"/>
  <c r="AF187" i="17"/>
  <c r="AG187" i="17"/>
  <c r="AH187" i="17"/>
  <c r="L187" i="17"/>
  <c r="M187" i="17" s="1"/>
  <c r="N187" i="17" s="1"/>
  <c r="O187" i="17" s="1"/>
  <c r="P187" i="17"/>
  <c r="D187" i="17"/>
  <c r="C187" i="17"/>
  <c r="B187" i="17"/>
  <c r="AC186" i="17"/>
  <c r="AD186" i="17"/>
  <c r="AE186" i="17"/>
  <c r="AF186" i="17"/>
  <c r="AI186" i="17" s="1"/>
  <c r="AG186" i="17"/>
  <c r="AH186" i="17"/>
  <c r="L186" i="17"/>
  <c r="M186" i="17"/>
  <c r="N186" i="17" s="1"/>
  <c r="O186" i="17" s="1"/>
  <c r="P186" i="17"/>
  <c r="D186" i="17"/>
  <c r="C186" i="17"/>
  <c r="B186" i="17"/>
  <c r="AC185" i="17"/>
  <c r="AD185" i="17"/>
  <c r="AE185" i="17"/>
  <c r="AF185" i="17"/>
  <c r="AG185" i="17"/>
  <c r="AH185" i="17"/>
  <c r="L185" i="17"/>
  <c r="M185" i="17" s="1"/>
  <c r="N185" i="17" s="1"/>
  <c r="O185" i="17" s="1"/>
  <c r="P185" i="17"/>
  <c r="D185" i="17"/>
  <c r="C185" i="17"/>
  <c r="B185" i="17"/>
  <c r="AC184" i="17"/>
  <c r="AD184" i="17"/>
  <c r="AE184" i="17"/>
  <c r="AF184" i="17"/>
  <c r="AI184" i="17" s="1"/>
  <c r="AG184" i="17"/>
  <c r="AH184" i="17"/>
  <c r="L184" i="17"/>
  <c r="M184" i="17"/>
  <c r="N184" i="17" s="1"/>
  <c r="O184" i="17" s="1"/>
  <c r="P184" i="17"/>
  <c r="D184" i="17"/>
  <c r="C184" i="17"/>
  <c r="B184" i="17"/>
  <c r="AC183" i="17"/>
  <c r="AD183" i="17"/>
  <c r="AE183" i="17"/>
  <c r="AF183" i="17"/>
  <c r="AG183" i="17"/>
  <c r="AH183" i="17"/>
  <c r="L183" i="17"/>
  <c r="M183" i="17" s="1"/>
  <c r="N183" i="17" s="1"/>
  <c r="O183" i="17" s="1"/>
  <c r="P183" i="17"/>
  <c r="D183" i="17"/>
  <c r="C183" i="17"/>
  <c r="B183" i="17"/>
  <c r="AC182" i="17"/>
  <c r="AD182" i="17"/>
  <c r="AE182" i="17"/>
  <c r="AF182" i="17"/>
  <c r="AI182" i="17" s="1"/>
  <c r="AG182" i="17"/>
  <c r="AH182" i="17"/>
  <c r="L182" i="17"/>
  <c r="M182" i="17"/>
  <c r="N182" i="17" s="1"/>
  <c r="O182" i="17" s="1"/>
  <c r="P182" i="17"/>
  <c r="D182" i="17"/>
  <c r="C182" i="17"/>
  <c r="B182" i="17"/>
  <c r="AC181" i="17"/>
  <c r="AD181" i="17"/>
  <c r="AE181" i="17"/>
  <c r="AF181" i="17"/>
  <c r="AG181" i="17"/>
  <c r="AH181" i="17"/>
  <c r="L181" i="17"/>
  <c r="M181" i="17" s="1"/>
  <c r="N181" i="17" s="1"/>
  <c r="O181" i="17" s="1"/>
  <c r="P181" i="17"/>
  <c r="D181" i="17"/>
  <c r="C181" i="17"/>
  <c r="B181" i="17"/>
  <c r="AC180" i="17"/>
  <c r="AD180" i="17"/>
  <c r="AE180" i="17"/>
  <c r="AF180" i="17"/>
  <c r="AI180" i="17" s="1"/>
  <c r="AG180" i="17"/>
  <c r="AH180" i="17"/>
  <c r="L180" i="17"/>
  <c r="M180" i="17"/>
  <c r="N180" i="17" s="1"/>
  <c r="O180" i="17" s="1"/>
  <c r="P180" i="17"/>
  <c r="D180" i="17"/>
  <c r="C180" i="17"/>
  <c r="B180" i="17"/>
  <c r="AC179" i="17"/>
  <c r="AD179" i="17"/>
  <c r="AE179" i="17"/>
  <c r="AF179" i="17"/>
  <c r="AG179" i="17"/>
  <c r="AH179" i="17"/>
  <c r="L179" i="17"/>
  <c r="M179" i="17" s="1"/>
  <c r="N179" i="17" s="1"/>
  <c r="O179" i="17" s="1"/>
  <c r="P179" i="17"/>
  <c r="D179" i="17"/>
  <c r="C179" i="17"/>
  <c r="B179" i="17"/>
  <c r="AC178" i="17"/>
  <c r="AD178" i="17"/>
  <c r="AE178" i="17"/>
  <c r="AF178" i="17"/>
  <c r="AI178" i="17" s="1"/>
  <c r="AG178" i="17"/>
  <c r="AH178" i="17"/>
  <c r="L178" i="17"/>
  <c r="M178" i="17"/>
  <c r="N178" i="17" s="1"/>
  <c r="O178" i="17" s="1"/>
  <c r="P178" i="17"/>
  <c r="D178" i="17"/>
  <c r="C178" i="17"/>
  <c r="B178" i="17"/>
  <c r="AC177" i="17"/>
  <c r="AD177" i="17"/>
  <c r="AE177" i="17"/>
  <c r="AF177" i="17"/>
  <c r="AG177" i="17"/>
  <c r="AH177" i="17"/>
  <c r="L177" i="17"/>
  <c r="M177" i="17" s="1"/>
  <c r="N177" i="17" s="1"/>
  <c r="O177" i="17" s="1"/>
  <c r="P177" i="17"/>
  <c r="D177" i="17"/>
  <c r="C177" i="17"/>
  <c r="B177" i="17"/>
  <c r="AC176" i="17"/>
  <c r="AD176" i="17"/>
  <c r="AE176" i="17"/>
  <c r="AF176" i="17"/>
  <c r="AI176" i="17" s="1"/>
  <c r="AG176" i="17"/>
  <c r="AH176" i="17"/>
  <c r="L176" i="17"/>
  <c r="M176" i="17"/>
  <c r="N176" i="17" s="1"/>
  <c r="O176" i="17" s="1"/>
  <c r="P176" i="17"/>
  <c r="D176" i="17"/>
  <c r="C176" i="17"/>
  <c r="B176" i="17"/>
  <c r="AC175" i="17"/>
  <c r="AD175" i="17"/>
  <c r="AE175" i="17"/>
  <c r="AF175" i="17"/>
  <c r="AG175" i="17"/>
  <c r="AH175" i="17"/>
  <c r="L175" i="17"/>
  <c r="M175" i="17" s="1"/>
  <c r="N175" i="17" s="1"/>
  <c r="O175" i="17" s="1"/>
  <c r="P175" i="17"/>
  <c r="D175" i="17"/>
  <c r="C175" i="17"/>
  <c r="B175" i="17"/>
  <c r="AC174" i="17"/>
  <c r="AD174" i="17"/>
  <c r="AE174" i="17"/>
  <c r="AF174" i="17"/>
  <c r="AI174" i="17" s="1"/>
  <c r="AG174" i="17"/>
  <c r="AH174" i="17"/>
  <c r="L174" i="17"/>
  <c r="M174" i="17"/>
  <c r="N174" i="17" s="1"/>
  <c r="O174" i="17" s="1"/>
  <c r="P174" i="17"/>
  <c r="D174" i="17"/>
  <c r="C174" i="17"/>
  <c r="B174" i="17"/>
  <c r="AC173" i="17"/>
  <c r="AD173" i="17"/>
  <c r="AI173" i="17" s="1"/>
  <c r="AE173" i="17"/>
  <c r="AF173" i="17"/>
  <c r="AG173" i="17"/>
  <c r="AH173" i="17"/>
  <c r="L173" i="17"/>
  <c r="M173" i="17" s="1"/>
  <c r="N173" i="17" s="1"/>
  <c r="O173" i="17" s="1"/>
  <c r="P173" i="17"/>
  <c r="D173" i="17"/>
  <c r="C173" i="17"/>
  <c r="B173" i="17"/>
  <c r="AC172" i="17"/>
  <c r="AD172" i="17"/>
  <c r="AE172" i="17"/>
  <c r="AF172" i="17"/>
  <c r="AI172" i="17" s="1"/>
  <c r="AG172" i="17"/>
  <c r="AH172" i="17"/>
  <c r="L172" i="17"/>
  <c r="M172" i="17"/>
  <c r="N172" i="17" s="1"/>
  <c r="O172" i="17" s="1"/>
  <c r="P172" i="17"/>
  <c r="D172" i="17"/>
  <c r="C172" i="17"/>
  <c r="B172" i="17"/>
  <c r="AC171" i="17"/>
  <c r="AD171" i="17"/>
  <c r="AI171" i="17" s="1"/>
  <c r="AE171" i="17"/>
  <c r="AF171" i="17"/>
  <c r="AG171" i="17"/>
  <c r="AH171" i="17"/>
  <c r="L171" i="17"/>
  <c r="M171" i="17" s="1"/>
  <c r="N171" i="17" s="1"/>
  <c r="O171" i="17" s="1"/>
  <c r="P171" i="17"/>
  <c r="D171" i="17"/>
  <c r="C171" i="17"/>
  <c r="B171" i="17"/>
  <c r="AC170" i="17"/>
  <c r="AD170" i="17"/>
  <c r="AE170" i="17"/>
  <c r="AF170" i="17"/>
  <c r="AI170" i="17" s="1"/>
  <c r="AG170" i="17"/>
  <c r="AH170" i="17"/>
  <c r="L170" i="17"/>
  <c r="M170" i="17"/>
  <c r="N170" i="17" s="1"/>
  <c r="O170" i="17" s="1"/>
  <c r="P170" i="17"/>
  <c r="D170" i="17"/>
  <c r="C170" i="17"/>
  <c r="B170" i="17"/>
  <c r="AC169" i="17"/>
  <c r="AD169" i="17"/>
  <c r="AI169" i="17" s="1"/>
  <c r="AE169" i="17"/>
  <c r="AF169" i="17"/>
  <c r="AG169" i="17"/>
  <c r="AH169" i="17"/>
  <c r="L169" i="17"/>
  <c r="M169" i="17" s="1"/>
  <c r="N169" i="17" s="1"/>
  <c r="O169" i="17" s="1"/>
  <c r="P169" i="17"/>
  <c r="D169" i="17"/>
  <c r="C169" i="17"/>
  <c r="B169" i="17"/>
  <c r="AC168" i="17"/>
  <c r="AD168" i="17"/>
  <c r="AE168" i="17"/>
  <c r="AF168" i="17"/>
  <c r="AI168" i="17" s="1"/>
  <c r="AG168" i="17"/>
  <c r="AH168" i="17"/>
  <c r="L168" i="17"/>
  <c r="M168" i="17"/>
  <c r="N168" i="17" s="1"/>
  <c r="O168" i="17" s="1"/>
  <c r="P168" i="17"/>
  <c r="D168" i="17"/>
  <c r="C168" i="17"/>
  <c r="B168" i="17"/>
  <c r="AC167" i="17"/>
  <c r="AD167" i="17"/>
  <c r="AI167" i="17" s="1"/>
  <c r="AE167" i="17"/>
  <c r="AF167" i="17"/>
  <c r="AG167" i="17"/>
  <c r="AH167" i="17"/>
  <c r="L167" i="17"/>
  <c r="M167" i="17" s="1"/>
  <c r="N167" i="17" s="1"/>
  <c r="O167" i="17" s="1"/>
  <c r="P167" i="17"/>
  <c r="D167" i="17"/>
  <c r="C167" i="17"/>
  <c r="B167" i="17"/>
  <c r="AC166" i="17"/>
  <c r="AD166" i="17"/>
  <c r="AE166" i="17"/>
  <c r="AF166" i="17"/>
  <c r="AI166" i="17" s="1"/>
  <c r="AG166" i="17"/>
  <c r="AH166" i="17"/>
  <c r="L166" i="17"/>
  <c r="M166" i="17"/>
  <c r="N166" i="17" s="1"/>
  <c r="O166" i="17" s="1"/>
  <c r="P166" i="17"/>
  <c r="D166" i="17"/>
  <c r="C166" i="17"/>
  <c r="B166" i="17"/>
  <c r="AC165" i="17"/>
  <c r="AD165" i="17"/>
  <c r="AI165" i="17" s="1"/>
  <c r="AE165" i="17"/>
  <c r="AF165" i="17"/>
  <c r="AG165" i="17"/>
  <c r="AH165" i="17"/>
  <c r="L165" i="17"/>
  <c r="M165" i="17" s="1"/>
  <c r="N165" i="17" s="1"/>
  <c r="O165" i="17" s="1"/>
  <c r="P165" i="17"/>
  <c r="D165" i="17"/>
  <c r="C165" i="17"/>
  <c r="B165" i="17"/>
  <c r="AC164" i="17"/>
  <c r="AD164" i="17"/>
  <c r="AE164" i="17"/>
  <c r="AF164" i="17"/>
  <c r="AI164" i="17" s="1"/>
  <c r="AG164" i="17"/>
  <c r="AH164" i="17"/>
  <c r="L164" i="17"/>
  <c r="M164" i="17"/>
  <c r="N164" i="17" s="1"/>
  <c r="O164" i="17" s="1"/>
  <c r="P164" i="17"/>
  <c r="D164" i="17"/>
  <c r="C164" i="17"/>
  <c r="B164" i="17"/>
  <c r="AC163" i="17"/>
  <c r="AD163" i="17"/>
  <c r="AI163" i="17" s="1"/>
  <c r="AE163" i="17"/>
  <c r="AF163" i="17"/>
  <c r="AG163" i="17"/>
  <c r="AH163" i="17"/>
  <c r="L163" i="17"/>
  <c r="M163" i="17" s="1"/>
  <c r="N163" i="17" s="1"/>
  <c r="O163" i="17" s="1"/>
  <c r="P163" i="17"/>
  <c r="D163" i="17"/>
  <c r="C163" i="17"/>
  <c r="B163" i="17"/>
  <c r="AC162" i="17"/>
  <c r="AD162" i="17"/>
  <c r="AE162" i="17"/>
  <c r="AF162" i="17"/>
  <c r="AI162" i="17" s="1"/>
  <c r="AG162" i="17"/>
  <c r="AH162" i="17"/>
  <c r="L162" i="17"/>
  <c r="M162" i="17"/>
  <c r="N162" i="17" s="1"/>
  <c r="O162" i="17" s="1"/>
  <c r="P162" i="17"/>
  <c r="D162" i="17"/>
  <c r="C162" i="17"/>
  <c r="B162" i="17"/>
  <c r="AC161" i="17"/>
  <c r="AD161" i="17"/>
  <c r="AI161" i="17" s="1"/>
  <c r="AE161" i="17"/>
  <c r="AF161" i="17"/>
  <c r="AG161" i="17"/>
  <c r="AH161" i="17"/>
  <c r="L161" i="17"/>
  <c r="M161" i="17" s="1"/>
  <c r="N161" i="17" s="1"/>
  <c r="O161" i="17" s="1"/>
  <c r="P161" i="17"/>
  <c r="D161" i="17"/>
  <c r="C161" i="17"/>
  <c r="B161" i="17"/>
  <c r="AC160" i="17"/>
  <c r="AD160" i="17"/>
  <c r="AE160" i="17"/>
  <c r="AF160" i="17"/>
  <c r="AI160" i="17" s="1"/>
  <c r="AG160" i="17"/>
  <c r="AH160" i="17"/>
  <c r="L160" i="17"/>
  <c r="M160" i="17"/>
  <c r="N160" i="17" s="1"/>
  <c r="O160" i="17" s="1"/>
  <c r="P160" i="17"/>
  <c r="D160" i="17"/>
  <c r="C160" i="17"/>
  <c r="B160" i="17"/>
  <c r="AC159" i="17"/>
  <c r="AD159" i="17"/>
  <c r="AI159" i="17" s="1"/>
  <c r="AE159" i="17"/>
  <c r="AF159" i="17"/>
  <c r="AG159" i="17"/>
  <c r="AH159" i="17"/>
  <c r="L159" i="17"/>
  <c r="M159" i="17" s="1"/>
  <c r="N159" i="17" s="1"/>
  <c r="O159" i="17" s="1"/>
  <c r="P159" i="17"/>
  <c r="D159" i="17"/>
  <c r="C159" i="17"/>
  <c r="B159" i="17"/>
  <c r="AC158" i="17"/>
  <c r="AD158" i="17"/>
  <c r="AE158" i="17"/>
  <c r="AF158" i="17"/>
  <c r="AI158" i="17" s="1"/>
  <c r="AG158" i="17"/>
  <c r="AH158" i="17"/>
  <c r="L158" i="17"/>
  <c r="M158" i="17"/>
  <c r="N158" i="17" s="1"/>
  <c r="O158" i="17" s="1"/>
  <c r="P158" i="17"/>
  <c r="D158" i="17"/>
  <c r="C158" i="17"/>
  <c r="B158" i="17"/>
  <c r="AC157" i="17"/>
  <c r="AD157" i="17"/>
  <c r="AI157" i="17" s="1"/>
  <c r="AE157" i="17"/>
  <c r="AF157" i="17"/>
  <c r="AG157" i="17"/>
  <c r="AH157" i="17"/>
  <c r="L157" i="17"/>
  <c r="M157" i="17" s="1"/>
  <c r="N157" i="17" s="1"/>
  <c r="O157" i="17" s="1"/>
  <c r="P157" i="17"/>
  <c r="D157" i="17"/>
  <c r="C157" i="17"/>
  <c r="B157" i="17"/>
  <c r="AC156" i="17"/>
  <c r="AD156" i="17"/>
  <c r="AE156" i="17"/>
  <c r="AF156" i="17"/>
  <c r="AI156" i="17" s="1"/>
  <c r="AG156" i="17"/>
  <c r="AH156" i="17"/>
  <c r="L156" i="17"/>
  <c r="M156" i="17"/>
  <c r="N156" i="17" s="1"/>
  <c r="O156" i="17" s="1"/>
  <c r="P156" i="17"/>
  <c r="D156" i="17"/>
  <c r="C156" i="17"/>
  <c r="B156" i="17"/>
  <c r="AC155" i="17"/>
  <c r="AD155" i="17"/>
  <c r="AI155" i="17" s="1"/>
  <c r="AE155" i="17"/>
  <c r="AF155" i="17"/>
  <c r="AG155" i="17"/>
  <c r="AH155" i="17"/>
  <c r="L155" i="17"/>
  <c r="M155" i="17" s="1"/>
  <c r="N155" i="17" s="1"/>
  <c r="O155" i="17" s="1"/>
  <c r="P155" i="17"/>
  <c r="D155" i="17"/>
  <c r="C155" i="17"/>
  <c r="B155" i="17"/>
  <c r="AC154" i="17"/>
  <c r="AD154" i="17"/>
  <c r="AE154" i="17"/>
  <c r="AF154" i="17"/>
  <c r="AI154" i="17" s="1"/>
  <c r="AG154" i="17"/>
  <c r="AH154" i="17"/>
  <c r="L154" i="17"/>
  <c r="M154" i="17"/>
  <c r="N154" i="17" s="1"/>
  <c r="O154" i="17" s="1"/>
  <c r="P154" i="17"/>
  <c r="D154" i="17"/>
  <c r="C154" i="17"/>
  <c r="B154" i="17"/>
  <c r="AC153" i="17"/>
  <c r="AD153" i="17"/>
  <c r="AI153" i="17" s="1"/>
  <c r="AE153" i="17"/>
  <c r="AF153" i="17"/>
  <c r="AG153" i="17"/>
  <c r="AH153" i="17"/>
  <c r="L153" i="17"/>
  <c r="M153" i="17" s="1"/>
  <c r="N153" i="17" s="1"/>
  <c r="O153" i="17" s="1"/>
  <c r="P153" i="17"/>
  <c r="D153" i="17"/>
  <c r="C153" i="17"/>
  <c r="B153" i="17"/>
  <c r="AC152" i="17"/>
  <c r="AD152" i="17"/>
  <c r="AE152" i="17"/>
  <c r="AF152" i="17"/>
  <c r="AI152" i="17" s="1"/>
  <c r="AG152" i="17"/>
  <c r="AH152" i="17"/>
  <c r="L152" i="17"/>
  <c r="M152" i="17"/>
  <c r="N152" i="17" s="1"/>
  <c r="O152" i="17" s="1"/>
  <c r="P152" i="17"/>
  <c r="D152" i="17"/>
  <c r="C152" i="17"/>
  <c r="B152" i="17"/>
  <c r="AC151" i="17"/>
  <c r="AD151" i="17"/>
  <c r="AI151" i="17" s="1"/>
  <c r="AE151" i="17"/>
  <c r="AF151" i="17"/>
  <c r="AG151" i="17"/>
  <c r="AH151" i="17"/>
  <c r="L151" i="17"/>
  <c r="M151" i="17" s="1"/>
  <c r="N151" i="17" s="1"/>
  <c r="O151" i="17" s="1"/>
  <c r="P151" i="17"/>
  <c r="D151" i="17"/>
  <c r="C151" i="17"/>
  <c r="B151" i="17"/>
  <c r="AC150" i="17"/>
  <c r="AD150" i="17"/>
  <c r="AE150" i="17"/>
  <c r="AF150" i="17"/>
  <c r="AI150" i="17" s="1"/>
  <c r="AG150" i="17"/>
  <c r="AH150" i="17"/>
  <c r="L150" i="17"/>
  <c r="M150" i="17"/>
  <c r="N150" i="17" s="1"/>
  <c r="O150" i="17" s="1"/>
  <c r="P150" i="17"/>
  <c r="D150" i="17"/>
  <c r="C150" i="17"/>
  <c r="B150" i="17"/>
  <c r="AC149" i="17"/>
  <c r="AD149" i="17"/>
  <c r="AI149" i="17" s="1"/>
  <c r="AE149" i="17"/>
  <c r="AF149" i="17"/>
  <c r="AG149" i="17"/>
  <c r="AH149" i="17"/>
  <c r="L149" i="17"/>
  <c r="M149" i="17" s="1"/>
  <c r="N149" i="17" s="1"/>
  <c r="O149" i="17" s="1"/>
  <c r="P149" i="17"/>
  <c r="D149" i="17"/>
  <c r="C149" i="17"/>
  <c r="B149" i="17"/>
  <c r="AC148" i="17"/>
  <c r="AD148" i="17"/>
  <c r="AE148" i="17"/>
  <c r="AF148" i="17"/>
  <c r="AI148" i="17" s="1"/>
  <c r="AG148" i="17"/>
  <c r="AH148" i="17"/>
  <c r="L148" i="17"/>
  <c r="M148" i="17"/>
  <c r="N148" i="17" s="1"/>
  <c r="O148" i="17" s="1"/>
  <c r="P148" i="17"/>
  <c r="D148" i="17"/>
  <c r="C148" i="17"/>
  <c r="B148" i="17"/>
  <c r="AC147" i="17"/>
  <c r="AD147" i="17"/>
  <c r="AI147" i="17" s="1"/>
  <c r="AE147" i="17"/>
  <c r="AF147" i="17"/>
  <c r="AG147" i="17"/>
  <c r="AH147" i="17"/>
  <c r="L147" i="17"/>
  <c r="M147" i="17" s="1"/>
  <c r="N147" i="17" s="1"/>
  <c r="O147" i="17" s="1"/>
  <c r="P147" i="17"/>
  <c r="D147" i="17"/>
  <c r="C147" i="17"/>
  <c r="B147" i="17"/>
  <c r="AC146" i="17"/>
  <c r="AD146" i="17"/>
  <c r="AE146" i="17"/>
  <c r="AF146" i="17"/>
  <c r="AI146" i="17" s="1"/>
  <c r="AG146" i="17"/>
  <c r="AH146" i="17"/>
  <c r="L146" i="17"/>
  <c r="M146" i="17"/>
  <c r="N146" i="17" s="1"/>
  <c r="O146" i="17" s="1"/>
  <c r="P146" i="17"/>
  <c r="D146" i="17"/>
  <c r="C146" i="17"/>
  <c r="B146" i="17"/>
  <c r="AC145" i="17"/>
  <c r="AD145" i="17"/>
  <c r="AI145" i="17" s="1"/>
  <c r="AE145" i="17"/>
  <c r="AF145" i="17"/>
  <c r="AG145" i="17"/>
  <c r="AH145" i="17"/>
  <c r="L145" i="17"/>
  <c r="M145" i="17" s="1"/>
  <c r="N145" i="17" s="1"/>
  <c r="O145" i="17" s="1"/>
  <c r="P145" i="17"/>
  <c r="D145" i="17"/>
  <c r="C145" i="17"/>
  <c r="B145" i="17"/>
  <c r="AC144" i="17"/>
  <c r="AD144" i="17"/>
  <c r="AE144" i="17"/>
  <c r="AF144" i="17"/>
  <c r="AI144" i="17" s="1"/>
  <c r="AG144" i="17"/>
  <c r="AH144" i="17"/>
  <c r="L144" i="17"/>
  <c r="M144" i="17"/>
  <c r="N144" i="17" s="1"/>
  <c r="O144" i="17" s="1"/>
  <c r="P144" i="17"/>
  <c r="D144" i="17"/>
  <c r="C144" i="17"/>
  <c r="B144" i="17"/>
  <c r="AC143" i="17"/>
  <c r="AD143" i="17"/>
  <c r="AI143" i="17" s="1"/>
  <c r="AE143" i="17"/>
  <c r="AF143" i="17"/>
  <c r="AG143" i="17"/>
  <c r="AH143" i="17"/>
  <c r="L143" i="17"/>
  <c r="M143" i="17" s="1"/>
  <c r="N143" i="17" s="1"/>
  <c r="O143" i="17" s="1"/>
  <c r="P143" i="17"/>
  <c r="D143" i="17"/>
  <c r="C143" i="17"/>
  <c r="B143" i="17"/>
  <c r="AC142" i="17"/>
  <c r="AD142" i="17"/>
  <c r="AE142" i="17"/>
  <c r="AF142" i="17"/>
  <c r="AI142" i="17" s="1"/>
  <c r="AG142" i="17"/>
  <c r="AH142" i="17"/>
  <c r="L142" i="17"/>
  <c r="M142" i="17"/>
  <c r="N142" i="17" s="1"/>
  <c r="O142" i="17" s="1"/>
  <c r="P142" i="17"/>
  <c r="D142" i="17"/>
  <c r="C142" i="17"/>
  <c r="B142" i="17"/>
  <c r="AC141" i="17"/>
  <c r="AD141" i="17"/>
  <c r="AI141" i="17" s="1"/>
  <c r="AE141" i="17"/>
  <c r="AF141" i="17"/>
  <c r="AG141" i="17"/>
  <c r="AH141" i="17"/>
  <c r="L141" i="17"/>
  <c r="M141" i="17" s="1"/>
  <c r="N141" i="17" s="1"/>
  <c r="O141" i="17" s="1"/>
  <c r="P141" i="17"/>
  <c r="D141" i="17"/>
  <c r="C141" i="17"/>
  <c r="B141" i="17"/>
  <c r="AC140" i="17"/>
  <c r="AD140" i="17"/>
  <c r="AE140" i="17"/>
  <c r="AF140" i="17"/>
  <c r="AI140" i="17" s="1"/>
  <c r="AG140" i="17"/>
  <c r="AH140" i="17"/>
  <c r="L140" i="17"/>
  <c r="M140" i="17"/>
  <c r="N140" i="17" s="1"/>
  <c r="O140" i="17" s="1"/>
  <c r="P140" i="17"/>
  <c r="D140" i="17"/>
  <c r="C140" i="17"/>
  <c r="B140" i="17"/>
  <c r="AC139" i="17"/>
  <c r="AD139" i="17"/>
  <c r="AE139" i="17"/>
  <c r="AF139" i="17"/>
  <c r="AG139" i="17"/>
  <c r="AH139" i="17"/>
  <c r="L139" i="17"/>
  <c r="M139" i="17"/>
  <c r="N139" i="17" s="1"/>
  <c r="O139" i="17" s="1"/>
  <c r="P139" i="17"/>
  <c r="D139" i="17"/>
  <c r="C139" i="17"/>
  <c r="B139" i="17"/>
  <c r="AC138" i="17"/>
  <c r="AD138" i="17"/>
  <c r="AE138" i="17"/>
  <c r="AF138" i="17"/>
  <c r="AG138" i="17"/>
  <c r="AH138" i="17"/>
  <c r="L138" i="17"/>
  <c r="M138" i="17"/>
  <c r="N138" i="17" s="1"/>
  <c r="O138" i="17" s="1"/>
  <c r="P138" i="17"/>
  <c r="D138" i="17"/>
  <c r="C138" i="17"/>
  <c r="B138" i="17"/>
  <c r="AC137" i="17"/>
  <c r="AD137" i="17"/>
  <c r="AE137" i="17"/>
  <c r="AF137" i="17"/>
  <c r="AG137" i="17"/>
  <c r="AH137" i="17"/>
  <c r="L137" i="17"/>
  <c r="M137" i="17"/>
  <c r="N137" i="17" s="1"/>
  <c r="O137" i="17" s="1"/>
  <c r="P137" i="17"/>
  <c r="D137" i="17"/>
  <c r="C137" i="17"/>
  <c r="B137" i="17"/>
  <c r="AC136" i="17"/>
  <c r="AD136" i="17"/>
  <c r="AE136" i="17"/>
  <c r="AF136" i="17"/>
  <c r="AG136" i="17"/>
  <c r="AH136" i="17"/>
  <c r="L136" i="17"/>
  <c r="M136" i="17"/>
  <c r="N136" i="17" s="1"/>
  <c r="O136" i="17" s="1"/>
  <c r="P136" i="17"/>
  <c r="D136" i="17"/>
  <c r="C136" i="17"/>
  <c r="B136" i="17"/>
  <c r="AC135" i="17"/>
  <c r="AD135" i="17"/>
  <c r="AE135" i="17"/>
  <c r="AF135" i="17"/>
  <c r="AG135" i="17"/>
  <c r="AH135" i="17"/>
  <c r="L135" i="17"/>
  <c r="M135" i="17"/>
  <c r="N135" i="17" s="1"/>
  <c r="O135" i="17" s="1"/>
  <c r="P135" i="17"/>
  <c r="D135" i="17"/>
  <c r="C135" i="17"/>
  <c r="B135" i="17"/>
  <c r="AC134" i="17"/>
  <c r="AD134" i="17"/>
  <c r="AE134" i="17"/>
  <c r="AF134" i="17"/>
  <c r="AG134" i="17"/>
  <c r="AH134" i="17"/>
  <c r="L134" i="17"/>
  <c r="M134" i="17"/>
  <c r="N134" i="17" s="1"/>
  <c r="O134" i="17" s="1"/>
  <c r="P134" i="17"/>
  <c r="D134" i="17"/>
  <c r="C134" i="17"/>
  <c r="B134" i="17"/>
  <c r="AC133" i="17"/>
  <c r="AD133" i="17"/>
  <c r="AE133" i="17"/>
  <c r="AF133" i="17"/>
  <c r="AG133" i="17"/>
  <c r="AH133" i="17"/>
  <c r="L133" i="17"/>
  <c r="M133" i="17"/>
  <c r="N133" i="17" s="1"/>
  <c r="O133" i="17" s="1"/>
  <c r="P133" i="17"/>
  <c r="D133" i="17"/>
  <c r="C133" i="17"/>
  <c r="B133" i="17"/>
  <c r="AC132" i="17"/>
  <c r="AD132" i="17"/>
  <c r="AE132" i="17"/>
  <c r="AF132" i="17"/>
  <c r="AG132" i="17"/>
  <c r="AH132" i="17"/>
  <c r="L132" i="17"/>
  <c r="M132" i="17"/>
  <c r="N132" i="17" s="1"/>
  <c r="O132" i="17" s="1"/>
  <c r="P132" i="17"/>
  <c r="D132" i="17"/>
  <c r="C132" i="17"/>
  <c r="B132" i="17"/>
  <c r="AC131" i="17"/>
  <c r="AD131" i="17"/>
  <c r="AE131" i="17"/>
  <c r="AF131" i="17"/>
  <c r="AG131" i="17"/>
  <c r="AH131" i="17"/>
  <c r="L131" i="17"/>
  <c r="M131" i="17"/>
  <c r="N131" i="17" s="1"/>
  <c r="O131" i="17" s="1"/>
  <c r="P131" i="17"/>
  <c r="D131" i="17"/>
  <c r="C131" i="17"/>
  <c r="B131" i="17"/>
  <c r="AC130" i="17"/>
  <c r="AD130" i="17"/>
  <c r="AE130" i="17"/>
  <c r="AF130" i="17"/>
  <c r="AG130" i="17"/>
  <c r="AH130" i="17"/>
  <c r="L130" i="17"/>
  <c r="M130" i="17"/>
  <c r="N130" i="17" s="1"/>
  <c r="O130" i="17" s="1"/>
  <c r="P130" i="17"/>
  <c r="D130" i="17"/>
  <c r="C130" i="17"/>
  <c r="B130" i="17"/>
  <c r="AC129" i="17"/>
  <c r="AD129" i="17"/>
  <c r="AE129" i="17"/>
  <c r="AF129" i="17"/>
  <c r="AG129" i="17"/>
  <c r="AH129" i="17"/>
  <c r="L129" i="17"/>
  <c r="M129" i="17"/>
  <c r="N129" i="17" s="1"/>
  <c r="O129" i="17" s="1"/>
  <c r="P129" i="17"/>
  <c r="D129" i="17"/>
  <c r="C129" i="17"/>
  <c r="B129" i="17"/>
  <c r="AC128" i="17"/>
  <c r="AD128" i="17"/>
  <c r="AE128" i="17"/>
  <c r="AF128" i="17"/>
  <c r="AG128" i="17"/>
  <c r="AH128" i="17"/>
  <c r="L128" i="17"/>
  <c r="M128" i="17"/>
  <c r="N128" i="17" s="1"/>
  <c r="O128" i="17" s="1"/>
  <c r="P128" i="17"/>
  <c r="D128" i="17"/>
  <c r="C128" i="17"/>
  <c r="B128" i="17"/>
  <c r="AC127" i="17"/>
  <c r="AD127" i="17"/>
  <c r="AE127" i="17"/>
  <c r="AF127" i="17"/>
  <c r="AG127" i="17"/>
  <c r="AH127" i="17"/>
  <c r="L127" i="17"/>
  <c r="M127" i="17"/>
  <c r="N127" i="17" s="1"/>
  <c r="O127" i="17" s="1"/>
  <c r="P127" i="17"/>
  <c r="D127" i="17"/>
  <c r="C127" i="17"/>
  <c r="B127" i="17"/>
  <c r="AC126" i="17"/>
  <c r="AD126" i="17"/>
  <c r="AE126" i="17"/>
  <c r="AF126" i="17"/>
  <c r="AG126" i="17"/>
  <c r="AH126" i="17"/>
  <c r="L126" i="17"/>
  <c r="M126" i="17"/>
  <c r="N126" i="17" s="1"/>
  <c r="O126" i="17" s="1"/>
  <c r="P126" i="17"/>
  <c r="D126" i="17"/>
  <c r="C126" i="17"/>
  <c r="B126" i="17"/>
  <c r="AC125" i="17"/>
  <c r="AD125" i="17"/>
  <c r="AE125" i="17"/>
  <c r="AF125" i="17"/>
  <c r="AG125" i="17"/>
  <c r="AH125" i="17"/>
  <c r="L125" i="17"/>
  <c r="M125" i="17"/>
  <c r="N125" i="17" s="1"/>
  <c r="O125" i="17" s="1"/>
  <c r="P125" i="17"/>
  <c r="D125" i="17"/>
  <c r="C125" i="17"/>
  <c r="B125" i="17"/>
  <c r="AC124" i="17"/>
  <c r="AD124" i="17"/>
  <c r="AE124" i="17"/>
  <c r="AF124" i="17"/>
  <c r="AG124" i="17"/>
  <c r="AH124" i="17"/>
  <c r="L124" i="17"/>
  <c r="M124" i="17"/>
  <c r="N124" i="17" s="1"/>
  <c r="O124" i="17" s="1"/>
  <c r="P124" i="17"/>
  <c r="D124" i="17"/>
  <c r="C124" i="17"/>
  <c r="B124" i="17"/>
  <c r="AC123" i="17"/>
  <c r="AD123" i="17"/>
  <c r="AE123" i="17"/>
  <c r="AF123" i="17"/>
  <c r="AG123" i="17"/>
  <c r="AH123" i="17"/>
  <c r="L123" i="17"/>
  <c r="M123" i="17"/>
  <c r="N123" i="17" s="1"/>
  <c r="O123" i="17" s="1"/>
  <c r="P123" i="17"/>
  <c r="D123" i="17"/>
  <c r="C123" i="17"/>
  <c r="B123" i="17"/>
  <c r="AC122" i="17"/>
  <c r="AD122" i="17"/>
  <c r="AE122" i="17"/>
  <c r="AF122" i="17"/>
  <c r="AG122" i="17"/>
  <c r="AH122" i="17"/>
  <c r="L122" i="17"/>
  <c r="M122" i="17"/>
  <c r="N122" i="17" s="1"/>
  <c r="O122" i="17" s="1"/>
  <c r="P122" i="17"/>
  <c r="D122" i="17"/>
  <c r="C122" i="17"/>
  <c r="B122" i="17"/>
  <c r="AC121" i="17"/>
  <c r="AD121" i="17"/>
  <c r="AE121" i="17"/>
  <c r="AF121" i="17"/>
  <c r="AG121" i="17"/>
  <c r="AH121" i="17"/>
  <c r="L121" i="17"/>
  <c r="M121" i="17"/>
  <c r="N121" i="17" s="1"/>
  <c r="O121" i="17" s="1"/>
  <c r="P121" i="17"/>
  <c r="D121" i="17"/>
  <c r="C121" i="17"/>
  <c r="B121" i="17"/>
  <c r="AC120" i="17"/>
  <c r="AD120" i="17"/>
  <c r="AE120" i="17"/>
  <c r="AF120" i="17"/>
  <c r="AG120" i="17"/>
  <c r="AH120" i="17"/>
  <c r="L120" i="17"/>
  <c r="M120" i="17"/>
  <c r="N120" i="17" s="1"/>
  <c r="O120" i="17" s="1"/>
  <c r="P120" i="17"/>
  <c r="D120" i="17"/>
  <c r="C120" i="17"/>
  <c r="B120" i="17"/>
  <c r="AC119" i="17"/>
  <c r="AD119" i="17"/>
  <c r="AE119" i="17"/>
  <c r="AF119" i="17"/>
  <c r="AG119" i="17"/>
  <c r="AH119" i="17"/>
  <c r="L119" i="17"/>
  <c r="M119" i="17"/>
  <c r="N119" i="17" s="1"/>
  <c r="O119" i="17" s="1"/>
  <c r="P119" i="17"/>
  <c r="D119" i="17"/>
  <c r="C119" i="17"/>
  <c r="B119" i="17"/>
  <c r="AC118" i="17"/>
  <c r="AD118" i="17"/>
  <c r="AE118" i="17"/>
  <c r="AF118" i="17"/>
  <c r="AG118" i="17"/>
  <c r="AH118" i="17"/>
  <c r="L118" i="17"/>
  <c r="M118" i="17"/>
  <c r="N118" i="17" s="1"/>
  <c r="O118" i="17" s="1"/>
  <c r="P118" i="17"/>
  <c r="D118" i="17"/>
  <c r="C118" i="17"/>
  <c r="B118" i="17"/>
  <c r="CY272" i="4"/>
  <c r="CS272" i="4"/>
  <c r="AU272" i="4"/>
  <c r="AP272" i="4"/>
  <c r="AH272" i="4"/>
  <c r="AG272" i="4"/>
  <c r="AF272" i="4"/>
  <c r="AE272" i="4"/>
  <c r="AD272" i="4"/>
  <c r="AC272" i="4"/>
  <c r="AB272" i="4"/>
  <c r="Z272" i="4"/>
  <c r="AK272" i="4" s="1"/>
  <c r="Y272" i="4"/>
  <c r="CY271" i="4"/>
  <c r="CS271" i="4"/>
  <c r="CR271" i="4"/>
  <c r="AU271" i="4"/>
  <c r="AP271" i="4"/>
  <c r="AH271" i="4"/>
  <c r="AG271" i="4"/>
  <c r="AF271" i="4"/>
  <c r="AE271" i="4"/>
  <c r="AD271" i="4"/>
  <c r="AC271" i="4"/>
  <c r="AB271" i="4"/>
  <c r="Z271" i="4"/>
  <c r="AK271" i="4" s="1"/>
  <c r="Y271" i="4"/>
  <c r="CY270" i="4"/>
  <c r="CS270" i="4"/>
  <c r="CR270" i="4"/>
  <c r="AU270" i="4"/>
  <c r="AP270" i="4"/>
  <c r="AH270" i="4"/>
  <c r="AG270" i="4"/>
  <c r="AF270" i="4"/>
  <c r="AE270" i="4"/>
  <c r="AD270" i="4"/>
  <c r="AC270" i="4"/>
  <c r="AB270" i="4"/>
  <c r="Z270" i="4"/>
  <c r="AK270" i="4" s="1"/>
  <c r="Y270" i="4"/>
  <c r="CY269" i="4"/>
  <c r="CS269" i="4"/>
  <c r="CR269" i="4"/>
  <c r="AU269" i="4"/>
  <c r="AP269" i="4"/>
  <c r="AH269" i="4"/>
  <c r="AG269" i="4"/>
  <c r="AF269" i="4"/>
  <c r="AE269" i="4"/>
  <c r="AD269" i="4"/>
  <c r="AC269" i="4"/>
  <c r="AB269" i="4"/>
  <c r="Z269" i="4"/>
  <c r="AK269" i="4" s="1"/>
  <c r="Y269" i="4"/>
  <c r="CY268" i="4"/>
  <c r="CS268" i="4"/>
  <c r="CR268" i="4"/>
  <c r="AU268" i="4"/>
  <c r="AP268" i="4"/>
  <c r="AH268" i="4"/>
  <c r="AG268" i="4"/>
  <c r="AF268" i="4"/>
  <c r="AE268" i="4"/>
  <c r="AD268" i="4"/>
  <c r="AC268" i="4"/>
  <c r="AB268" i="4"/>
  <c r="Z268" i="4"/>
  <c r="AK268" i="4" s="1"/>
  <c r="Y268" i="4"/>
  <c r="CY267" i="4"/>
  <c r="CS267" i="4"/>
  <c r="CR267" i="4"/>
  <c r="AU267" i="4"/>
  <c r="AP267" i="4"/>
  <c r="AH267" i="4"/>
  <c r="AG267" i="4"/>
  <c r="AF267" i="4"/>
  <c r="AE267" i="4"/>
  <c r="AD267" i="4"/>
  <c r="AC267" i="4"/>
  <c r="AB267" i="4"/>
  <c r="Z267" i="4"/>
  <c r="AK267" i="4" s="1"/>
  <c r="Y267" i="4"/>
  <c r="CY266" i="4"/>
  <c r="CS266" i="4"/>
  <c r="CR266" i="4"/>
  <c r="AU266" i="4"/>
  <c r="AP266" i="4"/>
  <c r="AH266" i="4"/>
  <c r="AG266" i="4"/>
  <c r="AF266" i="4"/>
  <c r="AE266" i="4"/>
  <c r="AD266" i="4"/>
  <c r="AC266" i="4"/>
  <c r="AB266" i="4"/>
  <c r="Z266" i="4"/>
  <c r="AK266" i="4" s="1"/>
  <c r="Y266" i="4"/>
  <c r="CY265" i="4"/>
  <c r="CS265" i="4"/>
  <c r="CR265" i="4"/>
  <c r="AU265" i="4"/>
  <c r="AP265" i="4"/>
  <c r="AH265" i="4"/>
  <c r="AG265" i="4"/>
  <c r="AF265" i="4"/>
  <c r="AE265" i="4"/>
  <c r="AD265" i="4"/>
  <c r="AC265" i="4"/>
  <c r="AB265" i="4"/>
  <c r="Z265" i="4"/>
  <c r="AK265" i="4" s="1"/>
  <c r="Y265" i="4"/>
  <c r="CY264" i="4"/>
  <c r="CS264" i="4"/>
  <c r="CR264" i="4"/>
  <c r="AU264" i="4"/>
  <c r="AP264" i="4"/>
  <c r="AH264" i="4"/>
  <c r="AG264" i="4"/>
  <c r="AF264" i="4"/>
  <c r="AE264" i="4"/>
  <c r="AD264" i="4"/>
  <c r="AC264" i="4"/>
  <c r="AB264" i="4"/>
  <c r="Z264" i="4"/>
  <c r="AK264" i="4" s="1"/>
  <c r="Y264" i="4"/>
  <c r="CY263" i="4"/>
  <c r="CS263" i="4"/>
  <c r="CR263" i="4"/>
  <c r="AU263" i="4"/>
  <c r="AP263" i="4"/>
  <c r="AH263" i="4"/>
  <c r="AG263" i="4"/>
  <c r="AF263" i="4"/>
  <c r="AE263" i="4"/>
  <c r="AD263" i="4"/>
  <c r="AC263" i="4"/>
  <c r="AB263" i="4"/>
  <c r="Z263" i="4"/>
  <c r="AK263" i="4" s="1"/>
  <c r="Y263" i="4"/>
  <c r="CY262" i="4"/>
  <c r="CS262" i="4"/>
  <c r="CR262" i="4"/>
  <c r="AU262" i="4"/>
  <c r="AP262" i="4"/>
  <c r="AH262" i="4"/>
  <c r="AG262" i="4"/>
  <c r="AF262" i="4"/>
  <c r="AE262" i="4"/>
  <c r="AD262" i="4"/>
  <c r="AC262" i="4"/>
  <c r="AB262" i="4"/>
  <c r="Z262" i="4"/>
  <c r="AK262" i="4" s="1"/>
  <c r="Y262" i="4"/>
  <c r="CY261" i="4"/>
  <c r="CS261" i="4"/>
  <c r="CR261" i="4"/>
  <c r="AU261" i="4"/>
  <c r="AP261" i="4"/>
  <c r="AH261" i="4"/>
  <c r="AG261" i="4"/>
  <c r="AF261" i="4"/>
  <c r="AE261" i="4"/>
  <c r="AD261" i="4"/>
  <c r="AC261" i="4"/>
  <c r="AB261" i="4"/>
  <c r="Z261" i="4"/>
  <c r="AK261" i="4" s="1"/>
  <c r="Y261" i="4"/>
  <c r="CY260" i="4"/>
  <c r="CS260" i="4"/>
  <c r="CR260" i="4"/>
  <c r="AU260" i="4"/>
  <c r="AP260" i="4"/>
  <c r="AH260" i="4"/>
  <c r="AG260" i="4"/>
  <c r="AF260" i="4"/>
  <c r="AE260" i="4"/>
  <c r="AD260" i="4"/>
  <c r="AC260" i="4"/>
  <c r="AB260" i="4"/>
  <c r="Z260" i="4"/>
  <c r="AK260" i="4" s="1"/>
  <c r="Y260" i="4"/>
  <c r="CY259" i="4"/>
  <c r="CS259" i="4"/>
  <c r="CR259" i="4"/>
  <c r="AU259" i="4"/>
  <c r="AP259" i="4"/>
  <c r="AH259" i="4"/>
  <c r="AG259" i="4"/>
  <c r="AF259" i="4"/>
  <c r="AE259" i="4"/>
  <c r="AD259" i="4"/>
  <c r="AC259" i="4"/>
  <c r="AB259" i="4"/>
  <c r="Z259" i="4"/>
  <c r="AK259" i="4" s="1"/>
  <c r="Y259" i="4"/>
  <c r="CY258" i="4"/>
  <c r="CS258" i="4"/>
  <c r="CR258" i="4"/>
  <c r="AU258" i="4"/>
  <c r="AP258" i="4"/>
  <c r="AH258" i="4"/>
  <c r="AG258" i="4"/>
  <c r="AF258" i="4"/>
  <c r="AE258" i="4"/>
  <c r="AD258" i="4"/>
  <c r="AC258" i="4"/>
  <c r="AB258" i="4"/>
  <c r="Z258" i="4"/>
  <c r="AK258" i="4" s="1"/>
  <c r="Y258" i="4"/>
  <c r="CY257" i="4"/>
  <c r="CS257" i="4"/>
  <c r="CR257" i="4"/>
  <c r="AU257" i="4"/>
  <c r="AP257" i="4"/>
  <c r="AH257" i="4"/>
  <c r="AG257" i="4"/>
  <c r="AF257" i="4"/>
  <c r="AE257" i="4"/>
  <c r="AD257" i="4"/>
  <c r="AC257" i="4"/>
  <c r="AB257" i="4"/>
  <c r="Z257" i="4"/>
  <c r="AK257" i="4" s="1"/>
  <c r="Y257" i="4"/>
  <c r="CY256" i="4"/>
  <c r="CS256" i="4"/>
  <c r="CR256" i="4"/>
  <c r="AU256" i="4"/>
  <c r="AP256" i="4"/>
  <c r="AH256" i="4"/>
  <c r="AG256" i="4"/>
  <c r="AF256" i="4"/>
  <c r="AE256" i="4"/>
  <c r="AD256" i="4"/>
  <c r="AC256" i="4"/>
  <c r="AB256" i="4"/>
  <c r="Z256" i="4"/>
  <c r="AK256" i="4" s="1"/>
  <c r="Y256" i="4"/>
  <c r="CY255" i="4"/>
  <c r="CS255" i="4"/>
  <c r="CR255" i="4"/>
  <c r="AU255" i="4"/>
  <c r="AP255" i="4"/>
  <c r="AH255" i="4"/>
  <c r="AG255" i="4"/>
  <c r="AF255" i="4"/>
  <c r="AE255" i="4"/>
  <c r="AD255" i="4"/>
  <c r="AC255" i="4"/>
  <c r="AB255" i="4"/>
  <c r="Z255" i="4"/>
  <c r="AK255" i="4" s="1"/>
  <c r="Y255" i="4"/>
  <c r="CY254" i="4"/>
  <c r="CS254" i="4"/>
  <c r="CR254" i="4"/>
  <c r="AU254" i="4"/>
  <c r="AP254" i="4"/>
  <c r="AH254" i="4"/>
  <c r="AG254" i="4"/>
  <c r="AF254" i="4"/>
  <c r="AE254" i="4"/>
  <c r="AD254" i="4"/>
  <c r="AC254" i="4"/>
  <c r="AB254" i="4"/>
  <c r="Z254" i="4"/>
  <c r="AK254" i="4" s="1"/>
  <c r="Y254" i="4"/>
  <c r="CY253" i="4"/>
  <c r="CS253" i="4"/>
  <c r="CR253" i="4"/>
  <c r="AU253" i="4"/>
  <c r="AP253" i="4"/>
  <c r="AH253" i="4"/>
  <c r="AG253" i="4"/>
  <c r="AF253" i="4"/>
  <c r="AE253" i="4"/>
  <c r="AD253" i="4"/>
  <c r="AC253" i="4"/>
  <c r="AB253" i="4"/>
  <c r="Z253" i="4"/>
  <c r="AK253" i="4" s="1"/>
  <c r="Y253" i="4"/>
  <c r="CY252" i="4"/>
  <c r="CS252" i="4"/>
  <c r="CR252" i="4"/>
  <c r="AU252" i="4"/>
  <c r="AP252" i="4"/>
  <c r="AH252" i="4"/>
  <c r="AG252" i="4"/>
  <c r="AF252" i="4"/>
  <c r="AE252" i="4"/>
  <c r="AD252" i="4"/>
  <c r="AC252" i="4"/>
  <c r="AB252" i="4"/>
  <c r="Z252" i="4"/>
  <c r="AK252" i="4" s="1"/>
  <c r="Y252" i="4"/>
  <c r="CY251" i="4"/>
  <c r="CS251" i="4"/>
  <c r="CR251" i="4"/>
  <c r="AU251" i="4"/>
  <c r="AP251" i="4"/>
  <c r="AH251" i="4"/>
  <c r="AG251" i="4"/>
  <c r="AF251" i="4"/>
  <c r="AE251" i="4"/>
  <c r="AD251" i="4"/>
  <c r="AC251" i="4"/>
  <c r="AB251" i="4"/>
  <c r="Z251" i="4"/>
  <c r="AK251" i="4" s="1"/>
  <c r="Y251" i="4"/>
  <c r="CY250" i="4"/>
  <c r="CS250" i="4"/>
  <c r="CR250" i="4"/>
  <c r="AU250" i="4"/>
  <c r="AP250" i="4"/>
  <c r="AH250" i="4"/>
  <c r="AG250" i="4"/>
  <c r="AF250" i="4"/>
  <c r="AE250" i="4"/>
  <c r="AD250" i="4"/>
  <c r="AC250" i="4"/>
  <c r="AB250" i="4"/>
  <c r="Z250" i="4"/>
  <c r="AK250" i="4" s="1"/>
  <c r="Y250" i="4"/>
  <c r="CY249" i="4"/>
  <c r="CS249" i="4"/>
  <c r="CR249" i="4"/>
  <c r="AU249" i="4"/>
  <c r="AP249" i="4"/>
  <c r="AH249" i="4"/>
  <c r="AG249" i="4"/>
  <c r="AF249" i="4"/>
  <c r="AE249" i="4"/>
  <c r="AD249" i="4"/>
  <c r="AC249" i="4"/>
  <c r="AB249" i="4"/>
  <c r="Z249" i="4"/>
  <c r="AK249" i="4" s="1"/>
  <c r="Y249" i="4"/>
  <c r="CY248" i="4"/>
  <c r="CS248" i="4"/>
  <c r="CR248" i="4"/>
  <c r="AU248" i="4"/>
  <c r="AP248" i="4"/>
  <c r="AH248" i="4"/>
  <c r="AG248" i="4"/>
  <c r="AF248" i="4"/>
  <c r="AE248" i="4"/>
  <c r="AD248" i="4"/>
  <c r="AC248" i="4"/>
  <c r="AB248" i="4"/>
  <c r="Z248" i="4"/>
  <c r="AK248" i="4" s="1"/>
  <c r="Y248" i="4"/>
  <c r="CY247" i="4"/>
  <c r="CS247" i="4"/>
  <c r="CR247" i="4"/>
  <c r="AU247" i="4"/>
  <c r="AP247" i="4"/>
  <c r="AH247" i="4"/>
  <c r="AG247" i="4"/>
  <c r="AF247" i="4"/>
  <c r="AE247" i="4"/>
  <c r="AD247" i="4"/>
  <c r="AC247" i="4"/>
  <c r="AB247" i="4"/>
  <c r="Z247" i="4"/>
  <c r="AK247" i="4" s="1"/>
  <c r="Y247" i="4"/>
  <c r="CY246" i="4"/>
  <c r="CS246" i="4"/>
  <c r="CR246" i="4"/>
  <c r="AU246" i="4"/>
  <c r="AP246" i="4"/>
  <c r="AH246" i="4"/>
  <c r="AG246" i="4"/>
  <c r="AF246" i="4"/>
  <c r="AE246" i="4"/>
  <c r="AD246" i="4"/>
  <c r="AC246" i="4"/>
  <c r="AB246" i="4"/>
  <c r="Z246" i="4"/>
  <c r="AK246" i="4" s="1"/>
  <c r="Y246" i="4"/>
  <c r="CY245" i="4"/>
  <c r="CS245" i="4"/>
  <c r="CR245" i="4"/>
  <c r="AU245" i="4"/>
  <c r="AP245" i="4"/>
  <c r="AH245" i="4"/>
  <c r="AG245" i="4"/>
  <c r="AF245" i="4"/>
  <c r="AE245" i="4"/>
  <c r="AD245" i="4"/>
  <c r="AC245" i="4"/>
  <c r="AB245" i="4"/>
  <c r="Z245" i="4"/>
  <c r="AK245" i="4" s="1"/>
  <c r="Y245" i="4"/>
  <c r="CY244" i="4"/>
  <c r="CS244" i="4"/>
  <c r="CR244" i="4"/>
  <c r="AU244" i="4"/>
  <c r="AP244" i="4"/>
  <c r="AH244" i="4"/>
  <c r="AG244" i="4"/>
  <c r="AF244" i="4"/>
  <c r="AE244" i="4"/>
  <c r="AD244" i="4"/>
  <c r="AC244" i="4"/>
  <c r="AB244" i="4"/>
  <c r="Z244" i="4"/>
  <c r="AK244" i="4" s="1"/>
  <c r="Y244" i="4"/>
  <c r="CY243" i="4"/>
  <c r="CS243" i="4"/>
  <c r="CR243" i="4"/>
  <c r="AU243" i="4"/>
  <c r="AP243" i="4"/>
  <c r="AH243" i="4"/>
  <c r="AG243" i="4"/>
  <c r="AF243" i="4"/>
  <c r="AE243" i="4"/>
  <c r="AD243" i="4"/>
  <c r="AC243" i="4"/>
  <c r="AB243" i="4"/>
  <c r="Z243" i="4"/>
  <c r="AK243" i="4" s="1"/>
  <c r="Y243" i="4"/>
  <c r="CY242" i="4"/>
  <c r="CS242" i="4"/>
  <c r="CR242" i="4"/>
  <c r="AU242" i="4"/>
  <c r="AP242" i="4"/>
  <c r="AH242" i="4"/>
  <c r="AG242" i="4"/>
  <c r="AF242" i="4"/>
  <c r="AE242" i="4"/>
  <c r="AD242" i="4"/>
  <c r="AC242" i="4"/>
  <c r="AB242" i="4"/>
  <c r="Z242" i="4"/>
  <c r="AK242" i="4" s="1"/>
  <c r="Y242" i="4"/>
  <c r="CY241" i="4"/>
  <c r="CS241" i="4"/>
  <c r="CR241" i="4"/>
  <c r="AU241" i="4"/>
  <c r="AP241" i="4"/>
  <c r="AH241" i="4"/>
  <c r="AG241" i="4"/>
  <c r="AF241" i="4"/>
  <c r="AE241" i="4"/>
  <c r="AD241" i="4"/>
  <c r="AC241" i="4"/>
  <c r="AB241" i="4"/>
  <c r="Z241" i="4"/>
  <c r="AK241" i="4" s="1"/>
  <c r="Y241" i="4"/>
  <c r="CY240" i="4"/>
  <c r="CS240" i="4"/>
  <c r="CR240" i="4"/>
  <c r="AU240" i="4"/>
  <c r="AP240" i="4"/>
  <c r="AH240" i="4"/>
  <c r="AG240" i="4"/>
  <c r="AF240" i="4"/>
  <c r="AE240" i="4"/>
  <c r="AD240" i="4"/>
  <c r="AC240" i="4"/>
  <c r="AB240" i="4"/>
  <c r="Z240" i="4"/>
  <c r="AK240" i="4" s="1"/>
  <c r="Y240" i="4"/>
  <c r="CY239" i="4"/>
  <c r="CS239" i="4"/>
  <c r="CR239" i="4"/>
  <c r="AU239" i="4"/>
  <c r="AP239" i="4"/>
  <c r="AH239" i="4"/>
  <c r="AG239" i="4"/>
  <c r="AF239" i="4"/>
  <c r="AE239" i="4"/>
  <c r="AD239" i="4"/>
  <c r="AC239" i="4"/>
  <c r="AB239" i="4"/>
  <c r="Z239" i="4"/>
  <c r="AK239" i="4" s="1"/>
  <c r="Y239" i="4"/>
  <c r="CY238" i="4"/>
  <c r="CS238" i="4"/>
  <c r="CR238" i="4"/>
  <c r="AU238" i="4"/>
  <c r="AP238" i="4"/>
  <c r="AH238" i="4"/>
  <c r="AG238" i="4"/>
  <c r="AF238" i="4"/>
  <c r="AE238" i="4"/>
  <c r="AD238" i="4"/>
  <c r="AC238" i="4"/>
  <c r="AB238" i="4"/>
  <c r="Z238" i="4"/>
  <c r="AK238" i="4" s="1"/>
  <c r="Y238" i="4"/>
  <c r="CY237" i="4"/>
  <c r="CS237" i="4"/>
  <c r="CR237" i="4"/>
  <c r="AU237" i="4"/>
  <c r="AP237" i="4"/>
  <c r="AH237" i="4"/>
  <c r="AG237" i="4"/>
  <c r="AF237" i="4"/>
  <c r="AE237" i="4"/>
  <c r="AD237" i="4"/>
  <c r="AC237" i="4"/>
  <c r="AB237" i="4"/>
  <c r="Z237" i="4"/>
  <c r="AK237" i="4" s="1"/>
  <c r="Y237" i="4"/>
  <c r="CY236" i="4"/>
  <c r="CS236" i="4"/>
  <c r="CR236" i="4"/>
  <c r="AU236" i="4"/>
  <c r="AP236" i="4"/>
  <c r="AH236" i="4"/>
  <c r="AG236" i="4"/>
  <c r="AF236" i="4"/>
  <c r="AE236" i="4"/>
  <c r="AD236" i="4"/>
  <c r="AC236" i="4"/>
  <c r="AB236" i="4"/>
  <c r="Z236" i="4"/>
  <c r="AK236" i="4" s="1"/>
  <c r="Y236" i="4"/>
  <c r="CY235" i="4"/>
  <c r="CS235" i="4"/>
  <c r="CR235" i="4"/>
  <c r="AU235" i="4"/>
  <c r="AP235" i="4"/>
  <c r="AH235" i="4"/>
  <c r="AG235" i="4"/>
  <c r="AF235" i="4"/>
  <c r="AE235" i="4"/>
  <c r="AD235" i="4"/>
  <c r="AC235" i="4"/>
  <c r="AB235" i="4"/>
  <c r="Z235" i="4"/>
  <c r="AK235" i="4" s="1"/>
  <c r="Y235" i="4"/>
  <c r="CY234" i="4"/>
  <c r="CS234" i="4"/>
  <c r="CR234" i="4"/>
  <c r="AU234" i="4"/>
  <c r="AP234" i="4"/>
  <c r="AH234" i="4"/>
  <c r="AG234" i="4"/>
  <c r="AF234" i="4"/>
  <c r="AE234" i="4"/>
  <c r="AD234" i="4"/>
  <c r="AC234" i="4"/>
  <c r="AB234" i="4"/>
  <c r="Z234" i="4"/>
  <c r="AK234" i="4" s="1"/>
  <c r="Y234" i="4"/>
  <c r="CY233" i="4"/>
  <c r="CS233" i="4"/>
  <c r="CR233" i="4"/>
  <c r="AU233" i="4"/>
  <c r="AP233" i="4"/>
  <c r="AH233" i="4"/>
  <c r="AG233" i="4"/>
  <c r="AF233" i="4"/>
  <c r="AE233" i="4"/>
  <c r="AD233" i="4"/>
  <c r="AC233" i="4"/>
  <c r="AB233" i="4"/>
  <c r="Z233" i="4"/>
  <c r="AK233" i="4" s="1"/>
  <c r="Y233" i="4"/>
  <c r="CY232" i="4"/>
  <c r="CS232" i="4"/>
  <c r="CR232" i="4"/>
  <c r="AU232" i="4"/>
  <c r="AP232" i="4"/>
  <c r="AH232" i="4"/>
  <c r="AG232" i="4"/>
  <c r="AF232" i="4"/>
  <c r="AE232" i="4"/>
  <c r="AD232" i="4"/>
  <c r="AC232" i="4"/>
  <c r="AB232" i="4"/>
  <c r="Z232" i="4"/>
  <c r="AK232" i="4" s="1"/>
  <c r="Y232" i="4"/>
  <c r="CY231" i="4"/>
  <c r="CS231" i="4"/>
  <c r="CR231" i="4"/>
  <c r="AU231" i="4"/>
  <c r="AP231" i="4"/>
  <c r="AH231" i="4"/>
  <c r="AG231" i="4"/>
  <c r="AF231" i="4"/>
  <c r="AE231" i="4"/>
  <c r="AD231" i="4"/>
  <c r="AC231" i="4"/>
  <c r="AB231" i="4"/>
  <c r="Z231" i="4"/>
  <c r="AK231" i="4" s="1"/>
  <c r="Y231" i="4"/>
  <c r="CY230" i="4"/>
  <c r="CS230" i="4"/>
  <c r="CR230" i="4"/>
  <c r="AU230" i="4"/>
  <c r="AP230" i="4"/>
  <c r="AH230" i="4"/>
  <c r="AG230" i="4"/>
  <c r="AF230" i="4"/>
  <c r="AE230" i="4"/>
  <c r="AD230" i="4"/>
  <c r="AC230" i="4"/>
  <c r="AB230" i="4"/>
  <c r="Z230" i="4"/>
  <c r="AK230" i="4" s="1"/>
  <c r="Y230" i="4"/>
  <c r="CY229" i="4"/>
  <c r="CS229" i="4"/>
  <c r="CR229" i="4"/>
  <c r="AU229" i="4"/>
  <c r="AP229" i="4"/>
  <c r="AH229" i="4"/>
  <c r="AG229" i="4"/>
  <c r="AF229" i="4"/>
  <c r="AE229" i="4"/>
  <c r="AD229" i="4"/>
  <c r="AC229" i="4"/>
  <c r="AB229" i="4"/>
  <c r="Z229" i="4"/>
  <c r="AK229" i="4" s="1"/>
  <c r="Y229" i="4"/>
  <c r="CY228" i="4"/>
  <c r="CS228" i="4"/>
  <c r="CR228" i="4"/>
  <c r="AU228" i="4"/>
  <c r="AP228" i="4"/>
  <c r="AH228" i="4"/>
  <c r="AG228" i="4"/>
  <c r="AF228" i="4"/>
  <c r="AE228" i="4"/>
  <c r="AD228" i="4"/>
  <c r="AC228" i="4"/>
  <c r="AB228" i="4"/>
  <c r="Z228" i="4"/>
  <c r="AK228" i="4" s="1"/>
  <c r="Y228" i="4"/>
  <c r="CY227" i="4"/>
  <c r="CS227" i="4"/>
  <c r="CR227" i="4"/>
  <c r="AU227" i="4"/>
  <c r="AP227" i="4"/>
  <c r="AH227" i="4"/>
  <c r="AG227" i="4"/>
  <c r="AF227" i="4"/>
  <c r="AE227" i="4"/>
  <c r="AD227" i="4"/>
  <c r="AC227" i="4"/>
  <c r="AB227" i="4"/>
  <c r="Z227" i="4"/>
  <c r="AK227" i="4" s="1"/>
  <c r="Y227" i="4"/>
  <c r="CY226" i="4"/>
  <c r="CS226" i="4"/>
  <c r="CR226" i="4"/>
  <c r="AU226" i="4"/>
  <c r="AP226" i="4"/>
  <c r="AH226" i="4"/>
  <c r="AG226" i="4"/>
  <c r="AF226" i="4"/>
  <c r="AE226" i="4"/>
  <c r="AD226" i="4"/>
  <c r="AC226" i="4"/>
  <c r="AB226" i="4"/>
  <c r="Z226" i="4"/>
  <c r="AK226" i="4" s="1"/>
  <c r="Y226" i="4"/>
  <c r="CY225" i="4"/>
  <c r="CS225" i="4"/>
  <c r="CR225" i="4"/>
  <c r="AU225" i="4"/>
  <c r="AP225" i="4"/>
  <c r="AH225" i="4"/>
  <c r="AG225" i="4"/>
  <c r="AF225" i="4"/>
  <c r="AE225" i="4"/>
  <c r="AD225" i="4"/>
  <c r="AC225" i="4"/>
  <c r="AB225" i="4"/>
  <c r="Z225" i="4"/>
  <c r="AK225" i="4" s="1"/>
  <c r="Y225" i="4"/>
  <c r="CY224" i="4"/>
  <c r="CS224" i="4"/>
  <c r="CR224" i="4"/>
  <c r="AU224" i="4"/>
  <c r="AP224" i="4"/>
  <c r="AH224" i="4"/>
  <c r="AG224" i="4"/>
  <c r="AF224" i="4"/>
  <c r="AE224" i="4"/>
  <c r="AD224" i="4"/>
  <c r="AC224" i="4"/>
  <c r="AB224" i="4"/>
  <c r="Z224" i="4"/>
  <c r="AK224" i="4" s="1"/>
  <c r="Y224" i="4"/>
  <c r="CY223" i="4"/>
  <c r="CS223" i="4"/>
  <c r="CR223" i="4"/>
  <c r="AU223" i="4"/>
  <c r="AP223" i="4"/>
  <c r="AH223" i="4"/>
  <c r="AG223" i="4"/>
  <c r="AF223" i="4"/>
  <c r="AE223" i="4"/>
  <c r="AD223" i="4"/>
  <c r="AC223" i="4"/>
  <c r="AB223" i="4"/>
  <c r="Z223" i="4"/>
  <c r="AK223" i="4" s="1"/>
  <c r="Y223" i="4"/>
  <c r="CY222" i="4"/>
  <c r="CS222" i="4"/>
  <c r="CR222" i="4"/>
  <c r="AU222" i="4"/>
  <c r="AP222" i="4"/>
  <c r="AH222" i="4"/>
  <c r="AG222" i="4"/>
  <c r="AF222" i="4"/>
  <c r="AE222" i="4"/>
  <c r="AD222" i="4"/>
  <c r="AC222" i="4"/>
  <c r="AB222" i="4"/>
  <c r="Z222" i="4"/>
  <c r="AK222" i="4" s="1"/>
  <c r="Y222" i="4"/>
  <c r="CY221" i="4"/>
  <c r="CS221" i="4"/>
  <c r="CR221" i="4"/>
  <c r="AU221" i="4"/>
  <c r="AP221" i="4"/>
  <c r="AH221" i="4"/>
  <c r="AG221" i="4"/>
  <c r="AF221" i="4"/>
  <c r="AE221" i="4"/>
  <c r="AD221" i="4"/>
  <c r="AC221" i="4"/>
  <c r="AB221" i="4"/>
  <c r="Z221" i="4"/>
  <c r="AK221" i="4" s="1"/>
  <c r="Y221" i="4"/>
  <c r="CY220" i="4"/>
  <c r="CS220" i="4"/>
  <c r="CR220" i="4"/>
  <c r="AU220" i="4"/>
  <c r="AP220" i="4"/>
  <c r="AH220" i="4"/>
  <c r="AG220" i="4"/>
  <c r="AF220" i="4"/>
  <c r="AE220" i="4"/>
  <c r="AD220" i="4"/>
  <c r="AC220" i="4"/>
  <c r="AB220" i="4"/>
  <c r="Z220" i="4"/>
  <c r="AK220" i="4" s="1"/>
  <c r="Y220" i="4"/>
  <c r="CY219" i="4"/>
  <c r="CS219" i="4"/>
  <c r="CR219" i="4"/>
  <c r="AU219" i="4"/>
  <c r="AP219" i="4"/>
  <c r="AH219" i="4"/>
  <c r="AG219" i="4"/>
  <c r="AF219" i="4"/>
  <c r="AE219" i="4"/>
  <c r="AD219" i="4"/>
  <c r="AC219" i="4"/>
  <c r="AB219" i="4"/>
  <c r="Z219" i="4"/>
  <c r="AK219" i="4" s="1"/>
  <c r="Y219" i="4"/>
  <c r="CY218" i="4"/>
  <c r="CS218" i="4"/>
  <c r="CR218" i="4"/>
  <c r="AU218" i="4"/>
  <c r="AP218" i="4"/>
  <c r="AH218" i="4"/>
  <c r="AG218" i="4"/>
  <c r="AF218" i="4"/>
  <c r="AE218" i="4"/>
  <c r="AD218" i="4"/>
  <c r="AC218" i="4"/>
  <c r="AB218" i="4"/>
  <c r="Z218" i="4"/>
  <c r="AK218" i="4" s="1"/>
  <c r="Y218" i="4"/>
  <c r="CY217" i="4"/>
  <c r="CS217" i="4"/>
  <c r="CR217" i="4"/>
  <c r="AU217" i="4"/>
  <c r="AP217" i="4"/>
  <c r="AH217" i="4"/>
  <c r="AG217" i="4"/>
  <c r="AF217" i="4"/>
  <c r="AE217" i="4"/>
  <c r="AD217" i="4"/>
  <c r="AC217" i="4"/>
  <c r="AB217" i="4"/>
  <c r="Z217" i="4"/>
  <c r="AK217" i="4" s="1"/>
  <c r="Y217" i="4"/>
  <c r="CY216" i="4"/>
  <c r="CS216" i="4"/>
  <c r="CR216" i="4"/>
  <c r="AU216" i="4"/>
  <c r="AP216" i="4"/>
  <c r="AH216" i="4"/>
  <c r="AG216" i="4"/>
  <c r="AF216" i="4"/>
  <c r="AE216" i="4"/>
  <c r="AD216" i="4"/>
  <c r="AC216" i="4"/>
  <c r="AB216" i="4"/>
  <c r="Z216" i="4"/>
  <c r="AK216" i="4" s="1"/>
  <c r="Y216" i="4"/>
  <c r="CY215" i="4"/>
  <c r="CS215" i="4"/>
  <c r="CR215" i="4"/>
  <c r="AU215" i="4"/>
  <c r="AP215" i="4"/>
  <c r="AH215" i="4"/>
  <c r="AG215" i="4"/>
  <c r="AF215" i="4"/>
  <c r="AE215" i="4"/>
  <c r="AD215" i="4"/>
  <c r="AC215" i="4"/>
  <c r="AB215" i="4"/>
  <c r="Z215" i="4"/>
  <c r="AK215" i="4" s="1"/>
  <c r="Y215" i="4"/>
  <c r="CY214" i="4"/>
  <c r="CS214" i="4"/>
  <c r="CR214" i="4"/>
  <c r="AU214" i="4"/>
  <c r="AP214" i="4"/>
  <c r="AH214" i="4"/>
  <c r="AG214" i="4"/>
  <c r="AF214" i="4"/>
  <c r="AE214" i="4"/>
  <c r="AD214" i="4"/>
  <c r="AC214" i="4"/>
  <c r="AB214" i="4"/>
  <c r="Z214" i="4"/>
  <c r="AK214" i="4" s="1"/>
  <c r="Y214" i="4"/>
  <c r="CY213" i="4"/>
  <c r="CS213" i="4"/>
  <c r="CR213" i="4"/>
  <c r="AU213" i="4"/>
  <c r="AP213" i="4"/>
  <c r="AH213" i="4"/>
  <c r="AG213" i="4"/>
  <c r="AF213" i="4"/>
  <c r="AE213" i="4"/>
  <c r="AD213" i="4"/>
  <c r="AC213" i="4"/>
  <c r="AB213" i="4"/>
  <c r="Z213" i="4"/>
  <c r="AK213" i="4" s="1"/>
  <c r="Y213" i="4"/>
  <c r="CY212" i="4"/>
  <c r="CS212" i="4"/>
  <c r="CR212" i="4"/>
  <c r="AU212" i="4"/>
  <c r="AP212" i="4"/>
  <c r="AH212" i="4"/>
  <c r="AG212" i="4"/>
  <c r="AF212" i="4"/>
  <c r="AE212" i="4"/>
  <c r="AD212" i="4"/>
  <c r="AC212" i="4"/>
  <c r="AB212" i="4"/>
  <c r="Z212" i="4"/>
  <c r="AK212" i="4" s="1"/>
  <c r="Y212" i="4"/>
  <c r="CY211" i="4"/>
  <c r="CS211" i="4"/>
  <c r="CR211" i="4"/>
  <c r="AU211" i="4"/>
  <c r="AP211" i="4"/>
  <c r="AH211" i="4"/>
  <c r="AG211" i="4"/>
  <c r="AF211" i="4"/>
  <c r="AE211" i="4"/>
  <c r="AD211" i="4"/>
  <c r="AC211" i="4"/>
  <c r="AB211" i="4"/>
  <c r="Z211" i="4"/>
  <c r="AK211" i="4" s="1"/>
  <c r="Y211" i="4"/>
  <c r="CY210" i="4"/>
  <c r="CS210" i="4"/>
  <c r="CR210" i="4"/>
  <c r="AU210" i="4"/>
  <c r="AP210" i="4"/>
  <c r="AH210" i="4"/>
  <c r="AG210" i="4"/>
  <c r="AF210" i="4"/>
  <c r="AE210" i="4"/>
  <c r="AD210" i="4"/>
  <c r="AC210" i="4"/>
  <c r="AB210" i="4"/>
  <c r="Z210" i="4"/>
  <c r="AK210" i="4" s="1"/>
  <c r="Y210" i="4"/>
  <c r="CY209" i="4"/>
  <c r="CS209" i="4"/>
  <c r="CR209" i="4"/>
  <c r="AU209" i="4"/>
  <c r="AP209" i="4"/>
  <c r="AH209" i="4"/>
  <c r="AG209" i="4"/>
  <c r="AF209" i="4"/>
  <c r="AE209" i="4"/>
  <c r="AD209" i="4"/>
  <c r="AC209" i="4"/>
  <c r="AB209" i="4"/>
  <c r="Z209" i="4"/>
  <c r="AK209" i="4" s="1"/>
  <c r="Y209" i="4"/>
  <c r="CY208" i="4"/>
  <c r="CS208" i="4"/>
  <c r="CR208" i="4"/>
  <c r="AU208" i="4"/>
  <c r="AP208" i="4"/>
  <c r="AH208" i="4"/>
  <c r="AG208" i="4"/>
  <c r="AF208" i="4"/>
  <c r="AE208" i="4"/>
  <c r="AD208" i="4"/>
  <c r="AC208" i="4"/>
  <c r="AB208" i="4"/>
  <c r="Z208" i="4"/>
  <c r="AK208" i="4" s="1"/>
  <c r="Y208" i="4"/>
  <c r="CY207" i="4"/>
  <c r="CS207" i="4"/>
  <c r="CR207" i="4"/>
  <c r="AU207" i="4"/>
  <c r="AP207" i="4"/>
  <c r="AH207" i="4"/>
  <c r="AG207" i="4"/>
  <c r="AF207" i="4"/>
  <c r="AE207" i="4"/>
  <c r="AD207" i="4"/>
  <c r="AC207" i="4"/>
  <c r="AB207" i="4"/>
  <c r="Z207" i="4"/>
  <c r="AK207" i="4" s="1"/>
  <c r="Y207" i="4"/>
  <c r="CY206" i="4"/>
  <c r="CS206" i="4"/>
  <c r="CR206" i="4"/>
  <c r="AU206" i="4"/>
  <c r="AP206" i="4"/>
  <c r="AH206" i="4"/>
  <c r="AG206" i="4"/>
  <c r="AF206" i="4"/>
  <c r="AE206" i="4"/>
  <c r="AD206" i="4"/>
  <c r="AC206" i="4"/>
  <c r="AB206" i="4"/>
  <c r="Z206" i="4"/>
  <c r="AK206" i="4" s="1"/>
  <c r="Y206" i="4"/>
  <c r="CY205" i="4"/>
  <c r="CS205" i="4"/>
  <c r="CR205" i="4"/>
  <c r="AU205" i="4"/>
  <c r="AP205" i="4"/>
  <c r="AH205" i="4"/>
  <c r="AG205" i="4"/>
  <c r="AF205" i="4"/>
  <c r="AE205" i="4"/>
  <c r="AD205" i="4"/>
  <c r="AC205" i="4"/>
  <c r="AB205" i="4"/>
  <c r="Z205" i="4"/>
  <c r="AK205" i="4" s="1"/>
  <c r="Y205" i="4"/>
  <c r="CY204" i="4"/>
  <c r="CS204" i="4"/>
  <c r="CR204" i="4"/>
  <c r="AU204" i="4"/>
  <c r="AP204" i="4"/>
  <c r="AH204" i="4"/>
  <c r="AG204" i="4"/>
  <c r="AF204" i="4"/>
  <c r="AE204" i="4"/>
  <c r="AD204" i="4"/>
  <c r="AC204" i="4"/>
  <c r="AB204" i="4"/>
  <c r="Z204" i="4"/>
  <c r="AK204" i="4" s="1"/>
  <c r="Y204" i="4"/>
  <c r="CY203" i="4"/>
  <c r="CS203" i="4"/>
  <c r="CR203" i="4"/>
  <c r="AU203" i="4"/>
  <c r="AP203" i="4"/>
  <c r="AH203" i="4"/>
  <c r="AG203" i="4"/>
  <c r="AF203" i="4"/>
  <c r="AE203" i="4"/>
  <c r="AD203" i="4"/>
  <c r="AC203" i="4"/>
  <c r="AB203" i="4"/>
  <c r="Z203" i="4"/>
  <c r="AK203" i="4" s="1"/>
  <c r="Y203" i="4"/>
  <c r="CY202" i="4"/>
  <c r="CS202" i="4"/>
  <c r="CR202" i="4"/>
  <c r="AU202" i="4"/>
  <c r="AP202" i="4"/>
  <c r="AH202" i="4"/>
  <c r="AG202" i="4"/>
  <c r="AF202" i="4"/>
  <c r="AE202" i="4"/>
  <c r="AD202" i="4"/>
  <c r="AC202" i="4"/>
  <c r="AB202" i="4"/>
  <c r="Z202" i="4"/>
  <c r="AK202" i="4" s="1"/>
  <c r="Y202" i="4"/>
  <c r="CY201" i="4"/>
  <c r="CS201" i="4"/>
  <c r="CR201" i="4"/>
  <c r="AU201" i="4"/>
  <c r="AP201" i="4"/>
  <c r="AH201" i="4"/>
  <c r="AG201" i="4"/>
  <c r="AF201" i="4"/>
  <c r="AE201" i="4"/>
  <c r="AD201" i="4"/>
  <c r="AC201" i="4"/>
  <c r="AB201" i="4"/>
  <c r="Z201" i="4"/>
  <c r="AK201" i="4" s="1"/>
  <c r="Y201" i="4"/>
  <c r="CY200" i="4"/>
  <c r="CS200" i="4"/>
  <c r="CR200" i="4"/>
  <c r="AU200" i="4"/>
  <c r="AP200" i="4"/>
  <c r="AH200" i="4"/>
  <c r="AG200" i="4"/>
  <c r="AF200" i="4"/>
  <c r="AE200" i="4"/>
  <c r="AD200" i="4"/>
  <c r="AC200" i="4"/>
  <c r="AB200" i="4"/>
  <c r="Z200" i="4"/>
  <c r="AK200" i="4" s="1"/>
  <c r="Y200" i="4"/>
  <c r="CY199" i="4"/>
  <c r="CS199" i="4"/>
  <c r="CR199" i="4"/>
  <c r="AU199" i="4"/>
  <c r="AP199" i="4"/>
  <c r="AH199" i="4"/>
  <c r="AG199" i="4"/>
  <c r="AF199" i="4"/>
  <c r="AE199" i="4"/>
  <c r="AD199" i="4"/>
  <c r="AC199" i="4"/>
  <c r="AB199" i="4"/>
  <c r="Z199" i="4"/>
  <c r="AK199" i="4" s="1"/>
  <c r="Y199" i="4"/>
  <c r="CY198" i="4"/>
  <c r="CS198" i="4"/>
  <c r="CR198" i="4"/>
  <c r="AU198" i="4"/>
  <c r="AP198" i="4"/>
  <c r="AH198" i="4"/>
  <c r="AG198" i="4"/>
  <c r="AF198" i="4"/>
  <c r="AE198" i="4"/>
  <c r="AD198" i="4"/>
  <c r="AC198" i="4"/>
  <c r="AB198" i="4"/>
  <c r="Z198" i="4"/>
  <c r="AK198" i="4" s="1"/>
  <c r="Y198" i="4"/>
  <c r="CY197" i="4"/>
  <c r="CS197" i="4"/>
  <c r="CR197" i="4"/>
  <c r="AU197" i="4"/>
  <c r="AP197" i="4"/>
  <c r="AH197" i="4"/>
  <c r="AG197" i="4"/>
  <c r="AF197" i="4"/>
  <c r="AE197" i="4"/>
  <c r="AD197" i="4"/>
  <c r="AC197" i="4"/>
  <c r="AB197" i="4"/>
  <c r="Z197" i="4"/>
  <c r="AK197" i="4" s="1"/>
  <c r="Y197" i="4"/>
  <c r="CY196" i="4"/>
  <c r="CS196" i="4"/>
  <c r="CR196" i="4"/>
  <c r="AU196" i="4"/>
  <c r="AP196" i="4"/>
  <c r="AH196" i="4"/>
  <c r="AG196" i="4"/>
  <c r="AF196" i="4"/>
  <c r="AE196" i="4"/>
  <c r="AD196" i="4"/>
  <c r="AC196" i="4"/>
  <c r="AB196" i="4"/>
  <c r="Z196" i="4"/>
  <c r="AK196" i="4" s="1"/>
  <c r="Y196" i="4"/>
  <c r="CY195" i="4"/>
  <c r="CS195" i="4"/>
  <c r="CR195" i="4"/>
  <c r="AU195" i="4"/>
  <c r="AP195" i="4"/>
  <c r="AH195" i="4"/>
  <c r="AG195" i="4"/>
  <c r="AF195" i="4"/>
  <c r="AE195" i="4"/>
  <c r="AD195" i="4"/>
  <c r="AC195" i="4"/>
  <c r="AB195" i="4"/>
  <c r="Z195" i="4"/>
  <c r="AK195" i="4" s="1"/>
  <c r="Y195" i="4"/>
  <c r="CY194" i="4"/>
  <c r="CS194" i="4"/>
  <c r="CR194" i="4"/>
  <c r="AU194" i="4"/>
  <c r="AP194" i="4"/>
  <c r="AH194" i="4"/>
  <c r="AG194" i="4"/>
  <c r="AF194" i="4"/>
  <c r="AE194" i="4"/>
  <c r="AD194" i="4"/>
  <c r="AC194" i="4"/>
  <c r="AB194" i="4"/>
  <c r="Z194" i="4"/>
  <c r="AK194" i="4" s="1"/>
  <c r="Y194" i="4"/>
  <c r="CY193" i="4"/>
  <c r="CS193" i="4"/>
  <c r="CR193" i="4"/>
  <c r="AU193" i="4"/>
  <c r="AP193" i="4"/>
  <c r="AH193" i="4"/>
  <c r="AG193" i="4"/>
  <c r="AF193" i="4"/>
  <c r="AE193" i="4"/>
  <c r="AD193" i="4"/>
  <c r="AC193" i="4"/>
  <c r="AB193" i="4"/>
  <c r="Z193" i="4"/>
  <c r="AK193" i="4" s="1"/>
  <c r="Y193" i="4"/>
  <c r="CY192" i="4"/>
  <c r="CS192" i="4"/>
  <c r="CR192" i="4"/>
  <c r="AU192" i="4"/>
  <c r="AP192" i="4"/>
  <c r="AH192" i="4"/>
  <c r="AG192" i="4"/>
  <c r="AF192" i="4"/>
  <c r="AE192" i="4"/>
  <c r="AD192" i="4"/>
  <c r="AC192" i="4"/>
  <c r="AB192" i="4"/>
  <c r="Z192" i="4"/>
  <c r="AK192" i="4" s="1"/>
  <c r="Y192" i="4"/>
  <c r="CY191" i="4"/>
  <c r="CS191" i="4"/>
  <c r="CR191" i="4"/>
  <c r="AU191" i="4"/>
  <c r="AP191" i="4"/>
  <c r="AH191" i="4"/>
  <c r="AG191" i="4"/>
  <c r="AF191" i="4"/>
  <c r="AE191" i="4"/>
  <c r="AD191" i="4"/>
  <c r="AC191" i="4"/>
  <c r="AB191" i="4"/>
  <c r="Z191" i="4"/>
  <c r="AK191" i="4" s="1"/>
  <c r="Y191" i="4"/>
  <c r="CY190" i="4"/>
  <c r="CS190" i="4"/>
  <c r="CR190" i="4"/>
  <c r="AU190" i="4"/>
  <c r="AP190" i="4"/>
  <c r="AH190" i="4"/>
  <c r="AG190" i="4"/>
  <c r="AF190" i="4"/>
  <c r="AE190" i="4"/>
  <c r="AD190" i="4"/>
  <c r="AC190" i="4"/>
  <c r="AB190" i="4"/>
  <c r="Z190" i="4"/>
  <c r="AK190" i="4" s="1"/>
  <c r="Y190" i="4"/>
  <c r="CY189" i="4"/>
  <c r="CS189" i="4"/>
  <c r="CR189" i="4"/>
  <c r="AU189" i="4"/>
  <c r="AP189" i="4"/>
  <c r="AH189" i="4"/>
  <c r="AG189" i="4"/>
  <c r="AF189" i="4"/>
  <c r="AE189" i="4"/>
  <c r="AD189" i="4"/>
  <c r="AC189" i="4"/>
  <c r="AB189" i="4"/>
  <c r="Z189" i="4"/>
  <c r="AK189" i="4" s="1"/>
  <c r="Y189" i="4"/>
  <c r="CY188" i="4"/>
  <c r="CS188" i="4"/>
  <c r="CR188" i="4"/>
  <c r="AU188" i="4"/>
  <c r="AP188" i="4"/>
  <c r="AH188" i="4"/>
  <c r="AG188" i="4"/>
  <c r="AF188" i="4"/>
  <c r="AE188" i="4"/>
  <c r="AD188" i="4"/>
  <c r="AC188" i="4"/>
  <c r="AB188" i="4"/>
  <c r="Z188" i="4"/>
  <c r="AK188" i="4" s="1"/>
  <c r="Y188" i="4"/>
  <c r="CY187" i="4"/>
  <c r="CS187" i="4"/>
  <c r="CR187" i="4"/>
  <c r="AU187" i="4"/>
  <c r="AP187" i="4"/>
  <c r="AH187" i="4"/>
  <c r="AG187" i="4"/>
  <c r="AF187" i="4"/>
  <c r="AE187" i="4"/>
  <c r="AD187" i="4"/>
  <c r="AC187" i="4"/>
  <c r="AB187" i="4"/>
  <c r="Z187" i="4"/>
  <c r="AK187" i="4" s="1"/>
  <c r="Y187" i="4"/>
  <c r="CY186" i="4"/>
  <c r="CS186" i="4"/>
  <c r="CR186" i="4"/>
  <c r="AU186" i="4"/>
  <c r="AP186" i="4"/>
  <c r="AH186" i="4"/>
  <c r="AG186" i="4"/>
  <c r="AF186" i="4"/>
  <c r="AE186" i="4"/>
  <c r="AD186" i="4"/>
  <c r="AC186" i="4"/>
  <c r="AB186" i="4"/>
  <c r="Z186" i="4"/>
  <c r="AK186" i="4" s="1"/>
  <c r="Y186" i="4"/>
  <c r="CY185" i="4"/>
  <c r="CS185" i="4"/>
  <c r="CR185" i="4"/>
  <c r="AU185" i="4"/>
  <c r="AP185" i="4"/>
  <c r="AH185" i="4"/>
  <c r="AG185" i="4"/>
  <c r="AF185" i="4"/>
  <c r="AE185" i="4"/>
  <c r="AD185" i="4"/>
  <c r="AC185" i="4"/>
  <c r="AB185" i="4"/>
  <c r="Z185" i="4"/>
  <c r="AK185" i="4" s="1"/>
  <c r="Y185" i="4"/>
  <c r="CY184" i="4"/>
  <c r="CS184" i="4"/>
  <c r="CR184" i="4"/>
  <c r="AU184" i="4"/>
  <c r="AP184" i="4"/>
  <c r="AH184" i="4"/>
  <c r="AG184" i="4"/>
  <c r="AF184" i="4"/>
  <c r="AE184" i="4"/>
  <c r="AD184" i="4"/>
  <c r="AC184" i="4"/>
  <c r="AB184" i="4"/>
  <c r="Z184" i="4"/>
  <c r="AK184" i="4" s="1"/>
  <c r="Y184" i="4"/>
  <c r="CY183" i="4"/>
  <c r="CS183" i="4"/>
  <c r="CR183" i="4"/>
  <c r="AU183" i="4"/>
  <c r="AP183" i="4"/>
  <c r="AH183" i="4"/>
  <c r="AG183" i="4"/>
  <c r="AF183" i="4"/>
  <c r="AE183" i="4"/>
  <c r="AD183" i="4"/>
  <c r="AC183" i="4"/>
  <c r="AB183" i="4"/>
  <c r="Z183" i="4"/>
  <c r="AK183" i="4" s="1"/>
  <c r="Y183" i="4"/>
  <c r="CY182" i="4"/>
  <c r="CS182" i="4"/>
  <c r="CR182" i="4"/>
  <c r="AU182" i="4"/>
  <c r="AP182" i="4"/>
  <c r="AH182" i="4"/>
  <c r="AG182" i="4"/>
  <c r="AF182" i="4"/>
  <c r="AE182" i="4"/>
  <c r="AD182" i="4"/>
  <c r="AC182" i="4"/>
  <c r="AB182" i="4"/>
  <c r="Z182" i="4"/>
  <c r="AK182" i="4" s="1"/>
  <c r="Y182" i="4"/>
  <c r="CY181" i="4"/>
  <c r="CS181" i="4"/>
  <c r="CR181" i="4"/>
  <c r="AU181" i="4"/>
  <c r="AP181" i="4"/>
  <c r="AH181" i="4"/>
  <c r="AG181" i="4"/>
  <c r="AF181" i="4"/>
  <c r="AE181" i="4"/>
  <c r="AD181" i="4"/>
  <c r="AC181" i="4"/>
  <c r="AB181" i="4"/>
  <c r="Z181" i="4"/>
  <c r="AK181" i="4" s="1"/>
  <c r="Y181" i="4"/>
  <c r="CY180" i="4"/>
  <c r="CS180" i="4"/>
  <c r="CR180" i="4"/>
  <c r="AU180" i="4"/>
  <c r="AP180" i="4"/>
  <c r="AH180" i="4"/>
  <c r="AG180" i="4"/>
  <c r="AF180" i="4"/>
  <c r="AE180" i="4"/>
  <c r="AD180" i="4"/>
  <c r="AC180" i="4"/>
  <c r="AB180" i="4"/>
  <c r="Z180" i="4"/>
  <c r="AK180" i="4" s="1"/>
  <c r="Y180" i="4"/>
  <c r="CY179" i="4"/>
  <c r="CS179" i="4"/>
  <c r="CR179" i="4"/>
  <c r="AU179" i="4"/>
  <c r="AP179" i="4"/>
  <c r="AH179" i="4"/>
  <c r="AG179" i="4"/>
  <c r="AF179" i="4"/>
  <c r="AE179" i="4"/>
  <c r="AD179" i="4"/>
  <c r="AC179" i="4"/>
  <c r="AB179" i="4"/>
  <c r="Z179" i="4"/>
  <c r="AK179" i="4" s="1"/>
  <c r="Y179" i="4"/>
  <c r="CY178" i="4"/>
  <c r="CS178" i="4"/>
  <c r="CR178" i="4"/>
  <c r="AU178" i="4"/>
  <c r="AP178" i="4"/>
  <c r="AH178" i="4"/>
  <c r="AG178" i="4"/>
  <c r="AF178" i="4"/>
  <c r="AE178" i="4"/>
  <c r="AD178" i="4"/>
  <c r="AC178" i="4"/>
  <c r="AB178" i="4"/>
  <c r="Z178" i="4"/>
  <c r="AK178" i="4" s="1"/>
  <c r="Y178" i="4"/>
  <c r="CY177" i="4"/>
  <c r="CS177" i="4"/>
  <c r="CR177" i="4"/>
  <c r="AU177" i="4"/>
  <c r="AP177" i="4"/>
  <c r="AH177" i="4"/>
  <c r="AG177" i="4"/>
  <c r="AF177" i="4"/>
  <c r="AE177" i="4"/>
  <c r="AD177" i="4"/>
  <c r="AC177" i="4"/>
  <c r="AB177" i="4"/>
  <c r="Z177" i="4"/>
  <c r="AK177" i="4" s="1"/>
  <c r="Y177" i="4"/>
  <c r="CY176" i="4"/>
  <c r="CS176" i="4"/>
  <c r="CR176" i="4"/>
  <c r="AU176" i="4"/>
  <c r="AP176" i="4"/>
  <c r="AH176" i="4"/>
  <c r="AG176" i="4"/>
  <c r="AF176" i="4"/>
  <c r="AE176" i="4"/>
  <c r="AD176" i="4"/>
  <c r="AC176" i="4"/>
  <c r="AB176" i="4"/>
  <c r="Z176" i="4"/>
  <c r="AK176" i="4" s="1"/>
  <c r="Y176" i="4"/>
  <c r="CY175" i="4"/>
  <c r="CS175" i="4"/>
  <c r="CR175" i="4"/>
  <c r="AU175" i="4"/>
  <c r="AP175" i="4"/>
  <c r="AH175" i="4"/>
  <c r="AG175" i="4"/>
  <c r="AF175" i="4"/>
  <c r="AE175" i="4"/>
  <c r="AD175" i="4"/>
  <c r="AC175" i="4"/>
  <c r="AB175" i="4"/>
  <c r="Z175" i="4"/>
  <c r="AK175" i="4" s="1"/>
  <c r="Y175" i="4"/>
  <c r="CY174" i="4"/>
  <c r="CS174" i="4"/>
  <c r="CR174" i="4"/>
  <c r="AU174" i="4"/>
  <c r="AP174" i="4"/>
  <c r="AH174" i="4"/>
  <c r="AG174" i="4"/>
  <c r="AF174" i="4"/>
  <c r="AE174" i="4"/>
  <c r="AD174" i="4"/>
  <c r="AC174" i="4"/>
  <c r="AB174" i="4"/>
  <c r="Z174" i="4"/>
  <c r="AK174" i="4" s="1"/>
  <c r="Y174" i="4"/>
  <c r="CY173" i="4"/>
  <c r="CS173" i="4"/>
  <c r="CR173" i="4"/>
  <c r="AU173" i="4"/>
  <c r="AP173" i="4"/>
  <c r="AH173" i="4"/>
  <c r="AG173" i="4"/>
  <c r="AF173" i="4"/>
  <c r="AE173" i="4"/>
  <c r="AD173" i="4"/>
  <c r="AC173" i="4"/>
  <c r="AB173" i="4"/>
  <c r="Z173" i="4"/>
  <c r="AK173" i="4" s="1"/>
  <c r="Y173" i="4"/>
  <c r="CY172" i="4"/>
  <c r="CS172" i="4"/>
  <c r="CR172" i="4"/>
  <c r="AU172" i="4"/>
  <c r="AP172" i="4"/>
  <c r="AH172" i="4"/>
  <c r="AG172" i="4"/>
  <c r="AF172" i="4"/>
  <c r="AE172" i="4"/>
  <c r="AD172" i="4"/>
  <c r="AC172" i="4"/>
  <c r="AB172" i="4"/>
  <c r="Z172" i="4"/>
  <c r="AK172" i="4" s="1"/>
  <c r="Y172" i="4"/>
  <c r="CY171" i="4"/>
  <c r="CS171" i="4"/>
  <c r="CR171" i="4"/>
  <c r="AU171" i="4"/>
  <c r="AP171" i="4"/>
  <c r="AH171" i="4"/>
  <c r="AG171" i="4"/>
  <c r="AF171" i="4"/>
  <c r="AE171" i="4"/>
  <c r="AD171" i="4"/>
  <c r="AC171" i="4"/>
  <c r="AB171" i="4"/>
  <c r="Z171" i="4"/>
  <c r="AK171" i="4" s="1"/>
  <c r="Y171" i="4"/>
  <c r="CY170" i="4"/>
  <c r="CS170" i="4"/>
  <c r="CR170" i="4"/>
  <c r="AU170" i="4"/>
  <c r="AP170" i="4"/>
  <c r="AH170" i="4"/>
  <c r="AG170" i="4"/>
  <c r="AF170" i="4"/>
  <c r="AE170" i="4"/>
  <c r="AD170" i="4"/>
  <c r="AC170" i="4"/>
  <c r="AB170" i="4"/>
  <c r="Z170" i="4"/>
  <c r="AK170" i="4" s="1"/>
  <c r="Y170" i="4"/>
  <c r="CY169" i="4"/>
  <c r="CS169" i="4"/>
  <c r="CR169" i="4"/>
  <c r="AU169" i="4"/>
  <c r="AP169" i="4"/>
  <c r="AH169" i="4"/>
  <c r="AG169" i="4"/>
  <c r="AF169" i="4"/>
  <c r="AE169" i="4"/>
  <c r="AD169" i="4"/>
  <c r="AC169" i="4"/>
  <c r="AB169" i="4"/>
  <c r="Z169" i="4"/>
  <c r="AK169" i="4" s="1"/>
  <c r="Y169" i="4"/>
  <c r="CY168" i="4"/>
  <c r="CS168" i="4"/>
  <c r="CR168" i="4"/>
  <c r="AU168" i="4"/>
  <c r="AP168" i="4"/>
  <c r="AH168" i="4"/>
  <c r="AG168" i="4"/>
  <c r="AF168" i="4"/>
  <c r="AE168" i="4"/>
  <c r="AD168" i="4"/>
  <c r="AC168" i="4"/>
  <c r="AB168" i="4"/>
  <c r="Z168" i="4"/>
  <c r="AK168" i="4" s="1"/>
  <c r="Y168" i="4"/>
  <c r="CY167" i="4"/>
  <c r="CS167" i="4"/>
  <c r="CR167" i="4"/>
  <c r="AU167" i="4"/>
  <c r="AP167" i="4"/>
  <c r="AH167" i="4"/>
  <c r="AG167" i="4"/>
  <c r="AF167" i="4"/>
  <c r="AE167" i="4"/>
  <c r="AD167" i="4"/>
  <c r="AC167" i="4"/>
  <c r="AB167" i="4"/>
  <c r="Z167" i="4"/>
  <c r="AK167" i="4" s="1"/>
  <c r="Y167" i="4"/>
  <c r="CY166" i="4"/>
  <c r="CS166" i="4"/>
  <c r="CR166" i="4"/>
  <c r="AU166" i="4"/>
  <c r="AP166" i="4"/>
  <c r="AH166" i="4"/>
  <c r="AG166" i="4"/>
  <c r="AF166" i="4"/>
  <c r="AE166" i="4"/>
  <c r="AD166" i="4"/>
  <c r="AC166" i="4"/>
  <c r="AB166" i="4"/>
  <c r="Z166" i="4"/>
  <c r="AK166" i="4" s="1"/>
  <c r="Y166" i="4"/>
  <c r="CY165" i="4"/>
  <c r="CS165" i="4"/>
  <c r="CR165" i="4"/>
  <c r="AU165" i="4"/>
  <c r="AP165" i="4"/>
  <c r="AH165" i="4"/>
  <c r="AG165" i="4"/>
  <c r="AF165" i="4"/>
  <c r="AE165" i="4"/>
  <c r="AD165" i="4"/>
  <c r="AC165" i="4"/>
  <c r="AB165" i="4"/>
  <c r="Z165" i="4"/>
  <c r="AK165" i="4" s="1"/>
  <c r="Y165" i="4"/>
  <c r="CY164" i="4"/>
  <c r="CS164" i="4"/>
  <c r="CR164" i="4"/>
  <c r="AU164" i="4"/>
  <c r="AP164" i="4"/>
  <c r="AH164" i="4"/>
  <c r="AG164" i="4"/>
  <c r="AF164" i="4"/>
  <c r="AE164" i="4"/>
  <c r="AD164" i="4"/>
  <c r="AC164" i="4"/>
  <c r="AB164" i="4"/>
  <c r="Z164" i="4"/>
  <c r="AK164" i="4" s="1"/>
  <c r="Y164" i="4"/>
  <c r="CY163" i="4"/>
  <c r="CS163" i="4"/>
  <c r="CR163" i="4"/>
  <c r="AU163" i="4"/>
  <c r="AP163" i="4"/>
  <c r="AH163" i="4"/>
  <c r="AG163" i="4"/>
  <c r="AF163" i="4"/>
  <c r="AE163" i="4"/>
  <c r="AD163" i="4"/>
  <c r="AC163" i="4"/>
  <c r="AB163" i="4"/>
  <c r="Z163" i="4"/>
  <c r="AK163" i="4" s="1"/>
  <c r="Y163" i="4"/>
  <c r="CY162" i="4"/>
  <c r="CS162" i="4"/>
  <c r="CR162" i="4"/>
  <c r="AU162" i="4"/>
  <c r="AP162" i="4"/>
  <c r="AH162" i="4"/>
  <c r="AG162" i="4"/>
  <c r="AF162" i="4"/>
  <c r="AE162" i="4"/>
  <c r="AD162" i="4"/>
  <c r="AC162" i="4"/>
  <c r="AB162" i="4"/>
  <c r="Z162" i="4"/>
  <c r="AK162" i="4" s="1"/>
  <c r="Y162" i="4"/>
  <c r="CY161" i="4"/>
  <c r="CS161" i="4"/>
  <c r="CR161" i="4"/>
  <c r="AU161" i="4"/>
  <c r="AP161" i="4"/>
  <c r="AH161" i="4"/>
  <c r="AG161" i="4"/>
  <c r="AF161" i="4"/>
  <c r="AE161" i="4"/>
  <c r="AD161" i="4"/>
  <c r="AC161" i="4"/>
  <c r="AB161" i="4"/>
  <c r="Z161" i="4"/>
  <c r="AK161" i="4" s="1"/>
  <c r="Y161" i="4"/>
  <c r="CY160" i="4"/>
  <c r="CS160" i="4"/>
  <c r="CR160" i="4"/>
  <c r="AU160" i="4"/>
  <c r="AP160" i="4"/>
  <c r="AH160" i="4"/>
  <c r="AG160" i="4"/>
  <c r="AF160" i="4"/>
  <c r="AE160" i="4"/>
  <c r="AD160" i="4"/>
  <c r="AC160" i="4"/>
  <c r="AB160" i="4"/>
  <c r="Z160" i="4"/>
  <c r="AK160" i="4" s="1"/>
  <c r="Y160" i="4"/>
  <c r="CY159" i="4"/>
  <c r="CS159" i="4"/>
  <c r="CR159" i="4"/>
  <c r="AU159" i="4"/>
  <c r="AP159" i="4"/>
  <c r="AH159" i="4"/>
  <c r="AG159" i="4"/>
  <c r="AF159" i="4"/>
  <c r="AE159" i="4"/>
  <c r="AD159" i="4"/>
  <c r="AC159" i="4"/>
  <c r="AB159" i="4"/>
  <c r="Z159" i="4"/>
  <c r="AK159" i="4" s="1"/>
  <c r="Y159" i="4"/>
  <c r="CY158" i="4"/>
  <c r="CS158" i="4"/>
  <c r="CR158" i="4"/>
  <c r="AU158" i="4"/>
  <c r="AP158" i="4"/>
  <c r="AH158" i="4"/>
  <c r="AG158" i="4"/>
  <c r="AF158" i="4"/>
  <c r="AE158" i="4"/>
  <c r="AD158" i="4"/>
  <c r="AC158" i="4"/>
  <c r="AB158" i="4"/>
  <c r="Z158" i="4"/>
  <c r="AK158" i="4" s="1"/>
  <c r="Y158" i="4"/>
  <c r="CY157" i="4"/>
  <c r="CS157" i="4"/>
  <c r="CR157" i="4"/>
  <c r="AU157" i="4"/>
  <c r="AP157" i="4"/>
  <c r="AH157" i="4"/>
  <c r="AG157" i="4"/>
  <c r="AF157" i="4"/>
  <c r="AE157" i="4"/>
  <c r="AD157" i="4"/>
  <c r="AC157" i="4"/>
  <c r="AB157" i="4"/>
  <c r="Z157" i="4"/>
  <c r="AK157" i="4" s="1"/>
  <c r="Y157" i="4"/>
  <c r="CY156" i="4"/>
  <c r="CS156" i="4"/>
  <c r="CR156" i="4"/>
  <c r="AU156" i="4"/>
  <c r="AP156" i="4"/>
  <c r="AH156" i="4"/>
  <c r="AG156" i="4"/>
  <c r="AF156" i="4"/>
  <c r="AE156" i="4"/>
  <c r="AD156" i="4"/>
  <c r="AC156" i="4"/>
  <c r="AB156" i="4"/>
  <c r="Z156" i="4"/>
  <c r="AK156" i="4" s="1"/>
  <c r="Y156" i="4"/>
  <c r="CY155" i="4"/>
  <c r="CS155" i="4"/>
  <c r="CR155" i="4"/>
  <c r="AU155" i="4"/>
  <c r="AP155" i="4"/>
  <c r="AH155" i="4"/>
  <c r="AG155" i="4"/>
  <c r="AF155" i="4"/>
  <c r="AE155" i="4"/>
  <c r="AD155" i="4"/>
  <c r="AC155" i="4"/>
  <c r="AB155" i="4"/>
  <c r="Z155" i="4"/>
  <c r="AK155" i="4" s="1"/>
  <c r="Y155" i="4"/>
  <c r="CY154" i="4"/>
  <c r="CS154" i="4"/>
  <c r="CR154" i="4"/>
  <c r="AU154" i="4"/>
  <c r="AP154" i="4"/>
  <c r="AH154" i="4"/>
  <c r="AG154" i="4"/>
  <c r="AF154" i="4"/>
  <c r="AE154" i="4"/>
  <c r="AD154" i="4"/>
  <c r="AC154" i="4"/>
  <c r="AB154" i="4"/>
  <c r="Z154" i="4"/>
  <c r="AK154" i="4" s="1"/>
  <c r="Y154" i="4"/>
  <c r="CY153" i="4"/>
  <c r="CS153" i="4"/>
  <c r="CR153" i="4"/>
  <c r="AU153" i="4"/>
  <c r="AP153" i="4"/>
  <c r="AH153" i="4"/>
  <c r="AG153" i="4"/>
  <c r="AF153" i="4"/>
  <c r="AE153" i="4"/>
  <c r="AD153" i="4"/>
  <c r="AC153" i="4"/>
  <c r="AB153" i="4"/>
  <c r="Z153" i="4"/>
  <c r="AK153" i="4" s="1"/>
  <c r="Y153" i="4"/>
  <c r="CY152" i="4"/>
  <c r="CS152" i="4"/>
  <c r="CR152" i="4"/>
  <c r="AU152" i="4"/>
  <c r="AP152" i="4"/>
  <c r="AH152" i="4"/>
  <c r="AG152" i="4"/>
  <c r="AF152" i="4"/>
  <c r="AE152" i="4"/>
  <c r="AD152" i="4"/>
  <c r="AC152" i="4"/>
  <c r="AB152" i="4"/>
  <c r="Z152" i="4"/>
  <c r="AK152" i="4" s="1"/>
  <c r="Y152" i="4"/>
  <c r="CY151" i="4"/>
  <c r="CS151" i="4"/>
  <c r="CR151" i="4"/>
  <c r="AU151" i="4"/>
  <c r="AP151" i="4"/>
  <c r="AH151" i="4"/>
  <c r="AG151" i="4"/>
  <c r="AF151" i="4"/>
  <c r="AE151" i="4"/>
  <c r="AD151" i="4"/>
  <c r="AC151" i="4"/>
  <c r="AB151" i="4"/>
  <c r="Z151" i="4"/>
  <c r="AK151" i="4" s="1"/>
  <c r="Y151" i="4"/>
  <c r="CY150" i="4"/>
  <c r="CS150" i="4"/>
  <c r="CR150" i="4"/>
  <c r="AU150" i="4"/>
  <c r="AP150" i="4"/>
  <c r="AH150" i="4"/>
  <c r="AG150" i="4"/>
  <c r="AF150" i="4"/>
  <c r="AE150" i="4"/>
  <c r="AD150" i="4"/>
  <c r="AC150" i="4"/>
  <c r="AB150" i="4"/>
  <c r="Z150" i="4"/>
  <c r="AK150" i="4" s="1"/>
  <c r="Y150" i="4"/>
  <c r="CY149" i="4"/>
  <c r="CS149" i="4"/>
  <c r="CR149" i="4"/>
  <c r="AU149" i="4"/>
  <c r="AP149" i="4"/>
  <c r="AH149" i="4"/>
  <c r="AG149" i="4"/>
  <c r="AF149" i="4"/>
  <c r="AE149" i="4"/>
  <c r="AD149" i="4"/>
  <c r="AC149" i="4"/>
  <c r="AB149" i="4"/>
  <c r="Z149" i="4"/>
  <c r="AK149" i="4" s="1"/>
  <c r="Y149" i="4"/>
  <c r="CY148" i="4"/>
  <c r="CS148" i="4"/>
  <c r="CR148" i="4"/>
  <c r="AU148" i="4"/>
  <c r="AP148" i="4"/>
  <c r="AH148" i="4"/>
  <c r="AG148" i="4"/>
  <c r="AF148" i="4"/>
  <c r="AE148" i="4"/>
  <c r="AD148" i="4"/>
  <c r="AC148" i="4"/>
  <c r="AB148" i="4"/>
  <c r="Z148" i="4"/>
  <c r="AK148" i="4" s="1"/>
  <c r="Y148" i="4"/>
  <c r="CY147" i="4"/>
  <c r="CS147" i="4"/>
  <c r="CR147" i="4"/>
  <c r="AU147" i="4"/>
  <c r="AP147" i="4"/>
  <c r="AH147" i="4"/>
  <c r="AG147" i="4"/>
  <c r="AF147" i="4"/>
  <c r="AE147" i="4"/>
  <c r="AD147" i="4"/>
  <c r="AC147" i="4"/>
  <c r="AB147" i="4"/>
  <c r="Z147" i="4"/>
  <c r="AK147" i="4" s="1"/>
  <c r="Y147" i="4"/>
  <c r="CY146" i="4"/>
  <c r="CS146" i="4"/>
  <c r="CR146" i="4"/>
  <c r="AU146" i="4"/>
  <c r="AP146" i="4"/>
  <c r="AH146" i="4"/>
  <c r="AG146" i="4"/>
  <c r="AF146" i="4"/>
  <c r="AE146" i="4"/>
  <c r="AD146" i="4"/>
  <c r="AC146" i="4"/>
  <c r="AB146" i="4"/>
  <c r="Z146" i="4"/>
  <c r="AK146" i="4" s="1"/>
  <c r="Y146" i="4"/>
  <c r="CY145" i="4"/>
  <c r="CS145" i="4"/>
  <c r="CR145" i="4"/>
  <c r="AU145" i="4"/>
  <c r="AP145" i="4"/>
  <c r="AH145" i="4"/>
  <c r="AG145" i="4"/>
  <c r="AF145" i="4"/>
  <c r="AE145" i="4"/>
  <c r="AD145" i="4"/>
  <c r="AC145" i="4"/>
  <c r="AB145" i="4"/>
  <c r="Z145" i="4"/>
  <c r="AK145" i="4" s="1"/>
  <c r="Y145" i="4"/>
  <c r="CY144" i="4"/>
  <c r="CS144" i="4"/>
  <c r="CR144" i="4"/>
  <c r="AU144" i="4"/>
  <c r="AP144" i="4"/>
  <c r="AH144" i="4"/>
  <c r="AG144" i="4"/>
  <c r="AF144" i="4"/>
  <c r="AE144" i="4"/>
  <c r="AD144" i="4"/>
  <c r="AC144" i="4"/>
  <c r="AB144" i="4"/>
  <c r="Z144" i="4"/>
  <c r="AK144" i="4" s="1"/>
  <c r="Y144" i="4"/>
  <c r="CY143" i="4"/>
  <c r="CS143" i="4"/>
  <c r="CR143" i="4"/>
  <c r="AU143" i="4"/>
  <c r="AP143" i="4"/>
  <c r="AH143" i="4"/>
  <c r="AG143" i="4"/>
  <c r="AF143" i="4"/>
  <c r="AE143" i="4"/>
  <c r="AD143" i="4"/>
  <c r="AC143" i="4"/>
  <c r="AB143" i="4"/>
  <c r="Z143" i="4"/>
  <c r="AK143" i="4" s="1"/>
  <c r="Y143" i="4"/>
  <c r="CY142" i="4"/>
  <c r="CS142" i="4"/>
  <c r="CR142" i="4"/>
  <c r="AU142" i="4"/>
  <c r="AP142" i="4"/>
  <c r="AH142" i="4"/>
  <c r="AG142" i="4"/>
  <c r="AF142" i="4"/>
  <c r="AE142" i="4"/>
  <c r="AD142" i="4"/>
  <c r="AC142" i="4"/>
  <c r="AB142" i="4"/>
  <c r="Z142" i="4"/>
  <c r="AK142" i="4" s="1"/>
  <c r="Y142" i="4"/>
  <c r="CY141" i="4"/>
  <c r="CS141" i="4"/>
  <c r="CR141" i="4"/>
  <c r="AU141" i="4"/>
  <c r="AP141" i="4"/>
  <c r="AH141" i="4"/>
  <c r="AG141" i="4"/>
  <c r="AF141" i="4"/>
  <c r="AE141" i="4"/>
  <c r="AD141" i="4"/>
  <c r="AC141" i="4"/>
  <c r="AB141" i="4"/>
  <c r="Z141" i="4"/>
  <c r="AK141" i="4" s="1"/>
  <c r="Y141" i="4"/>
  <c r="CY140" i="4"/>
  <c r="CS140" i="4"/>
  <c r="CR140" i="4"/>
  <c r="AU140" i="4"/>
  <c r="AP140" i="4"/>
  <c r="AH140" i="4"/>
  <c r="AG140" i="4"/>
  <c r="AF140" i="4"/>
  <c r="AE140" i="4"/>
  <c r="AD140" i="4"/>
  <c r="AC140" i="4"/>
  <c r="AB140" i="4"/>
  <c r="Z140" i="4"/>
  <c r="AK140" i="4" s="1"/>
  <c r="Y140" i="4"/>
  <c r="CY139" i="4"/>
  <c r="CS139" i="4"/>
  <c r="CR139" i="4"/>
  <c r="AU139" i="4"/>
  <c r="AP139" i="4"/>
  <c r="AH139" i="4"/>
  <c r="AG139" i="4"/>
  <c r="AF139" i="4"/>
  <c r="AE139" i="4"/>
  <c r="AD139" i="4"/>
  <c r="AC139" i="4"/>
  <c r="AB139" i="4"/>
  <c r="Z139" i="4"/>
  <c r="AK139" i="4" s="1"/>
  <c r="Y139" i="4"/>
  <c r="CY138" i="4"/>
  <c r="CS138" i="4"/>
  <c r="CR138" i="4"/>
  <c r="AU138" i="4"/>
  <c r="AP138" i="4"/>
  <c r="AH138" i="4"/>
  <c r="AG138" i="4"/>
  <c r="AF138" i="4"/>
  <c r="AE138" i="4"/>
  <c r="AD138" i="4"/>
  <c r="AC138" i="4"/>
  <c r="AB138" i="4"/>
  <c r="Z138" i="4"/>
  <c r="AK138" i="4" s="1"/>
  <c r="Y138" i="4"/>
  <c r="CY137" i="4"/>
  <c r="CS137" i="4"/>
  <c r="CR137" i="4"/>
  <c r="AU137" i="4"/>
  <c r="AP137" i="4"/>
  <c r="AH137" i="4"/>
  <c r="AG137" i="4"/>
  <c r="AF137" i="4"/>
  <c r="AE137" i="4"/>
  <c r="AD137" i="4"/>
  <c r="AC137" i="4"/>
  <c r="AB137" i="4"/>
  <c r="Z137" i="4"/>
  <c r="AK137" i="4" s="1"/>
  <c r="Y137" i="4"/>
  <c r="CY136" i="4"/>
  <c r="CS136" i="4"/>
  <c r="CR136" i="4"/>
  <c r="AU136" i="4"/>
  <c r="AP136" i="4"/>
  <c r="AH136" i="4"/>
  <c r="AG136" i="4"/>
  <c r="AF136" i="4"/>
  <c r="AE136" i="4"/>
  <c r="AD136" i="4"/>
  <c r="AC136" i="4"/>
  <c r="AB136" i="4"/>
  <c r="Z136" i="4"/>
  <c r="AK136" i="4" s="1"/>
  <c r="Y136" i="4"/>
  <c r="CY135" i="4"/>
  <c r="CS135" i="4"/>
  <c r="CR135" i="4"/>
  <c r="AU135" i="4"/>
  <c r="AP135" i="4"/>
  <c r="AH135" i="4"/>
  <c r="AG135" i="4"/>
  <c r="AF135" i="4"/>
  <c r="AE135" i="4"/>
  <c r="AD135" i="4"/>
  <c r="AC135" i="4"/>
  <c r="AB135" i="4"/>
  <c r="Z135" i="4"/>
  <c r="AK135" i="4" s="1"/>
  <c r="Y135" i="4"/>
  <c r="CY134" i="4"/>
  <c r="CS134" i="4"/>
  <c r="CR134" i="4"/>
  <c r="AU134" i="4"/>
  <c r="AP134" i="4"/>
  <c r="AH134" i="4"/>
  <c r="AG134" i="4"/>
  <c r="AF134" i="4"/>
  <c r="AE134" i="4"/>
  <c r="AD134" i="4"/>
  <c r="AC134" i="4"/>
  <c r="AB134" i="4"/>
  <c r="Z134" i="4"/>
  <c r="AK134" i="4" s="1"/>
  <c r="Y134" i="4"/>
  <c r="CY133" i="4"/>
  <c r="CS133" i="4"/>
  <c r="CR133" i="4"/>
  <c r="AU133" i="4"/>
  <c r="AP133" i="4"/>
  <c r="AH133" i="4"/>
  <c r="AG133" i="4"/>
  <c r="AF133" i="4"/>
  <c r="AE133" i="4"/>
  <c r="AD133" i="4"/>
  <c r="AC133" i="4"/>
  <c r="AB133" i="4"/>
  <c r="Z133" i="4"/>
  <c r="AK133" i="4" s="1"/>
  <c r="Y133" i="4"/>
  <c r="CY132" i="4"/>
  <c r="CS132" i="4"/>
  <c r="CR132" i="4"/>
  <c r="AU132" i="4"/>
  <c r="AP132" i="4"/>
  <c r="AH132" i="4"/>
  <c r="AG132" i="4"/>
  <c r="AF132" i="4"/>
  <c r="AE132" i="4"/>
  <c r="AD132" i="4"/>
  <c r="AC132" i="4"/>
  <c r="AB132" i="4"/>
  <c r="Z132" i="4"/>
  <c r="AK132" i="4" s="1"/>
  <c r="Y132" i="4"/>
  <c r="CY131" i="4"/>
  <c r="CS131" i="4"/>
  <c r="CR131" i="4"/>
  <c r="AU131" i="4"/>
  <c r="AP131" i="4"/>
  <c r="AH131" i="4"/>
  <c r="AG131" i="4"/>
  <c r="AF131" i="4"/>
  <c r="AE131" i="4"/>
  <c r="AD131" i="4"/>
  <c r="AC131" i="4"/>
  <c r="AB131" i="4"/>
  <c r="Z131" i="4"/>
  <c r="AK131" i="4" s="1"/>
  <c r="Y131" i="4"/>
  <c r="CY130" i="4"/>
  <c r="CS130" i="4"/>
  <c r="CR130" i="4"/>
  <c r="AU130" i="4"/>
  <c r="AP130" i="4"/>
  <c r="AH130" i="4"/>
  <c r="AG130" i="4"/>
  <c r="AF130" i="4"/>
  <c r="AE130" i="4"/>
  <c r="AD130" i="4"/>
  <c r="AC130" i="4"/>
  <c r="AB130" i="4"/>
  <c r="Z130" i="4"/>
  <c r="AK130" i="4" s="1"/>
  <c r="Y130" i="4"/>
  <c r="CY129" i="4"/>
  <c r="CS129" i="4"/>
  <c r="CR129" i="4"/>
  <c r="AU129" i="4"/>
  <c r="AP129" i="4"/>
  <c r="AH129" i="4"/>
  <c r="AG129" i="4"/>
  <c r="AF129" i="4"/>
  <c r="AE129" i="4"/>
  <c r="AD129" i="4"/>
  <c r="AC129" i="4"/>
  <c r="AB129" i="4"/>
  <c r="Z129" i="4"/>
  <c r="AK129" i="4" s="1"/>
  <c r="Y129" i="4"/>
  <c r="CY128" i="4"/>
  <c r="CS128" i="4"/>
  <c r="CR128" i="4"/>
  <c r="AU128" i="4"/>
  <c r="AP128" i="4"/>
  <c r="AH128" i="4"/>
  <c r="AG128" i="4"/>
  <c r="AF128" i="4"/>
  <c r="AE128" i="4"/>
  <c r="AD128" i="4"/>
  <c r="AC128" i="4"/>
  <c r="AB128" i="4"/>
  <c r="Z128" i="4"/>
  <c r="AK128" i="4" s="1"/>
  <c r="Y128" i="4"/>
  <c r="CY127" i="4"/>
  <c r="CS127" i="4"/>
  <c r="CR127" i="4"/>
  <c r="AU127" i="4"/>
  <c r="AP127" i="4"/>
  <c r="AH127" i="4"/>
  <c r="AG127" i="4"/>
  <c r="AF127" i="4"/>
  <c r="AE127" i="4"/>
  <c r="AD127" i="4"/>
  <c r="AC127" i="4"/>
  <c r="AB127" i="4"/>
  <c r="Z127" i="4"/>
  <c r="AK127" i="4" s="1"/>
  <c r="Y127" i="4"/>
  <c r="CY126" i="4"/>
  <c r="CS126" i="4"/>
  <c r="CR126" i="4"/>
  <c r="AU126" i="4"/>
  <c r="AP126" i="4"/>
  <c r="AH126" i="4"/>
  <c r="AG126" i="4"/>
  <c r="AF126" i="4"/>
  <c r="AE126" i="4"/>
  <c r="AD126" i="4"/>
  <c r="AC126" i="4"/>
  <c r="AB126" i="4"/>
  <c r="Z126" i="4"/>
  <c r="AK126" i="4" s="1"/>
  <c r="Y126" i="4"/>
  <c r="CY125" i="4"/>
  <c r="CS125" i="4"/>
  <c r="CR125" i="4"/>
  <c r="AU125" i="4"/>
  <c r="AP125" i="4"/>
  <c r="AH125" i="4"/>
  <c r="AG125" i="4"/>
  <c r="AF125" i="4"/>
  <c r="AE125" i="4"/>
  <c r="AD125" i="4"/>
  <c r="AC125" i="4"/>
  <c r="AB125" i="4"/>
  <c r="Z125" i="4"/>
  <c r="AK125" i="4" s="1"/>
  <c r="Y125" i="4"/>
  <c r="CY124" i="4"/>
  <c r="CS124" i="4"/>
  <c r="CR124" i="4"/>
  <c r="AU124" i="4"/>
  <c r="AP124" i="4"/>
  <c r="AH124" i="4"/>
  <c r="AG124" i="4"/>
  <c r="AF124" i="4"/>
  <c r="AE124" i="4"/>
  <c r="AD124" i="4"/>
  <c r="AC124" i="4"/>
  <c r="AB124" i="4"/>
  <c r="Z124" i="4"/>
  <c r="AK124" i="4" s="1"/>
  <c r="Y124" i="4"/>
  <c r="CY123" i="4"/>
  <c r="CS123" i="4"/>
  <c r="CR123" i="4"/>
  <c r="AU123" i="4"/>
  <c r="AP123" i="4"/>
  <c r="AH123" i="4"/>
  <c r="AG123" i="4"/>
  <c r="AF123" i="4"/>
  <c r="AE123" i="4"/>
  <c r="AD123" i="4"/>
  <c r="AC123" i="4"/>
  <c r="AB123" i="4"/>
  <c r="Z123" i="4"/>
  <c r="AK123" i="4" s="1"/>
  <c r="Y123" i="4"/>
  <c r="AH122" i="4"/>
  <c r="AG122" i="4"/>
  <c r="AF122" i="4"/>
  <c r="AE122" i="4"/>
  <c r="AD122" i="4"/>
  <c r="AC122" i="4"/>
  <c r="AB122" i="4"/>
  <c r="Z122" i="4"/>
  <c r="AK122" i="4" s="1"/>
  <c r="Y122" i="4"/>
  <c r="AH121" i="4"/>
  <c r="AG121" i="4"/>
  <c r="AF121" i="4"/>
  <c r="AE121" i="4"/>
  <c r="AD121" i="4"/>
  <c r="AC121" i="4"/>
  <c r="AB121" i="4"/>
  <c r="Z121" i="4"/>
  <c r="AK121" i="4" s="1"/>
  <c r="Y121" i="4"/>
  <c r="X121" i="4"/>
  <c r="CX121" i="4" s="1"/>
  <c r="AH120" i="4"/>
  <c r="AG120" i="4"/>
  <c r="AF120" i="4"/>
  <c r="AE120" i="4"/>
  <c r="AD120" i="4"/>
  <c r="AC120" i="4"/>
  <c r="AB120" i="4"/>
  <c r="Z120" i="4"/>
  <c r="AK120" i="4" s="1"/>
  <c r="Y120" i="4"/>
  <c r="X120" i="4"/>
  <c r="CX120" i="4" s="1"/>
  <c r="AH119" i="4"/>
  <c r="AG119" i="4"/>
  <c r="AF119" i="4"/>
  <c r="AE119" i="4"/>
  <c r="AD119" i="4"/>
  <c r="AC119" i="4"/>
  <c r="AB119" i="4"/>
  <c r="Z119" i="4"/>
  <c r="AK119" i="4" s="1"/>
  <c r="Y119" i="4"/>
  <c r="X119" i="4"/>
  <c r="CX119" i="4" s="1"/>
  <c r="AH118" i="4"/>
  <c r="AG118" i="4"/>
  <c r="AF118" i="4"/>
  <c r="AE118" i="4"/>
  <c r="AD118" i="4"/>
  <c r="AC118" i="4"/>
  <c r="AB118" i="4"/>
  <c r="Z118" i="4"/>
  <c r="AK118" i="4" s="1"/>
  <c r="Y118" i="4"/>
  <c r="X118" i="4"/>
  <c r="AH117" i="4"/>
  <c r="AG117" i="4"/>
  <c r="AF117" i="4"/>
  <c r="AE117" i="4"/>
  <c r="AD117" i="4"/>
  <c r="AC117" i="4"/>
  <c r="AB117" i="4"/>
  <c r="Z117" i="4"/>
  <c r="AK117" i="4" s="1"/>
  <c r="Y117" i="4"/>
  <c r="X117" i="4"/>
  <c r="AH116" i="4"/>
  <c r="AG116" i="4"/>
  <c r="AF116" i="4"/>
  <c r="AE116" i="4"/>
  <c r="AD116" i="4"/>
  <c r="AC116" i="4"/>
  <c r="AB116" i="4"/>
  <c r="Z116" i="4"/>
  <c r="AK116" i="4" s="1"/>
  <c r="Y116" i="4"/>
  <c r="X116" i="4"/>
  <c r="AH115" i="4"/>
  <c r="AG115" i="4"/>
  <c r="AF115" i="4"/>
  <c r="AE115" i="4"/>
  <c r="AD115" i="4"/>
  <c r="AC115" i="4"/>
  <c r="AB115" i="4"/>
  <c r="Z115" i="4"/>
  <c r="AK115" i="4" s="1"/>
  <c r="Y115" i="4"/>
  <c r="X115" i="4"/>
  <c r="AH114" i="4"/>
  <c r="AG114" i="4"/>
  <c r="AF114" i="4"/>
  <c r="AE114" i="4"/>
  <c r="AD114" i="4"/>
  <c r="AC114" i="4"/>
  <c r="AB114" i="4"/>
  <c r="Z114" i="4"/>
  <c r="AK114" i="4" s="1"/>
  <c r="Y114" i="4"/>
  <c r="X114" i="4"/>
  <c r="AH113" i="4"/>
  <c r="AG113" i="4"/>
  <c r="AF113" i="4"/>
  <c r="AE113" i="4"/>
  <c r="AD113" i="4"/>
  <c r="AC113" i="4"/>
  <c r="AB113" i="4"/>
  <c r="Z113" i="4"/>
  <c r="AK113" i="4" s="1"/>
  <c r="Y113" i="4"/>
  <c r="X113" i="4"/>
  <c r="AH112" i="4"/>
  <c r="AG112" i="4"/>
  <c r="AF112" i="4"/>
  <c r="AE112" i="4"/>
  <c r="AD112" i="4"/>
  <c r="AC112" i="4"/>
  <c r="AB112" i="4"/>
  <c r="Z112" i="4"/>
  <c r="AK112" i="4" s="1"/>
  <c r="Y112" i="4"/>
  <c r="X112" i="4"/>
  <c r="AH111" i="4"/>
  <c r="AG111" i="4"/>
  <c r="AF111" i="4"/>
  <c r="AE111" i="4"/>
  <c r="AD111" i="4"/>
  <c r="AC111" i="4"/>
  <c r="AB111" i="4"/>
  <c r="Z111" i="4"/>
  <c r="AK111" i="4" s="1"/>
  <c r="Y111" i="4"/>
  <c r="X111" i="4"/>
  <c r="AH110" i="4"/>
  <c r="AG110" i="4"/>
  <c r="AF110" i="4"/>
  <c r="AE110" i="4"/>
  <c r="AD110" i="4"/>
  <c r="AC110" i="4"/>
  <c r="AB110" i="4"/>
  <c r="Z110" i="4"/>
  <c r="AK110" i="4" s="1"/>
  <c r="Y110" i="4"/>
  <c r="X110" i="4"/>
  <c r="AH109" i="4"/>
  <c r="AG109" i="4"/>
  <c r="AF109" i="4"/>
  <c r="AE109" i="4"/>
  <c r="AD109" i="4"/>
  <c r="AC109" i="4"/>
  <c r="AB109" i="4"/>
  <c r="Z109" i="4"/>
  <c r="AK109" i="4" s="1"/>
  <c r="Y109" i="4"/>
  <c r="X109" i="4"/>
  <c r="AH108" i="4"/>
  <c r="AG108" i="4"/>
  <c r="AF108" i="4"/>
  <c r="AE108" i="4"/>
  <c r="AD108" i="4"/>
  <c r="AC108" i="4"/>
  <c r="AB108" i="4"/>
  <c r="Z108" i="4"/>
  <c r="AK108" i="4" s="1"/>
  <c r="Y108" i="4"/>
  <c r="X108" i="4"/>
  <c r="AH107" i="4"/>
  <c r="AG107" i="4"/>
  <c r="AF107" i="4"/>
  <c r="AE107" i="4"/>
  <c r="AD107" i="4"/>
  <c r="AC107" i="4"/>
  <c r="AB107" i="4"/>
  <c r="Z107" i="4"/>
  <c r="AK107" i="4" s="1"/>
  <c r="Y107" i="4"/>
  <c r="X107" i="4"/>
  <c r="AH106" i="4"/>
  <c r="AG106" i="4"/>
  <c r="AF106" i="4"/>
  <c r="AE106" i="4"/>
  <c r="AD106" i="4"/>
  <c r="AC106" i="4"/>
  <c r="AB106" i="4"/>
  <c r="Z106" i="4"/>
  <c r="AK106" i="4" s="1"/>
  <c r="Y106" i="4"/>
  <c r="X106" i="4"/>
  <c r="AH105" i="4"/>
  <c r="AG105" i="4"/>
  <c r="AF105" i="4"/>
  <c r="AE105" i="4"/>
  <c r="AD105" i="4"/>
  <c r="AC105" i="4"/>
  <c r="AB105" i="4"/>
  <c r="Z105" i="4"/>
  <c r="AK105" i="4" s="1"/>
  <c r="Y105" i="4"/>
  <c r="X105" i="4"/>
  <c r="AH104" i="4"/>
  <c r="AG104" i="4"/>
  <c r="AF104" i="4"/>
  <c r="AE104" i="4"/>
  <c r="AD104" i="4"/>
  <c r="AC104" i="4"/>
  <c r="AB104" i="4"/>
  <c r="Z104" i="4"/>
  <c r="AK104" i="4" s="1"/>
  <c r="Y104" i="4"/>
  <c r="X104" i="4"/>
  <c r="AH103" i="4"/>
  <c r="AG103" i="4"/>
  <c r="AF103" i="4"/>
  <c r="AE103" i="4"/>
  <c r="AD103" i="4"/>
  <c r="AC103" i="4"/>
  <c r="AB103" i="4"/>
  <c r="Z103" i="4"/>
  <c r="AK103" i="4" s="1"/>
  <c r="Y103" i="4"/>
  <c r="X103" i="4"/>
  <c r="AH102" i="4"/>
  <c r="AG102" i="4"/>
  <c r="AF102" i="4"/>
  <c r="AE102" i="4"/>
  <c r="AD102" i="4"/>
  <c r="AC102" i="4"/>
  <c r="AB102" i="4"/>
  <c r="Z102" i="4"/>
  <c r="AK102" i="4" s="1"/>
  <c r="Y102" i="4"/>
  <c r="X102" i="4"/>
  <c r="AH101" i="4"/>
  <c r="AG101" i="4"/>
  <c r="AF101" i="4"/>
  <c r="AE101" i="4"/>
  <c r="AD101" i="4"/>
  <c r="AC101" i="4"/>
  <c r="AB101" i="4"/>
  <c r="Z101" i="4"/>
  <c r="AK101" i="4" s="1"/>
  <c r="Y101" i="4"/>
  <c r="X101" i="4"/>
  <c r="AH100" i="4"/>
  <c r="AG100" i="4"/>
  <c r="AF100" i="4"/>
  <c r="AE100" i="4"/>
  <c r="AD100" i="4"/>
  <c r="AC100" i="4"/>
  <c r="AB100" i="4"/>
  <c r="Z100" i="4"/>
  <c r="AK100" i="4" s="1"/>
  <c r="Y100" i="4"/>
  <c r="X100" i="4"/>
  <c r="AH99" i="4"/>
  <c r="AG99" i="4"/>
  <c r="AF99" i="4"/>
  <c r="AE99" i="4"/>
  <c r="AD99" i="4"/>
  <c r="AC99" i="4"/>
  <c r="AB99" i="4"/>
  <c r="Z99" i="4"/>
  <c r="AK99" i="4" s="1"/>
  <c r="Y99" i="4"/>
  <c r="X99" i="4"/>
  <c r="AH98" i="4"/>
  <c r="AG98" i="4"/>
  <c r="AF98" i="4"/>
  <c r="AE98" i="4"/>
  <c r="AD98" i="4"/>
  <c r="AC98" i="4"/>
  <c r="AB98" i="4"/>
  <c r="Z98" i="4"/>
  <c r="AK98" i="4" s="1"/>
  <c r="Y98" i="4"/>
  <c r="X98" i="4"/>
  <c r="AH97" i="4"/>
  <c r="AG97" i="4"/>
  <c r="AF97" i="4"/>
  <c r="AE97" i="4"/>
  <c r="AD97" i="4"/>
  <c r="AC97" i="4"/>
  <c r="AB97" i="4"/>
  <c r="Z97" i="4"/>
  <c r="AK97" i="4" s="1"/>
  <c r="Y97" i="4"/>
  <c r="X97" i="4"/>
  <c r="AH96" i="4"/>
  <c r="AG96" i="4"/>
  <c r="AF96" i="4"/>
  <c r="AE96" i="4"/>
  <c r="AD96" i="4"/>
  <c r="AC96" i="4"/>
  <c r="AB96" i="4"/>
  <c r="Z96" i="4"/>
  <c r="AK96" i="4" s="1"/>
  <c r="Y96" i="4"/>
  <c r="X96" i="4"/>
  <c r="AH95" i="4"/>
  <c r="AG95" i="4"/>
  <c r="AF95" i="4"/>
  <c r="AE95" i="4"/>
  <c r="AD95" i="4"/>
  <c r="AC95" i="4"/>
  <c r="AB95" i="4"/>
  <c r="Z95" i="4"/>
  <c r="AK95" i="4" s="1"/>
  <c r="Y95" i="4"/>
  <c r="X95" i="4"/>
  <c r="AH94" i="4"/>
  <c r="AG94" i="4"/>
  <c r="AF94" i="4"/>
  <c r="AE94" i="4"/>
  <c r="AD94" i="4"/>
  <c r="AC94" i="4"/>
  <c r="AB94" i="4"/>
  <c r="Z94" i="4"/>
  <c r="AK94" i="4" s="1"/>
  <c r="Y94" i="4"/>
  <c r="X94" i="4"/>
  <c r="AH93" i="4"/>
  <c r="AG93" i="4"/>
  <c r="AF93" i="4"/>
  <c r="AE93" i="4"/>
  <c r="AD93" i="4"/>
  <c r="AC93" i="4"/>
  <c r="AB93" i="4"/>
  <c r="Z93" i="4"/>
  <c r="AK93" i="4" s="1"/>
  <c r="Y93" i="4"/>
  <c r="X93" i="4"/>
  <c r="AH92" i="4"/>
  <c r="AG92" i="4"/>
  <c r="AF92" i="4"/>
  <c r="AE92" i="4"/>
  <c r="AD92" i="4"/>
  <c r="AC92" i="4"/>
  <c r="AB92" i="4"/>
  <c r="Z92" i="4"/>
  <c r="AK92" i="4" s="1"/>
  <c r="Y92" i="4"/>
  <c r="X92" i="4"/>
  <c r="AH91" i="4"/>
  <c r="AG91" i="4"/>
  <c r="AF91" i="4"/>
  <c r="AE91" i="4"/>
  <c r="AD91" i="4"/>
  <c r="AC91" i="4"/>
  <c r="AB91" i="4"/>
  <c r="Z91" i="4"/>
  <c r="AK91" i="4" s="1"/>
  <c r="Y91" i="4"/>
  <c r="X91" i="4"/>
  <c r="AH90" i="4"/>
  <c r="AG90" i="4"/>
  <c r="AF90" i="4"/>
  <c r="AE90" i="4"/>
  <c r="AD90" i="4"/>
  <c r="AC90" i="4"/>
  <c r="AB90" i="4"/>
  <c r="Z90" i="4"/>
  <c r="AK90" i="4" s="1"/>
  <c r="Y90" i="4"/>
  <c r="X90" i="4"/>
  <c r="AH89" i="4"/>
  <c r="AG89" i="4"/>
  <c r="AF89" i="4"/>
  <c r="AE89" i="4"/>
  <c r="AD89" i="4"/>
  <c r="AC89" i="4"/>
  <c r="AB89" i="4"/>
  <c r="Z89" i="4"/>
  <c r="AK89" i="4" s="1"/>
  <c r="Y89" i="4"/>
  <c r="X89" i="4"/>
  <c r="AH88" i="4"/>
  <c r="AG88" i="4"/>
  <c r="AF88" i="4"/>
  <c r="AE88" i="4"/>
  <c r="AD88" i="4"/>
  <c r="AC88" i="4"/>
  <c r="AB88" i="4"/>
  <c r="Z88" i="4"/>
  <c r="AK88" i="4" s="1"/>
  <c r="Y88" i="4"/>
  <c r="X88" i="4"/>
  <c r="AH87" i="4"/>
  <c r="AG87" i="4"/>
  <c r="AF87" i="4"/>
  <c r="AE87" i="4"/>
  <c r="AD87" i="4"/>
  <c r="AC87" i="4"/>
  <c r="AB87" i="4"/>
  <c r="Z87" i="4"/>
  <c r="AK87" i="4" s="1"/>
  <c r="Y87" i="4"/>
  <c r="X87" i="4"/>
  <c r="AH86" i="4"/>
  <c r="AG86" i="4"/>
  <c r="AF86" i="4"/>
  <c r="AE86" i="4"/>
  <c r="AD86" i="4"/>
  <c r="AC86" i="4"/>
  <c r="AB86" i="4"/>
  <c r="Z86" i="4"/>
  <c r="AK86" i="4" s="1"/>
  <c r="Y86" i="4"/>
  <c r="X86" i="4"/>
  <c r="AH85" i="4"/>
  <c r="AG85" i="4"/>
  <c r="AF85" i="4"/>
  <c r="AE85" i="4"/>
  <c r="AD85" i="4"/>
  <c r="AC85" i="4"/>
  <c r="AB85" i="4"/>
  <c r="Z85" i="4"/>
  <c r="AK85" i="4" s="1"/>
  <c r="Y85" i="4"/>
  <c r="X85" i="4"/>
  <c r="AH84" i="4"/>
  <c r="AG84" i="4"/>
  <c r="AF84" i="4"/>
  <c r="AE84" i="4"/>
  <c r="AD84" i="4"/>
  <c r="AC84" i="4"/>
  <c r="AB84" i="4"/>
  <c r="Z84" i="4"/>
  <c r="AK84" i="4" s="1"/>
  <c r="Y84" i="4"/>
  <c r="X84" i="4"/>
  <c r="AH83" i="4"/>
  <c r="AG83" i="4"/>
  <c r="AF83" i="4"/>
  <c r="AE83" i="4"/>
  <c r="AD83" i="4"/>
  <c r="AC83" i="4"/>
  <c r="AB83" i="4"/>
  <c r="Z83" i="4"/>
  <c r="AK83" i="4" s="1"/>
  <c r="Y83" i="4"/>
  <c r="X83" i="4"/>
  <c r="AH82" i="4"/>
  <c r="AG82" i="4"/>
  <c r="AF82" i="4"/>
  <c r="AE82" i="4"/>
  <c r="AD82" i="4"/>
  <c r="AC82" i="4"/>
  <c r="AB82" i="4"/>
  <c r="Z82" i="4"/>
  <c r="AK82" i="4" s="1"/>
  <c r="Y82" i="4"/>
  <c r="X82" i="4"/>
  <c r="AH81" i="4"/>
  <c r="AG81" i="4"/>
  <c r="AF81" i="4"/>
  <c r="AE81" i="4"/>
  <c r="AD81" i="4"/>
  <c r="AC81" i="4"/>
  <c r="AB81" i="4"/>
  <c r="Z81" i="4"/>
  <c r="AK81" i="4" s="1"/>
  <c r="Y81" i="4"/>
  <c r="X81" i="4"/>
  <c r="AH80" i="4"/>
  <c r="AG80" i="4"/>
  <c r="AF80" i="4"/>
  <c r="AE80" i="4"/>
  <c r="AD80" i="4"/>
  <c r="AC80" i="4"/>
  <c r="AB80" i="4"/>
  <c r="Z80" i="4"/>
  <c r="AK80" i="4" s="1"/>
  <c r="Y80" i="4"/>
  <c r="X80" i="4"/>
  <c r="AH79" i="4"/>
  <c r="AG79" i="4"/>
  <c r="AF79" i="4"/>
  <c r="AE79" i="4"/>
  <c r="AD79" i="4"/>
  <c r="AC79" i="4"/>
  <c r="AB79" i="4"/>
  <c r="Z79" i="4"/>
  <c r="AK79" i="4" s="1"/>
  <c r="Y79" i="4"/>
  <c r="X79" i="4"/>
  <c r="AH78" i="4"/>
  <c r="AG78" i="4"/>
  <c r="AF78" i="4"/>
  <c r="AE78" i="4"/>
  <c r="AD78" i="4"/>
  <c r="AC78" i="4"/>
  <c r="AB78" i="4"/>
  <c r="Z78" i="4"/>
  <c r="AK78" i="4" s="1"/>
  <c r="Y78" i="4"/>
  <c r="X78" i="4"/>
  <c r="AH77" i="4"/>
  <c r="AG77" i="4"/>
  <c r="AF77" i="4"/>
  <c r="AE77" i="4"/>
  <c r="AD77" i="4"/>
  <c r="AC77" i="4"/>
  <c r="AB77" i="4"/>
  <c r="Z77" i="4"/>
  <c r="AK77" i="4" s="1"/>
  <c r="Y77" i="4"/>
  <c r="X77" i="4"/>
  <c r="AH76" i="4"/>
  <c r="AG76" i="4"/>
  <c r="AF76" i="4"/>
  <c r="AE76" i="4"/>
  <c r="AD76" i="4"/>
  <c r="AC76" i="4"/>
  <c r="AB76" i="4"/>
  <c r="Z76" i="4"/>
  <c r="AK76" i="4" s="1"/>
  <c r="Y76" i="4"/>
  <c r="X76" i="4"/>
  <c r="AH75" i="4"/>
  <c r="AG75" i="4"/>
  <c r="AF75" i="4"/>
  <c r="AE75" i="4"/>
  <c r="AD75" i="4"/>
  <c r="AC75" i="4"/>
  <c r="AB75" i="4"/>
  <c r="Z75" i="4"/>
  <c r="AK75" i="4" s="1"/>
  <c r="Y75" i="4"/>
  <c r="X75" i="4"/>
  <c r="AH74" i="4"/>
  <c r="AG74" i="4"/>
  <c r="AF74" i="4"/>
  <c r="AE74" i="4"/>
  <c r="AD74" i="4"/>
  <c r="AC74" i="4"/>
  <c r="AB74" i="4"/>
  <c r="Z74" i="4"/>
  <c r="AK74" i="4" s="1"/>
  <c r="Y74" i="4"/>
  <c r="X74" i="4"/>
  <c r="AH73" i="4"/>
  <c r="AG73" i="4"/>
  <c r="AF73" i="4"/>
  <c r="AE73" i="4"/>
  <c r="AD73" i="4"/>
  <c r="AC73" i="4"/>
  <c r="AB73" i="4"/>
  <c r="Z73" i="4"/>
  <c r="AK73" i="4" s="1"/>
  <c r="Y73" i="4"/>
  <c r="X73" i="4"/>
  <c r="AH72" i="4"/>
  <c r="AG72" i="4"/>
  <c r="AF72" i="4"/>
  <c r="AE72" i="4"/>
  <c r="AD72" i="4"/>
  <c r="AC72" i="4"/>
  <c r="AB72" i="4"/>
  <c r="Z72" i="4"/>
  <c r="AK72" i="4" s="1"/>
  <c r="Y72" i="4"/>
  <c r="X72" i="4"/>
  <c r="AH71" i="4"/>
  <c r="AG71" i="4"/>
  <c r="AF71" i="4"/>
  <c r="AE71" i="4"/>
  <c r="AD71" i="4"/>
  <c r="AC71" i="4"/>
  <c r="AB71" i="4"/>
  <c r="Z71" i="4"/>
  <c r="AK71" i="4" s="1"/>
  <c r="Y71" i="4"/>
  <c r="X71" i="4"/>
  <c r="AH70" i="4"/>
  <c r="AG70" i="4"/>
  <c r="AF70" i="4"/>
  <c r="AE70" i="4"/>
  <c r="AD70" i="4"/>
  <c r="AC70" i="4"/>
  <c r="AB70" i="4"/>
  <c r="Z70" i="4"/>
  <c r="AK70" i="4" s="1"/>
  <c r="Y70" i="4"/>
  <c r="X70" i="4"/>
  <c r="AH69" i="4"/>
  <c r="AG69" i="4"/>
  <c r="AF69" i="4"/>
  <c r="AE69" i="4"/>
  <c r="AD69" i="4"/>
  <c r="AC69" i="4"/>
  <c r="AB69" i="4"/>
  <c r="Z69" i="4"/>
  <c r="AK69" i="4" s="1"/>
  <c r="Y69" i="4"/>
  <c r="X69" i="4"/>
  <c r="AH68" i="4"/>
  <c r="AG68" i="4"/>
  <c r="AF68" i="4"/>
  <c r="AE68" i="4"/>
  <c r="AD68" i="4"/>
  <c r="AC68" i="4"/>
  <c r="AB68" i="4"/>
  <c r="Z68" i="4"/>
  <c r="AK68" i="4" s="1"/>
  <c r="Y68" i="4"/>
  <c r="X68" i="4"/>
  <c r="AH67" i="4"/>
  <c r="AG67" i="4"/>
  <c r="AF67" i="4"/>
  <c r="AE67" i="4"/>
  <c r="AD67" i="4"/>
  <c r="AC67" i="4"/>
  <c r="AB67" i="4"/>
  <c r="Z67" i="4"/>
  <c r="AK67" i="4" s="1"/>
  <c r="Y67" i="4"/>
  <c r="X67" i="4"/>
  <c r="AH66" i="4"/>
  <c r="AG66" i="4"/>
  <c r="AF66" i="4"/>
  <c r="AE66" i="4"/>
  <c r="AD66" i="4"/>
  <c r="AC66" i="4"/>
  <c r="AB66" i="4"/>
  <c r="Z66" i="4"/>
  <c r="AK66" i="4" s="1"/>
  <c r="Y66" i="4"/>
  <c r="X66" i="4"/>
  <c r="AH65" i="4"/>
  <c r="AG65" i="4"/>
  <c r="AF65" i="4"/>
  <c r="AE65" i="4"/>
  <c r="AD65" i="4"/>
  <c r="AC65" i="4"/>
  <c r="AB65" i="4"/>
  <c r="Z65" i="4"/>
  <c r="AK65" i="4" s="1"/>
  <c r="Y65" i="4"/>
  <c r="X65" i="4"/>
  <c r="AH64" i="4"/>
  <c r="AG64" i="4"/>
  <c r="AF64" i="4"/>
  <c r="AE64" i="4"/>
  <c r="AD64" i="4"/>
  <c r="AC64" i="4"/>
  <c r="AB64" i="4"/>
  <c r="Z64" i="4"/>
  <c r="AK64" i="4" s="1"/>
  <c r="Y64" i="4"/>
  <c r="X64" i="4"/>
  <c r="AH63" i="4"/>
  <c r="AG63" i="4"/>
  <c r="AF63" i="4"/>
  <c r="AE63" i="4"/>
  <c r="AD63" i="4"/>
  <c r="AC63" i="4"/>
  <c r="AB63" i="4"/>
  <c r="Z63" i="4"/>
  <c r="AK63" i="4" s="1"/>
  <c r="Y63" i="4"/>
  <c r="X63" i="4"/>
  <c r="AH62" i="4"/>
  <c r="AG62" i="4"/>
  <c r="AF62" i="4"/>
  <c r="AE62" i="4"/>
  <c r="AD62" i="4"/>
  <c r="AC62" i="4"/>
  <c r="AB62" i="4"/>
  <c r="Z62" i="4"/>
  <c r="AK62" i="4" s="1"/>
  <c r="Y62" i="4"/>
  <c r="X62" i="4"/>
  <c r="AH61" i="4"/>
  <c r="AG61" i="4"/>
  <c r="AF61" i="4"/>
  <c r="AE61" i="4"/>
  <c r="AD61" i="4"/>
  <c r="AC61" i="4"/>
  <c r="AB61" i="4"/>
  <c r="Z61" i="4"/>
  <c r="AK61" i="4" s="1"/>
  <c r="Y61" i="4"/>
  <c r="X61" i="4"/>
  <c r="AH60" i="4"/>
  <c r="AG60" i="4"/>
  <c r="AF60" i="4"/>
  <c r="AE60" i="4"/>
  <c r="AD60" i="4"/>
  <c r="AC60" i="4"/>
  <c r="AB60" i="4"/>
  <c r="Z60" i="4"/>
  <c r="AK60" i="4" s="1"/>
  <c r="Y60" i="4"/>
  <c r="X60" i="4"/>
  <c r="AH59" i="4"/>
  <c r="AG59" i="4"/>
  <c r="AF59" i="4"/>
  <c r="AE59" i="4"/>
  <c r="AD59" i="4"/>
  <c r="AC59" i="4"/>
  <c r="AB59" i="4"/>
  <c r="Z59" i="4"/>
  <c r="AK59" i="4" s="1"/>
  <c r="Y59" i="4"/>
  <c r="X59" i="4"/>
  <c r="AH58" i="4"/>
  <c r="AG58" i="4"/>
  <c r="AF58" i="4"/>
  <c r="AE58" i="4"/>
  <c r="AD58" i="4"/>
  <c r="AC58" i="4"/>
  <c r="AB58" i="4"/>
  <c r="Z58" i="4"/>
  <c r="AK58" i="4" s="1"/>
  <c r="Y58" i="4"/>
  <c r="X58" i="4"/>
  <c r="AH57" i="4"/>
  <c r="AG57" i="4"/>
  <c r="AF57" i="4"/>
  <c r="AE57" i="4"/>
  <c r="AD57" i="4"/>
  <c r="AC57" i="4"/>
  <c r="AB57" i="4"/>
  <c r="Z57" i="4"/>
  <c r="AK57" i="4" s="1"/>
  <c r="Y57" i="4"/>
  <c r="X57" i="4"/>
  <c r="AH56" i="4"/>
  <c r="AG56" i="4"/>
  <c r="AF56" i="4"/>
  <c r="AE56" i="4"/>
  <c r="AD56" i="4"/>
  <c r="AC56" i="4"/>
  <c r="AB56" i="4"/>
  <c r="Z56" i="4"/>
  <c r="AK56" i="4" s="1"/>
  <c r="Y56" i="4"/>
  <c r="X56" i="4"/>
  <c r="AH55" i="4"/>
  <c r="AG55" i="4"/>
  <c r="AF55" i="4"/>
  <c r="AE55" i="4"/>
  <c r="AD55" i="4"/>
  <c r="AC55" i="4"/>
  <c r="AB55" i="4"/>
  <c r="Z55" i="4"/>
  <c r="AK55" i="4" s="1"/>
  <c r="Y55" i="4"/>
  <c r="X55" i="4"/>
  <c r="AH54" i="4"/>
  <c r="AG54" i="4"/>
  <c r="AF54" i="4"/>
  <c r="AE54" i="4"/>
  <c r="AD54" i="4"/>
  <c r="AC54" i="4"/>
  <c r="AB54" i="4"/>
  <c r="Z54" i="4"/>
  <c r="AK54" i="4" s="1"/>
  <c r="Y54" i="4"/>
  <c r="X54" i="4"/>
  <c r="AH53" i="4"/>
  <c r="AG53" i="4"/>
  <c r="AF53" i="4"/>
  <c r="AE53" i="4"/>
  <c r="AD53" i="4"/>
  <c r="AC53" i="4"/>
  <c r="AB53" i="4"/>
  <c r="Z53" i="4"/>
  <c r="AK53" i="4" s="1"/>
  <c r="Y53" i="4"/>
  <c r="X53" i="4"/>
  <c r="AH52" i="4"/>
  <c r="AG52" i="4"/>
  <c r="AF52" i="4"/>
  <c r="AE52" i="4"/>
  <c r="AD52" i="4"/>
  <c r="AC52" i="4"/>
  <c r="AB52" i="4"/>
  <c r="Z52" i="4"/>
  <c r="AK52" i="4" s="1"/>
  <c r="Y52" i="4"/>
  <c r="X52" i="4"/>
  <c r="AH51" i="4"/>
  <c r="AG51" i="4"/>
  <c r="AF51" i="4"/>
  <c r="AE51" i="4"/>
  <c r="AD51" i="4"/>
  <c r="AC51" i="4"/>
  <c r="AB51" i="4"/>
  <c r="Z51" i="4"/>
  <c r="AK51" i="4" s="1"/>
  <c r="Y51" i="4"/>
  <c r="X51" i="4"/>
  <c r="AH50" i="4"/>
  <c r="AG50" i="4"/>
  <c r="AF50" i="4"/>
  <c r="AE50" i="4"/>
  <c r="AD50" i="4"/>
  <c r="AC50" i="4"/>
  <c r="AB50" i="4"/>
  <c r="Z50" i="4"/>
  <c r="AK50" i="4" s="1"/>
  <c r="Y50" i="4"/>
  <c r="X50" i="4"/>
  <c r="AH49" i="4"/>
  <c r="AG49" i="4"/>
  <c r="AF49" i="4"/>
  <c r="AE49" i="4"/>
  <c r="AD49" i="4"/>
  <c r="AC49" i="4"/>
  <c r="AB49" i="4"/>
  <c r="Z49" i="4"/>
  <c r="AK49" i="4" s="1"/>
  <c r="Y49" i="4"/>
  <c r="X49" i="4"/>
  <c r="AH48" i="4"/>
  <c r="AG48" i="4"/>
  <c r="AF48" i="4"/>
  <c r="AE48" i="4"/>
  <c r="AD48" i="4"/>
  <c r="AC48" i="4"/>
  <c r="AB48" i="4"/>
  <c r="Z48" i="4"/>
  <c r="AK48" i="4" s="1"/>
  <c r="Y48" i="4"/>
  <c r="X48" i="4"/>
  <c r="AH47" i="4"/>
  <c r="AG47" i="4"/>
  <c r="AF47" i="4"/>
  <c r="AE47" i="4"/>
  <c r="AD47" i="4"/>
  <c r="AC47" i="4"/>
  <c r="AB47" i="4"/>
  <c r="Z47" i="4"/>
  <c r="AK47" i="4" s="1"/>
  <c r="Y47" i="4"/>
  <c r="X47" i="4"/>
  <c r="AH46" i="4"/>
  <c r="AG46" i="4"/>
  <c r="AF46" i="4"/>
  <c r="AE46" i="4"/>
  <c r="AD46" i="4"/>
  <c r="AC46" i="4"/>
  <c r="AB46" i="4"/>
  <c r="Z46" i="4"/>
  <c r="AK46" i="4" s="1"/>
  <c r="Y46" i="4"/>
  <c r="X46" i="4"/>
  <c r="AH45" i="4"/>
  <c r="AG45" i="4"/>
  <c r="AF45" i="4"/>
  <c r="AE45" i="4"/>
  <c r="AD45" i="4"/>
  <c r="AC45" i="4"/>
  <c r="AB45" i="4"/>
  <c r="Z45" i="4"/>
  <c r="AK45" i="4" s="1"/>
  <c r="Y45" i="4"/>
  <c r="X45" i="4"/>
  <c r="AH44" i="4"/>
  <c r="AG44" i="4"/>
  <c r="AF44" i="4"/>
  <c r="AE44" i="4"/>
  <c r="AD44" i="4"/>
  <c r="AC44" i="4"/>
  <c r="AB44" i="4"/>
  <c r="Z44" i="4"/>
  <c r="AK44" i="4" s="1"/>
  <c r="Y44" i="4"/>
  <c r="X44" i="4"/>
  <c r="AH43" i="4"/>
  <c r="AG43" i="4"/>
  <c r="AF43" i="4"/>
  <c r="AE43" i="4"/>
  <c r="AD43" i="4"/>
  <c r="AC43" i="4"/>
  <c r="AB43" i="4"/>
  <c r="Z43" i="4"/>
  <c r="AK43" i="4" s="1"/>
  <c r="Y43" i="4"/>
  <c r="X43" i="4"/>
  <c r="AH42" i="4"/>
  <c r="AG42" i="4"/>
  <c r="AF42" i="4"/>
  <c r="AE42" i="4"/>
  <c r="AD42" i="4"/>
  <c r="AC42" i="4"/>
  <c r="AB42" i="4"/>
  <c r="Z42" i="4"/>
  <c r="AK42" i="4" s="1"/>
  <c r="Y42" i="4"/>
  <c r="X42" i="4"/>
  <c r="AH41" i="4"/>
  <c r="AG41" i="4"/>
  <c r="AF41" i="4"/>
  <c r="AE41" i="4"/>
  <c r="AD41" i="4"/>
  <c r="AC41" i="4"/>
  <c r="AB41" i="4"/>
  <c r="Z41" i="4"/>
  <c r="AK41" i="4" s="1"/>
  <c r="Y41" i="4"/>
  <c r="X41" i="4"/>
  <c r="AH40" i="4"/>
  <c r="AG40" i="4"/>
  <c r="AF40" i="4"/>
  <c r="AE40" i="4"/>
  <c r="AD40" i="4"/>
  <c r="AC40" i="4"/>
  <c r="AB40" i="4"/>
  <c r="Z40" i="4"/>
  <c r="AK40" i="4" s="1"/>
  <c r="Y40" i="4"/>
  <c r="X40" i="4"/>
  <c r="AH39" i="4"/>
  <c r="AG39" i="4"/>
  <c r="AF39" i="4"/>
  <c r="AE39" i="4"/>
  <c r="AD39" i="4"/>
  <c r="AC39" i="4"/>
  <c r="AB39" i="4"/>
  <c r="Z39" i="4"/>
  <c r="AK39" i="4" s="1"/>
  <c r="Y39" i="4"/>
  <c r="X39" i="4"/>
  <c r="AH38" i="4"/>
  <c r="AG38" i="4"/>
  <c r="AF38" i="4"/>
  <c r="AE38" i="4"/>
  <c r="AD38" i="4"/>
  <c r="AC38" i="4"/>
  <c r="AB38" i="4"/>
  <c r="Z38" i="4"/>
  <c r="AK38" i="4" s="1"/>
  <c r="Y38" i="4"/>
  <c r="X38" i="4"/>
  <c r="AH37" i="4"/>
  <c r="AG37" i="4"/>
  <c r="AF37" i="4"/>
  <c r="AE37" i="4"/>
  <c r="AD37" i="4"/>
  <c r="AC37" i="4"/>
  <c r="AB37" i="4"/>
  <c r="Z37" i="4"/>
  <c r="AK37" i="4" s="1"/>
  <c r="Y37" i="4"/>
  <c r="X37" i="4"/>
  <c r="AH36" i="4"/>
  <c r="AG36" i="4"/>
  <c r="AF36" i="4"/>
  <c r="AE36" i="4"/>
  <c r="AD36" i="4"/>
  <c r="AC36" i="4"/>
  <c r="AB36" i="4"/>
  <c r="Z36" i="4"/>
  <c r="AK36" i="4" s="1"/>
  <c r="Y36" i="4"/>
  <c r="X36" i="4"/>
  <c r="AH35" i="4"/>
  <c r="AG35" i="4"/>
  <c r="AF35" i="4"/>
  <c r="AE35" i="4"/>
  <c r="AD35" i="4"/>
  <c r="AC35" i="4"/>
  <c r="AB35" i="4"/>
  <c r="Z35" i="4"/>
  <c r="AK35" i="4" s="1"/>
  <c r="Y35" i="4"/>
  <c r="X35" i="4"/>
  <c r="AH34" i="4"/>
  <c r="AG34" i="4"/>
  <c r="AF34" i="4"/>
  <c r="AE34" i="4"/>
  <c r="AD34" i="4"/>
  <c r="AC34" i="4"/>
  <c r="AB34" i="4"/>
  <c r="Z34" i="4"/>
  <c r="AK34" i="4" s="1"/>
  <c r="Y34" i="4"/>
  <c r="X34" i="4"/>
  <c r="AH33" i="4"/>
  <c r="AG33" i="4"/>
  <c r="AF33" i="4"/>
  <c r="AE33" i="4"/>
  <c r="AD33" i="4"/>
  <c r="AC33" i="4"/>
  <c r="AB33" i="4"/>
  <c r="Z33" i="4"/>
  <c r="AK33" i="4" s="1"/>
  <c r="Y33" i="4"/>
  <c r="X33" i="4"/>
  <c r="AH32" i="4"/>
  <c r="AG32" i="4"/>
  <c r="AF32" i="4"/>
  <c r="AE32" i="4"/>
  <c r="AD32" i="4"/>
  <c r="AC32" i="4"/>
  <c r="AB32" i="4"/>
  <c r="Z32" i="4"/>
  <c r="AK32" i="4" s="1"/>
  <c r="Y32" i="4"/>
  <c r="X32" i="4"/>
  <c r="AH31" i="4"/>
  <c r="AG31" i="4"/>
  <c r="AF31" i="4"/>
  <c r="AE31" i="4"/>
  <c r="AD31" i="4"/>
  <c r="AC31" i="4"/>
  <c r="AB31" i="4"/>
  <c r="Z31" i="4"/>
  <c r="AK31" i="4" s="1"/>
  <c r="Y31" i="4"/>
  <c r="X31" i="4"/>
  <c r="AH30" i="4"/>
  <c r="AG30" i="4"/>
  <c r="AF30" i="4"/>
  <c r="AE30" i="4"/>
  <c r="AD30" i="4"/>
  <c r="AC30" i="4"/>
  <c r="AB30" i="4"/>
  <c r="Z30" i="4"/>
  <c r="AK30" i="4" s="1"/>
  <c r="Y30" i="4"/>
  <c r="X30" i="4"/>
  <c r="AH29" i="4"/>
  <c r="AG29" i="4"/>
  <c r="AF29" i="4"/>
  <c r="AE29" i="4"/>
  <c r="AD29" i="4"/>
  <c r="AC29" i="4"/>
  <c r="AB29" i="4"/>
  <c r="Z29" i="4"/>
  <c r="AK29" i="4" s="1"/>
  <c r="Y29" i="4"/>
  <c r="X29" i="4"/>
  <c r="AH28" i="4"/>
  <c r="AG28" i="4"/>
  <c r="AF28" i="4"/>
  <c r="AE28" i="4"/>
  <c r="AD28" i="4"/>
  <c r="AC28" i="4"/>
  <c r="AB28" i="4"/>
  <c r="Z28" i="4"/>
  <c r="AK28" i="4" s="1"/>
  <c r="Y28" i="4"/>
  <c r="X28" i="4"/>
  <c r="AH27" i="4"/>
  <c r="AG27" i="4"/>
  <c r="AF27" i="4"/>
  <c r="AE27" i="4"/>
  <c r="AD27" i="4"/>
  <c r="AC27" i="4"/>
  <c r="AB27" i="4"/>
  <c r="Z27" i="4"/>
  <c r="AK27" i="4" s="1"/>
  <c r="Y27" i="4"/>
  <c r="X27" i="4"/>
  <c r="AH26" i="4"/>
  <c r="AG26" i="4"/>
  <c r="AF26" i="4"/>
  <c r="AE26" i="4"/>
  <c r="AD26" i="4"/>
  <c r="AC26" i="4"/>
  <c r="AB26" i="4"/>
  <c r="Z26" i="4"/>
  <c r="AK26" i="4" s="1"/>
  <c r="Y26" i="4"/>
  <c r="X26" i="4"/>
  <c r="AH25" i="4"/>
  <c r="AG25" i="4"/>
  <c r="AF25" i="4"/>
  <c r="AE25" i="4"/>
  <c r="AD25" i="4"/>
  <c r="AC25" i="4"/>
  <c r="AB25" i="4"/>
  <c r="Z25" i="4"/>
  <c r="AK25" i="4" s="1"/>
  <c r="Y25" i="4"/>
  <c r="X25" i="4"/>
  <c r="AH24" i="4"/>
  <c r="AG24" i="4"/>
  <c r="AF24" i="4"/>
  <c r="AE24" i="4"/>
  <c r="AD24" i="4"/>
  <c r="AC24" i="4"/>
  <c r="AB24" i="4"/>
  <c r="Z24" i="4"/>
  <c r="AK24" i="4" s="1"/>
  <c r="Y24" i="4"/>
  <c r="X24" i="4"/>
  <c r="P117" i="17"/>
  <c r="P116" i="17"/>
  <c r="P115" i="17"/>
  <c r="P114" i="17"/>
  <c r="P113" i="17"/>
  <c r="P112" i="17"/>
  <c r="P111" i="17"/>
  <c r="P110" i="17"/>
  <c r="P109" i="17"/>
  <c r="P108" i="17"/>
  <c r="P107" i="17"/>
  <c r="P106" i="17"/>
  <c r="P105" i="17"/>
  <c r="P104" i="17"/>
  <c r="P103" i="17"/>
  <c r="P102" i="17"/>
  <c r="P101" i="17"/>
  <c r="P100" i="17"/>
  <c r="P99" i="17"/>
  <c r="P98" i="17"/>
  <c r="P97" i="17"/>
  <c r="P96" i="17"/>
  <c r="P95" i="17"/>
  <c r="P94" i="17"/>
  <c r="P93" i="17"/>
  <c r="P92" i="17"/>
  <c r="P91" i="17"/>
  <c r="P90" i="17"/>
  <c r="P89" i="17"/>
  <c r="P88" i="17"/>
  <c r="P87" i="17"/>
  <c r="P86" i="17"/>
  <c r="P85" i="17"/>
  <c r="P84" i="17"/>
  <c r="P83" i="17"/>
  <c r="P82" i="17"/>
  <c r="P81" i="17"/>
  <c r="P80" i="17"/>
  <c r="P79" i="17"/>
  <c r="P78" i="17"/>
  <c r="P77" i="17"/>
  <c r="P76" i="17"/>
  <c r="P75" i="17"/>
  <c r="P74" i="17"/>
  <c r="P73" i="17"/>
  <c r="P72" i="17"/>
  <c r="P71" i="17"/>
  <c r="P70" i="17"/>
  <c r="P69" i="17"/>
  <c r="P68" i="17"/>
  <c r="P67" i="17"/>
  <c r="P66" i="17"/>
  <c r="P65" i="17"/>
  <c r="P64" i="17"/>
  <c r="P63" i="17"/>
  <c r="P62" i="17"/>
  <c r="P61" i="17"/>
  <c r="P60" i="17"/>
  <c r="P59" i="17"/>
  <c r="P58" i="17"/>
  <c r="P57" i="17"/>
  <c r="P56" i="17"/>
  <c r="P55" i="17"/>
  <c r="P54" i="17"/>
  <c r="P53" i="17"/>
  <c r="P52" i="17"/>
  <c r="P51" i="17"/>
  <c r="P50" i="17"/>
  <c r="P49" i="17"/>
  <c r="P48" i="17"/>
  <c r="P47" i="17"/>
  <c r="P46" i="17"/>
  <c r="P45" i="17"/>
  <c r="P44" i="17"/>
  <c r="P43" i="17"/>
  <c r="P42" i="17"/>
  <c r="P41" i="17"/>
  <c r="P40" i="17"/>
  <c r="P39" i="17"/>
  <c r="P38" i="17"/>
  <c r="P37" i="17"/>
  <c r="P36" i="17"/>
  <c r="P35" i="17"/>
  <c r="P34" i="17"/>
  <c r="P33" i="17"/>
  <c r="P32" i="17"/>
  <c r="P31" i="17"/>
  <c r="P30" i="17"/>
  <c r="P29" i="17"/>
  <c r="P28" i="17"/>
  <c r="P27" i="17"/>
  <c r="P26" i="17"/>
  <c r="P25" i="17"/>
  <c r="P24" i="17"/>
  <c r="P23" i="17"/>
  <c r="P22" i="17"/>
  <c r="P21" i="17"/>
  <c r="P20" i="17"/>
  <c r="P19" i="17"/>
  <c r="P18" i="17"/>
  <c r="AC117" i="17"/>
  <c r="AD117" i="17"/>
  <c r="AI117" i="17" s="1"/>
  <c r="AE117" i="17"/>
  <c r="AF117" i="17"/>
  <c r="AG117" i="17"/>
  <c r="AH117" i="17"/>
  <c r="L117" i="17"/>
  <c r="M117" i="17" s="1"/>
  <c r="N117" i="17" s="1"/>
  <c r="O117" i="17" s="1"/>
  <c r="D117" i="17"/>
  <c r="C117" i="17"/>
  <c r="B117" i="17"/>
  <c r="AC116" i="17"/>
  <c r="AD116" i="17"/>
  <c r="AE116" i="17"/>
  <c r="AF116" i="17"/>
  <c r="AG116" i="17"/>
  <c r="AH116" i="17"/>
  <c r="L116" i="17"/>
  <c r="M116" i="17"/>
  <c r="N116" i="17" s="1"/>
  <c r="O116" i="17" s="1"/>
  <c r="D116" i="17"/>
  <c r="C116" i="17"/>
  <c r="B116" i="17"/>
  <c r="AC115" i="17"/>
  <c r="AD115" i="17"/>
  <c r="AE115" i="17"/>
  <c r="AF115" i="17"/>
  <c r="AG115" i="17"/>
  <c r="AH115" i="17"/>
  <c r="AI115" i="17"/>
  <c r="L115" i="17"/>
  <c r="M115" i="17"/>
  <c r="N115" i="17" s="1"/>
  <c r="O115" i="17" s="1"/>
  <c r="D115" i="17"/>
  <c r="C115" i="17"/>
  <c r="B115" i="17"/>
  <c r="AC114" i="17"/>
  <c r="AD114" i="17"/>
  <c r="AE114" i="17"/>
  <c r="AF114" i="17"/>
  <c r="AG114" i="17"/>
  <c r="AH114" i="17"/>
  <c r="L114" i="17"/>
  <c r="M114" i="17" s="1"/>
  <c r="N114" i="17" s="1"/>
  <c r="O114" i="17" s="1"/>
  <c r="D114" i="17"/>
  <c r="C114" i="17"/>
  <c r="B114" i="17"/>
  <c r="AC113" i="17"/>
  <c r="AD113" i="17"/>
  <c r="AI113" i="17" s="1"/>
  <c r="AE113" i="17"/>
  <c r="AF113" i="17"/>
  <c r="AG113" i="17"/>
  <c r="AH113" i="17"/>
  <c r="L113" i="17"/>
  <c r="M113" i="17" s="1"/>
  <c r="N113" i="17" s="1"/>
  <c r="O113" i="17" s="1"/>
  <c r="D113" i="17"/>
  <c r="C113" i="17"/>
  <c r="B113" i="17"/>
  <c r="AC112" i="17"/>
  <c r="AD112" i="17"/>
  <c r="AE112" i="17"/>
  <c r="AF112" i="17"/>
  <c r="AG112" i="17"/>
  <c r="AH112" i="17"/>
  <c r="L112" i="17"/>
  <c r="M112" i="17"/>
  <c r="N112" i="17" s="1"/>
  <c r="O112" i="17" s="1"/>
  <c r="D112" i="17"/>
  <c r="C112" i="17"/>
  <c r="B112" i="17"/>
  <c r="AC111" i="17"/>
  <c r="AD111" i="17"/>
  <c r="AE111" i="17"/>
  <c r="AF111" i="17"/>
  <c r="AG111" i="17"/>
  <c r="AH111" i="17"/>
  <c r="AI111" i="17"/>
  <c r="L111" i="17"/>
  <c r="M111" i="17"/>
  <c r="N111" i="17" s="1"/>
  <c r="O111" i="17" s="1"/>
  <c r="D111" i="17"/>
  <c r="C111" i="17"/>
  <c r="B111" i="17"/>
  <c r="AC110" i="17"/>
  <c r="AD110" i="17"/>
  <c r="AE110" i="17"/>
  <c r="AF110" i="17"/>
  <c r="AG110" i="17"/>
  <c r="AH110" i="17"/>
  <c r="L110" i="17"/>
  <c r="M110" i="17" s="1"/>
  <c r="N110" i="17" s="1"/>
  <c r="O110" i="17" s="1"/>
  <c r="D110" i="17"/>
  <c r="C110" i="17"/>
  <c r="B110" i="17"/>
  <c r="AC109" i="17"/>
  <c r="AD109" i="17"/>
  <c r="AI109" i="17" s="1"/>
  <c r="AE109" i="17"/>
  <c r="AF109" i="17"/>
  <c r="AG109" i="17"/>
  <c r="AH109" i="17"/>
  <c r="L109" i="17"/>
  <c r="M109" i="17" s="1"/>
  <c r="N109" i="17" s="1"/>
  <c r="O109" i="17" s="1"/>
  <c r="D109" i="17"/>
  <c r="C109" i="17"/>
  <c r="B109" i="17"/>
  <c r="AC108" i="17"/>
  <c r="AD108" i="17"/>
  <c r="AE108" i="17"/>
  <c r="AF108" i="17"/>
  <c r="AG108" i="17"/>
  <c r="AH108" i="17"/>
  <c r="L108" i="17"/>
  <c r="M108" i="17"/>
  <c r="N108" i="17" s="1"/>
  <c r="O108" i="17" s="1"/>
  <c r="D108" i="17"/>
  <c r="C108" i="17"/>
  <c r="B108" i="17"/>
  <c r="AC107" i="17"/>
  <c r="AD107" i="17"/>
  <c r="AE107" i="17"/>
  <c r="AF107" i="17"/>
  <c r="AG107" i="17"/>
  <c r="AH107" i="17"/>
  <c r="AI107" i="17"/>
  <c r="L107" i="17"/>
  <c r="M107" i="17"/>
  <c r="N107" i="17" s="1"/>
  <c r="O107" i="17" s="1"/>
  <c r="D107" i="17"/>
  <c r="C107" i="17"/>
  <c r="B107" i="17"/>
  <c r="AC106" i="17"/>
  <c r="AD106" i="17"/>
  <c r="AE106" i="17"/>
  <c r="AF106" i="17"/>
  <c r="AG106" i="17"/>
  <c r="AH106" i="17"/>
  <c r="L106" i="17"/>
  <c r="M106" i="17" s="1"/>
  <c r="N106" i="17" s="1"/>
  <c r="O106" i="17" s="1"/>
  <c r="D106" i="17"/>
  <c r="C106" i="17"/>
  <c r="B106" i="17"/>
  <c r="AC105" i="17"/>
  <c r="AD105" i="17"/>
  <c r="AI105" i="17" s="1"/>
  <c r="AE105" i="17"/>
  <c r="AF105" i="17"/>
  <c r="AG105" i="17"/>
  <c r="AH105" i="17"/>
  <c r="L105" i="17"/>
  <c r="M105" i="17" s="1"/>
  <c r="N105" i="17" s="1"/>
  <c r="O105" i="17" s="1"/>
  <c r="D105" i="17"/>
  <c r="C105" i="17"/>
  <c r="B105" i="17"/>
  <c r="AC104" i="17"/>
  <c r="AD104" i="17"/>
  <c r="AE104" i="17"/>
  <c r="AF104" i="17"/>
  <c r="AG104" i="17"/>
  <c r="AH104" i="17"/>
  <c r="L104" i="17"/>
  <c r="M104" i="17"/>
  <c r="N104" i="17" s="1"/>
  <c r="O104" i="17" s="1"/>
  <c r="D104" i="17"/>
  <c r="C104" i="17"/>
  <c r="B104" i="17"/>
  <c r="AC103" i="17"/>
  <c r="AD103" i="17"/>
  <c r="AE103" i="17"/>
  <c r="AF103" i="17"/>
  <c r="AG103" i="17"/>
  <c r="AH103" i="17"/>
  <c r="AI103" i="17"/>
  <c r="L103" i="17"/>
  <c r="M103" i="17"/>
  <c r="N103" i="17" s="1"/>
  <c r="O103" i="17" s="1"/>
  <c r="D103" i="17"/>
  <c r="C103" i="17"/>
  <c r="B103" i="17"/>
  <c r="AC102" i="17"/>
  <c r="AD102" i="17"/>
  <c r="AE102" i="17"/>
  <c r="AF102" i="17"/>
  <c r="AG102" i="17"/>
  <c r="AH102" i="17"/>
  <c r="L102" i="17"/>
  <c r="M102" i="17" s="1"/>
  <c r="N102" i="17" s="1"/>
  <c r="O102" i="17" s="1"/>
  <c r="D102" i="17"/>
  <c r="C102" i="17"/>
  <c r="B102" i="17"/>
  <c r="AC101" i="17"/>
  <c r="AD101" i="17"/>
  <c r="AI101" i="17" s="1"/>
  <c r="AE101" i="17"/>
  <c r="AF101" i="17"/>
  <c r="AG101" i="17"/>
  <c r="AH101" i="17"/>
  <c r="L101" i="17"/>
  <c r="M101" i="17" s="1"/>
  <c r="N101" i="17" s="1"/>
  <c r="O101" i="17" s="1"/>
  <c r="D101" i="17"/>
  <c r="C101" i="17"/>
  <c r="B101" i="17"/>
  <c r="AC100" i="17"/>
  <c r="AD100" i="17"/>
  <c r="AE100" i="17"/>
  <c r="AF100" i="17"/>
  <c r="AG100" i="17"/>
  <c r="AH100" i="17"/>
  <c r="L100" i="17"/>
  <c r="M100" i="17"/>
  <c r="N100" i="17" s="1"/>
  <c r="O100" i="17" s="1"/>
  <c r="D100" i="17"/>
  <c r="C100" i="17"/>
  <c r="B100" i="17"/>
  <c r="AC99" i="17"/>
  <c r="AD99" i="17"/>
  <c r="AE99" i="17"/>
  <c r="AF99" i="17"/>
  <c r="AG99" i="17"/>
  <c r="AH99" i="17"/>
  <c r="AI99" i="17"/>
  <c r="L99" i="17"/>
  <c r="M99" i="17"/>
  <c r="N99" i="17" s="1"/>
  <c r="O99" i="17" s="1"/>
  <c r="D99" i="17"/>
  <c r="C99" i="17"/>
  <c r="B99" i="17"/>
  <c r="AC98" i="17"/>
  <c r="AD98" i="17"/>
  <c r="AE98" i="17"/>
  <c r="AF98" i="17"/>
  <c r="AG98" i="17"/>
  <c r="AH98" i="17"/>
  <c r="L98" i="17"/>
  <c r="M98" i="17" s="1"/>
  <c r="N98" i="17" s="1"/>
  <c r="O98" i="17" s="1"/>
  <c r="D98" i="17"/>
  <c r="C98" i="17"/>
  <c r="B98" i="17"/>
  <c r="AC97" i="17"/>
  <c r="AD97" i="17"/>
  <c r="AI97" i="17" s="1"/>
  <c r="AE97" i="17"/>
  <c r="AF97" i="17"/>
  <c r="AG97" i="17"/>
  <c r="AH97" i="17"/>
  <c r="L97" i="17"/>
  <c r="M97" i="17" s="1"/>
  <c r="N97" i="17" s="1"/>
  <c r="O97" i="17" s="1"/>
  <c r="D97" i="17"/>
  <c r="C97" i="17"/>
  <c r="B97" i="17"/>
  <c r="AC96" i="17"/>
  <c r="AD96" i="17"/>
  <c r="AE96" i="17"/>
  <c r="AF96" i="17"/>
  <c r="AG96" i="17"/>
  <c r="AH96" i="17"/>
  <c r="L96" i="17"/>
  <c r="M96" i="17"/>
  <c r="N96" i="17" s="1"/>
  <c r="O96" i="17" s="1"/>
  <c r="D96" i="17"/>
  <c r="C96" i="17"/>
  <c r="B96" i="17"/>
  <c r="AC95" i="17"/>
  <c r="AD95" i="17"/>
  <c r="AE95" i="17"/>
  <c r="AF95" i="17"/>
  <c r="AG95" i="17"/>
  <c r="AH95" i="17"/>
  <c r="AI95" i="17"/>
  <c r="L95" i="17"/>
  <c r="M95" i="17"/>
  <c r="N95" i="17" s="1"/>
  <c r="O95" i="17" s="1"/>
  <c r="D95" i="17"/>
  <c r="C95" i="17"/>
  <c r="B95" i="17"/>
  <c r="AC94" i="17"/>
  <c r="AD94" i="17"/>
  <c r="AE94" i="17"/>
  <c r="AF94" i="17"/>
  <c r="AG94" i="17"/>
  <c r="AH94" i="17"/>
  <c r="L94" i="17"/>
  <c r="M94" i="17" s="1"/>
  <c r="N94" i="17" s="1"/>
  <c r="O94" i="17" s="1"/>
  <c r="D94" i="17"/>
  <c r="C94" i="17"/>
  <c r="B94" i="17"/>
  <c r="AC93" i="17"/>
  <c r="AD93" i="17"/>
  <c r="AI93" i="17" s="1"/>
  <c r="AE93" i="17"/>
  <c r="AF93" i="17"/>
  <c r="AG93" i="17"/>
  <c r="AH93" i="17"/>
  <c r="L93" i="17"/>
  <c r="M93" i="17" s="1"/>
  <c r="N93" i="17" s="1"/>
  <c r="O93" i="17" s="1"/>
  <c r="D93" i="17"/>
  <c r="C93" i="17"/>
  <c r="B93" i="17"/>
  <c r="AC92" i="17"/>
  <c r="AD92" i="17"/>
  <c r="AE92" i="17"/>
  <c r="AF92" i="17"/>
  <c r="AG92" i="17"/>
  <c r="AH92" i="17"/>
  <c r="L92" i="17"/>
  <c r="M92" i="17"/>
  <c r="N92" i="17" s="1"/>
  <c r="O92" i="17" s="1"/>
  <c r="D92" i="17"/>
  <c r="C92" i="17"/>
  <c r="B92" i="17"/>
  <c r="AC91" i="17"/>
  <c r="AD91" i="17"/>
  <c r="AE91" i="17"/>
  <c r="AF91" i="17"/>
  <c r="AG91" i="17"/>
  <c r="AH91" i="17"/>
  <c r="AI91" i="17"/>
  <c r="L91" i="17"/>
  <c r="M91" i="17"/>
  <c r="N91" i="17" s="1"/>
  <c r="O91" i="17" s="1"/>
  <c r="D91" i="17"/>
  <c r="C91" i="17"/>
  <c r="B91" i="17"/>
  <c r="AC90" i="17"/>
  <c r="AD90" i="17"/>
  <c r="AE90" i="17"/>
  <c r="AF90" i="17"/>
  <c r="AG90" i="17"/>
  <c r="AH90" i="17"/>
  <c r="L90" i="17"/>
  <c r="M90" i="17" s="1"/>
  <c r="N90" i="17" s="1"/>
  <c r="O90" i="17" s="1"/>
  <c r="D90" i="17"/>
  <c r="C90" i="17"/>
  <c r="B90" i="17"/>
  <c r="AC89" i="17"/>
  <c r="AD89" i="17"/>
  <c r="AI89" i="17" s="1"/>
  <c r="AE89" i="17"/>
  <c r="AF89" i="17"/>
  <c r="AG89" i="17"/>
  <c r="AH89" i="17"/>
  <c r="L89" i="17"/>
  <c r="M89" i="17" s="1"/>
  <c r="N89" i="17" s="1"/>
  <c r="O89" i="17" s="1"/>
  <c r="D89" i="17"/>
  <c r="C89" i="17"/>
  <c r="B89" i="17"/>
  <c r="AC88" i="17"/>
  <c r="AD88" i="17"/>
  <c r="AE88" i="17"/>
  <c r="AF88" i="17"/>
  <c r="AG88" i="17"/>
  <c r="AH88" i="17"/>
  <c r="L88" i="17"/>
  <c r="M88" i="17"/>
  <c r="N88" i="17" s="1"/>
  <c r="O88" i="17" s="1"/>
  <c r="D88" i="17"/>
  <c r="C88" i="17"/>
  <c r="B88" i="17"/>
  <c r="AC87" i="17"/>
  <c r="AD87" i="17"/>
  <c r="AE87" i="17"/>
  <c r="AF87" i="17"/>
  <c r="AG87" i="17"/>
  <c r="AH87" i="17"/>
  <c r="AI87" i="17"/>
  <c r="L87" i="17"/>
  <c r="M87" i="17"/>
  <c r="N87" i="17" s="1"/>
  <c r="O87" i="17" s="1"/>
  <c r="D87" i="17"/>
  <c r="C87" i="17"/>
  <c r="B87" i="17"/>
  <c r="AC86" i="17"/>
  <c r="AD86" i="17"/>
  <c r="AE86" i="17"/>
  <c r="AF86" i="17"/>
  <c r="AG86" i="17"/>
  <c r="AH86" i="17"/>
  <c r="L86" i="17"/>
  <c r="M86" i="17" s="1"/>
  <c r="N86" i="17" s="1"/>
  <c r="O86" i="17" s="1"/>
  <c r="D86" i="17"/>
  <c r="C86" i="17"/>
  <c r="B86" i="17"/>
  <c r="AC85" i="17"/>
  <c r="AD85" i="17"/>
  <c r="AI85" i="17" s="1"/>
  <c r="AE85" i="17"/>
  <c r="AF85" i="17"/>
  <c r="AG85" i="17"/>
  <c r="AH85" i="17"/>
  <c r="L85" i="17"/>
  <c r="M85" i="17" s="1"/>
  <c r="N85" i="17" s="1"/>
  <c r="O85" i="17" s="1"/>
  <c r="D85" i="17"/>
  <c r="C85" i="17"/>
  <c r="B85" i="17"/>
  <c r="AC84" i="17"/>
  <c r="AD84" i="17"/>
  <c r="AE84" i="17"/>
  <c r="AF84" i="17"/>
  <c r="AG84" i="17"/>
  <c r="AH84" i="17"/>
  <c r="L84" i="17"/>
  <c r="M84" i="17"/>
  <c r="N84" i="17" s="1"/>
  <c r="O84" i="17" s="1"/>
  <c r="D84" i="17"/>
  <c r="C84" i="17"/>
  <c r="B84" i="17"/>
  <c r="AC83" i="17"/>
  <c r="AD83" i="17"/>
  <c r="AE83" i="17"/>
  <c r="AF83" i="17"/>
  <c r="AG83" i="17"/>
  <c r="AH83" i="17"/>
  <c r="AI83" i="17"/>
  <c r="L83" i="17"/>
  <c r="M83" i="17"/>
  <c r="N83" i="17" s="1"/>
  <c r="O83" i="17" s="1"/>
  <c r="D83" i="17"/>
  <c r="C83" i="17"/>
  <c r="B83" i="17"/>
  <c r="AC82" i="17"/>
  <c r="AD82" i="17"/>
  <c r="AE82" i="17"/>
  <c r="AF82" i="17"/>
  <c r="AG82" i="17"/>
  <c r="AH82" i="17"/>
  <c r="L82" i="17"/>
  <c r="M82" i="17" s="1"/>
  <c r="N82" i="17" s="1"/>
  <c r="O82" i="17" s="1"/>
  <c r="D82" i="17"/>
  <c r="C82" i="17"/>
  <c r="B82" i="17"/>
  <c r="AC81" i="17"/>
  <c r="AD81" i="17"/>
  <c r="AI81" i="17" s="1"/>
  <c r="AE81" i="17"/>
  <c r="AF81" i="17"/>
  <c r="AG81" i="17"/>
  <c r="AH81" i="17"/>
  <c r="L81" i="17"/>
  <c r="M81" i="17" s="1"/>
  <c r="N81" i="17" s="1"/>
  <c r="O81" i="17" s="1"/>
  <c r="D81" i="17"/>
  <c r="C81" i="17"/>
  <c r="B81" i="17"/>
  <c r="AC80" i="17"/>
  <c r="AD80" i="17"/>
  <c r="AE80" i="17"/>
  <c r="AF80" i="17"/>
  <c r="AG80" i="17"/>
  <c r="AH80" i="17"/>
  <c r="L80" i="17"/>
  <c r="M80" i="17"/>
  <c r="N80" i="17" s="1"/>
  <c r="O80" i="17" s="1"/>
  <c r="D80" i="17"/>
  <c r="C80" i="17"/>
  <c r="B80" i="17"/>
  <c r="AC79" i="17"/>
  <c r="AD79" i="17"/>
  <c r="AE79" i="17"/>
  <c r="AF79" i="17"/>
  <c r="AG79" i="17"/>
  <c r="AH79" i="17"/>
  <c r="AI79" i="17"/>
  <c r="L79" i="17"/>
  <c r="M79" i="17"/>
  <c r="N79" i="17" s="1"/>
  <c r="O79" i="17" s="1"/>
  <c r="D79" i="17"/>
  <c r="C79" i="17"/>
  <c r="B79" i="17"/>
  <c r="AC78" i="17"/>
  <c r="AD78" i="17"/>
  <c r="AE78" i="17"/>
  <c r="AF78" i="17"/>
  <c r="AG78" i="17"/>
  <c r="AH78" i="17"/>
  <c r="L78" i="17"/>
  <c r="M78" i="17" s="1"/>
  <c r="N78" i="17" s="1"/>
  <c r="O78" i="17" s="1"/>
  <c r="D78" i="17"/>
  <c r="C78" i="17"/>
  <c r="B78" i="17"/>
  <c r="AC77" i="17"/>
  <c r="AD77" i="17"/>
  <c r="AI77" i="17" s="1"/>
  <c r="AE77" i="17"/>
  <c r="AF77" i="17"/>
  <c r="AG77" i="17"/>
  <c r="AH77" i="17"/>
  <c r="L77" i="17"/>
  <c r="M77" i="17" s="1"/>
  <c r="N77" i="17" s="1"/>
  <c r="O77" i="17" s="1"/>
  <c r="D77" i="17"/>
  <c r="C77" i="17"/>
  <c r="B77" i="17"/>
  <c r="AC76" i="17"/>
  <c r="AD76" i="17"/>
  <c r="AE76" i="17"/>
  <c r="AF76" i="17"/>
  <c r="AG76" i="17"/>
  <c r="AH76" i="17"/>
  <c r="L76" i="17"/>
  <c r="M76" i="17"/>
  <c r="N76" i="17" s="1"/>
  <c r="O76" i="17" s="1"/>
  <c r="D76" i="17"/>
  <c r="C76" i="17"/>
  <c r="B76" i="17"/>
  <c r="AC75" i="17"/>
  <c r="AD75" i="17"/>
  <c r="AE75" i="17"/>
  <c r="AF75" i="17"/>
  <c r="AG75" i="17"/>
  <c r="AH75" i="17"/>
  <c r="AI75" i="17"/>
  <c r="L75" i="17"/>
  <c r="M75" i="17"/>
  <c r="N75" i="17" s="1"/>
  <c r="O75" i="17" s="1"/>
  <c r="D75" i="17"/>
  <c r="C75" i="17"/>
  <c r="B75" i="17"/>
  <c r="AC74" i="17"/>
  <c r="AD74" i="17"/>
  <c r="AE74" i="17"/>
  <c r="AF74" i="17"/>
  <c r="AG74" i="17"/>
  <c r="AH74" i="17"/>
  <c r="L74" i="17"/>
  <c r="M74" i="17" s="1"/>
  <c r="N74" i="17" s="1"/>
  <c r="O74" i="17" s="1"/>
  <c r="D74" i="17"/>
  <c r="C74" i="17"/>
  <c r="B74" i="17"/>
  <c r="AC73" i="17"/>
  <c r="AD73" i="17"/>
  <c r="AI73" i="17" s="1"/>
  <c r="AE73" i="17"/>
  <c r="AF73" i="17"/>
  <c r="AG73" i="17"/>
  <c r="AH73" i="17"/>
  <c r="L73" i="17"/>
  <c r="M73" i="17" s="1"/>
  <c r="N73" i="17" s="1"/>
  <c r="O73" i="17" s="1"/>
  <c r="D73" i="17"/>
  <c r="C73" i="17"/>
  <c r="B73" i="17"/>
  <c r="AC72" i="17"/>
  <c r="AD72" i="17"/>
  <c r="AE72" i="17"/>
  <c r="AF72" i="17"/>
  <c r="AG72" i="17"/>
  <c r="AH72" i="17"/>
  <c r="L72" i="17"/>
  <c r="M72" i="17"/>
  <c r="N72" i="17" s="1"/>
  <c r="O72" i="17" s="1"/>
  <c r="D72" i="17"/>
  <c r="C72" i="17"/>
  <c r="B72" i="17"/>
  <c r="AC71" i="17"/>
  <c r="AD71" i="17"/>
  <c r="AE71" i="17"/>
  <c r="AF71" i="17"/>
  <c r="AG71" i="17"/>
  <c r="AH71" i="17"/>
  <c r="AI71" i="17"/>
  <c r="L71" i="17"/>
  <c r="M71" i="17"/>
  <c r="N71" i="17" s="1"/>
  <c r="O71" i="17" s="1"/>
  <c r="D71" i="17"/>
  <c r="C71" i="17"/>
  <c r="B71" i="17"/>
  <c r="AC70" i="17"/>
  <c r="AD70" i="17"/>
  <c r="AE70" i="17"/>
  <c r="AF70" i="17"/>
  <c r="AG70" i="17"/>
  <c r="AH70" i="17"/>
  <c r="L70" i="17"/>
  <c r="M70" i="17" s="1"/>
  <c r="N70" i="17" s="1"/>
  <c r="O70" i="17" s="1"/>
  <c r="D70" i="17"/>
  <c r="C70" i="17"/>
  <c r="B70" i="17"/>
  <c r="AC69" i="17"/>
  <c r="AD69" i="17"/>
  <c r="AI69" i="17" s="1"/>
  <c r="AE69" i="17"/>
  <c r="AF69" i="17"/>
  <c r="AG69" i="17"/>
  <c r="AH69" i="17"/>
  <c r="L69" i="17"/>
  <c r="M69" i="17" s="1"/>
  <c r="N69" i="17" s="1"/>
  <c r="O69" i="17" s="1"/>
  <c r="D69" i="17"/>
  <c r="C69" i="17"/>
  <c r="B69" i="17"/>
  <c r="AC68" i="17"/>
  <c r="AD68" i="17"/>
  <c r="AE68" i="17"/>
  <c r="AF68" i="17"/>
  <c r="AG68" i="17"/>
  <c r="AH68" i="17"/>
  <c r="L68" i="17"/>
  <c r="M68" i="17"/>
  <c r="N68" i="17" s="1"/>
  <c r="O68" i="17" s="1"/>
  <c r="D68" i="17"/>
  <c r="C68" i="17"/>
  <c r="B68" i="17"/>
  <c r="AC67" i="17"/>
  <c r="AD67" i="17"/>
  <c r="AE67" i="17"/>
  <c r="AF67" i="17"/>
  <c r="AG67" i="17"/>
  <c r="AH67" i="17"/>
  <c r="AI67" i="17"/>
  <c r="L67" i="17"/>
  <c r="M67" i="17"/>
  <c r="N67" i="17" s="1"/>
  <c r="O67" i="17" s="1"/>
  <c r="D67" i="17"/>
  <c r="C67" i="17"/>
  <c r="B67" i="17"/>
  <c r="AC66" i="17"/>
  <c r="AD66" i="17"/>
  <c r="AE66" i="17"/>
  <c r="AF66" i="17"/>
  <c r="AG66" i="17"/>
  <c r="AH66" i="17"/>
  <c r="L66" i="17"/>
  <c r="M66" i="17" s="1"/>
  <c r="N66" i="17" s="1"/>
  <c r="O66" i="17" s="1"/>
  <c r="D66" i="17"/>
  <c r="C66" i="17"/>
  <c r="B66" i="17"/>
  <c r="AC65" i="17"/>
  <c r="AD65" i="17"/>
  <c r="AI65" i="17" s="1"/>
  <c r="AE65" i="17"/>
  <c r="AF65" i="17"/>
  <c r="AG65" i="17"/>
  <c r="AH65" i="17"/>
  <c r="L65" i="17"/>
  <c r="M65" i="17" s="1"/>
  <c r="N65" i="17" s="1"/>
  <c r="O65" i="17" s="1"/>
  <c r="D65" i="17"/>
  <c r="C65" i="17"/>
  <c r="B65" i="17"/>
  <c r="AC64" i="17"/>
  <c r="AD64" i="17"/>
  <c r="AE64" i="17"/>
  <c r="AF64" i="17"/>
  <c r="AG64" i="17"/>
  <c r="AH64" i="17"/>
  <c r="L64" i="17"/>
  <c r="M64" i="17"/>
  <c r="N64" i="17" s="1"/>
  <c r="O64" i="17" s="1"/>
  <c r="D64" i="17"/>
  <c r="C64" i="17"/>
  <c r="B64" i="17"/>
  <c r="AC63" i="17"/>
  <c r="AD63" i="17"/>
  <c r="AE63" i="17"/>
  <c r="AF63" i="17"/>
  <c r="AG63" i="17"/>
  <c r="AH63" i="17"/>
  <c r="AI63" i="17"/>
  <c r="L63" i="17"/>
  <c r="M63" i="17"/>
  <c r="N63" i="17" s="1"/>
  <c r="O63" i="17" s="1"/>
  <c r="D63" i="17"/>
  <c r="C63" i="17"/>
  <c r="B63" i="17"/>
  <c r="AC62" i="17"/>
  <c r="AD62" i="17"/>
  <c r="AE62" i="17"/>
  <c r="AF62" i="17"/>
  <c r="AG62" i="17"/>
  <c r="AH62" i="17"/>
  <c r="L62" i="17"/>
  <c r="M62" i="17" s="1"/>
  <c r="N62" i="17" s="1"/>
  <c r="O62" i="17" s="1"/>
  <c r="D62" i="17"/>
  <c r="C62" i="17"/>
  <c r="B62" i="17"/>
  <c r="AC61" i="17"/>
  <c r="AD61" i="17"/>
  <c r="AE61" i="17"/>
  <c r="AF61" i="17"/>
  <c r="AG61" i="17"/>
  <c r="AH61" i="17"/>
  <c r="L61" i="17"/>
  <c r="M61" i="17" s="1"/>
  <c r="N61" i="17"/>
  <c r="O61" i="17" s="1"/>
  <c r="D61" i="17"/>
  <c r="C61" i="17"/>
  <c r="B61" i="17"/>
  <c r="AC60" i="17"/>
  <c r="AD60" i="17"/>
  <c r="AE60" i="17"/>
  <c r="AF60" i="17"/>
  <c r="AG60" i="17"/>
  <c r="AH60" i="17"/>
  <c r="L60" i="17"/>
  <c r="M60" i="17"/>
  <c r="N60" i="17" s="1"/>
  <c r="O60" i="17"/>
  <c r="D60" i="17"/>
  <c r="C60" i="17"/>
  <c r="B60" i="17"/>
  <c r="AC59" i="17"/>
  <c r="AD59" i="17"/>
  <c r="AE59" i="17"/>
  <c r="AF59" i="17"/>
  <c r="AG59" i="17"/>
  <c r="AH59" i="17"/>
  <c r="AI59" i="17"/>
  <c r="L59" i="17"/>
  <c r="M59" i="17"/>
  <c r="N59" i="17" s="1"/>
  <c r="O59" i="17" s="1"/>
  <c r="D59" i="17"/>
  <c r="C59" i="17"/>
  <c r="B59" i="17"/>
  <c r="AC58" i="17"/>
  <c r="AD58" i="17"/>
  <c r="AE58" i="17"/>
  <c r="AF58" i="17"/>
  <c r="AG58" i="17"/>
  <c r="AH58" i="17"/>
  <c r="L58" i="17"/>
  <c r="M58" i="17" s="1"/>
  <c r="N58" i="17" s="1"/>
  <c r="O58" i="17" s="1"/>
  <c r="Q58" i="17"/>
  <c r="D58" i="17"/>
  <c r="C58" i="17"/>
  <c r="B58" i="17"/>
  <c r="AC57" i="17"/>
  <c r="AD57" i="17"/>
  <c r="AE57" i="17"/>
  <c r="AF57" i="17"/>
  <c r="AG57" i="17"/>
  <c r="AH57" i="17"/>
  <c r="L57" i="17"/>
  <c r="M57" i="17" s="1"/>
  <c r="N57" i="17" s="1"/>
  <c r="O57" i="17" s="1"/>
  <c r="D57" i="17"/>
  <c r="C57" i="17"/>
  <c r="B57" i="17"/>
  <c r="AC56" i="17"/>
  <c r="AD56" i="17"/>
  <c r="AE56" i="17"/>
  <c r="AF56" i="17"/>
  <c r="AG56" i="17"/>
  <c r="AH56" i="17"/>
  <c r="L56" i="17"/>
  <c r="M56" i="17"/>
  <c r="N56" i="17" s="1"/>
  <c r="O56" i="17" s="1"/>
  <c r="D56" i="17"/>
  <c r="C56" i="17"/>
  <c r="B56" i="17"/>
  <c r="AC55" i="17"/>
  <c r="AD55" i="17"/>
  <c r="AE55" i="17"/>
  <c r="AF55" i="17"/>
  <c r="AG55" i="17"/>
  <c r="AH55" i="17"/>
  <c r="AI55" i="17"/>
  <c r="L55" i="17"/>
  <c r="M55" i="17"/>
  <c r="N55" i="17" s="1"/>
  <c r="O55" i="17"/>
  <c r="D55" i="17"/>
  <c r="C55" i="17"/>
  <c r="B55" i="17"/>
  <c r="AC54" i="17"/>
  <c r="AD54" i="17"/>
  <c r="AE54" i="17"/>
  <c r="AF54" i="17"/>
  <c r="AG54" i="17"/>
  <c r="AH54" i="17"/>
  <c r="L54" i="17"/>
  <c r="M54" i="17" s="1"/>
  <c r="N54" i="17"/>
  <c r="O54" i="17" s="1"/>
  <c r="D54" i="17"/>
  <c r="C54" i="17"/>
  <c r="B54" i="17"/>
  <c r="AC53" i="17"/>
  <c r="AD53" i="17"/>
  <c r="AE53" i="17"/>
  <c r="AF53" i="17"/>
  <c r="AG53" i="17"/>
  <c r="AH53" i="17"/>
  <c r="L53" i="17"/>
  <c r="M53" i="17" s="1"/>
  <c r="N53" i="17"/>
  <c r="O53" i="17" s="1"/>
  <c r="D53" i="17"/>
  <c r="C53" i="17"/>
  <c r="B53" i="17"/>
  <c r="AC52" i="17"/>
  <c r="AD52" i="17"/>
  <c r="AE52" i="17"/>
  <c r="AF52" i="17"/>
  <c r="AG52" i="17"/>
  <c r="AH52" i="17"/>
  <c r="L52" i="17"/>
  <c r="M52" i="17"/>
  <c r="N52" i="17" s="1"/>
  <c r="O52" i="17"/>
  <c r="D52" i="17"/>
  <c r="C52" i="17"/>
  <c r="B52" i="17"/>
  <c r="AC51" i="17"/>
  <c r="AD51" i="17"/>
  <c r="AE51" i="17"/>
  <c r="AF51" i="17"/>
  <c r="AG51" i="17"/>
  <c r="AH51" i="17"/>
  <c r="AI51" i="17"/>
  <c r="L51" i="17"/>
  <c r="M51" i="17"/>
  <c r="N51" i="17" s="1"/>
  <c r="O51" i="17" s="1"/>
  <c r="D51" i="17"/>
  <c r="C51" i="17"/>
  <c r="B51" i="17"/>
  <c r="AC50" i="17"/>
  <c r="AD50" i="17"/>
  <c r="AE50" i="17"/>
  <c r="AF50" i="17"/>
  <c r="AG50" i="17"/>
  <c r="AH50" i="17"/>
  <c r="L50" i="17"/>
  <c r="M50" i="17" s="1"/>
  <c r="N50" i="17" s="1"/>
  <c r="O50" i="17"/>
  <c r="D50" i="17"/>
  <c r="C50" i="17"/>
  <c r="B50" i="17"/>
  <c r="AC49" i="17"/>
  <c r="AD49" i="17"/>
  <c r="AE49" i="17"/>
  <c r="AF49" i="17"/>
  <c r="AG49" i="17"/>
  <c r="AH49" i="17"/>
  <c r="AI49" i="17"/>
  <c r="L49" i="17"/>
  <c r="M49" i="17"/>
  <c r="N49" i="17" s="1"/>
  <c r="O49" i="17"/>
  <c r="D49" i="17"/>
  <c r="C49" i="17"/>
  <c r="B49" i="17"/>
  <c r="AC48" i="17"/>
  <c r="AD48" i="17"/>
  <c r="AE48" i="17"/>
  <c r="AF48" i="17"/>
  <c r="AG48" i="17"/>
  <c r="AH48" i="17"/>
  <c r="L48" i="17"/>
  <c r="M48" i="17" s="1"/>
  <c r="N48" i="17" s="1"/>
  <c r="O48" i="17" s="1"/>
  <c r="D48" i="17"/>
  <c r="C48" i="17"/>
  <c r="B48" i="17"/>
  <c r="AC47" i="17"/>
  <c r="AD47" i="17"/>
  <c r="AE47" i="17"/>
  <c r="AF47" i="17"/>
  <c r="AG47" i="17"/>
  <c r="AH47" i="17"/>
  <c r="L47" i="17"/>
  <c r="M47" i="17" s="1"/>
  <c r="N47" i="17"/>
  <c r="O47" i="17" s="1"/>
  <c r="D47" i="17"/>
  <c r="C47" i="17"/>
  <c r="B47" i="17"/>
  <c r="AC46" i="17"/>
  <c r="AD46" i="17"/>
  <c r="AE46" i="17"/>
  <c r="AF46" i="17"/>
  <c r="AG46" i="17"/>
  <c r="AH46" i="17"/>
  <c r="L46" i="17"/>
  <c r="M46" i="17"/>
  <c r="N46" i="17" s="1"/>
  <c r="O46" i="17" s="1"/>
  <c r="D46" i="17"/>
  <c r="C46" i="17"/>
  <c r="B46" i="17"/>
  <c r="AC45" i="17"/>
  <c r="AD45" i="17"/>
  <c r="AE45" i="17"/>
  <c r="AF45" i="17"/>
  <c r="AG45" i="17"/>
  <c r="AH45" i="17"/>
  <c r="AI45" i="17"/>
  <c r="L45" i="17"/>
  <c r="M45" i="17"/>
  <c r="N45" i="17" s="1"/>
  <c r="O45" i="17" s="1"/>
  <c r="D45" i="17"/>
  <c r="C45" i="17"/>
  <c r="B45" i="17"/>
  <c r="AC44" i="17"/>
  <c r="AD44" i="17"/>
  <c r="AE44" i="17"/>
  <c r="AF44" i="17"/>
  <c r="AG44" i="17"/>
  <c r="AH44" i="17"/>
  <c r="L44" i="17"/>
  <c r="M44" i="17" s="1"/>
  <c r="N44" i="17"/>
  <c r="O44" i="17" s="1"/>
  <c r="D44" i="17"/>
  <c r="C44" i="17"/>
  <c r="B44" i="17"/>
  <c r="AC43" i="17"/>
  <c r="AD43" i="17"/>
  <c r="AE43" i="17"/>
  <c r="AF43" i="17"/>
  <c r="AG43" i="17"/>
  <c r="AH43" i="17"/>
  <c r="L43" i="17"/>
  <c r="M43" i="17" s="1"/>
  <c r="N43" i="17" s="1"/>
  <c r="O43" i="17" s="1"/>
  <c r="D43" i="17"/>
  <c r="C43" i="17"/>
  <c r="B43" i="17"/>
  <c r="AC42" i="17"/>
  <c r="AD42" i="17"/>
  <c r="AE42" i="17"/>
  <c r="AF42" i="17"/>
  <c r="AG42" i="17"/>
  <c r="AH42" i="17"/>
  <c r="L42" i="17"/>
  <c r="M42" i="17"/>
  <c r="N42" i="17" s="1"/>
  <c r="O42" i="17"/>
  <c r="D42" i="17"/>
  <c r="C42" i="17"/>
  <c r="B42" i="17"/>
  <c r="AC41" i="17"/>
  <c r="AD41" i="17"/>
  <c r="AE41" i="17"/>
  <c r="AF41" i="17"/>
  <c r="AG41" i="17"/>
  <c r="AH41" i="17"/>
  <c r="AI41" i="17"/>
  <c r="L41" i="17"/>
  <c r="M41" i="17"/>
  <c r="N41" i="17" s="1"/>
  <c r="O41" i="17"/>
  <c r="D41" i="17"/>
  <c r="C41" i="17"/>
  <c r="B41" i="17"/>
  <c r="AC40" i="17"/>
  <c r="AD40" i="17"/>
  <c r="AE40" i="17"/>
  <c r="AF40" i="17"/>
  <c r="AG40" i="17"/>
  <c r="AH40" i="17"/>
  <c r="L40" i="17"/>
  <c r="M40" i="17" s="1"/>
  <c r="N40" i="17" s="1"/>
  <c r="O40" i="17" s="1"/>
  <c r="D40" i="17"/>
  <c r="C40" i="17"/>
  <c r="B40" i="17"/>
  <c r="AC39" i="17"/>
  <c r="AD39" i="17"/>
  <c r="AE39" i="17"/>
  <c r="AF39" i="17"/>
  <c r="AG39" i="17"/>
  <c r="AH39" i="17"/>
  <c r="L39" i="17"/>
  <c r="M39" i="17" s="1"/>
  <c r="N39" i="17"/>
  <c r="O39" i="17" s="1"/>
  <c r="D39" i="17"/>
  <c r="C39" i="17"/>
  <c r="B39" i="17"/>
  <c r="AC38" i="17"/>
  <c r="AD38" i="17"/>
  <c r="AE38" i="17"/>
  <c r="AF38" i="17"/>
  <c r="AG38" i="17"/>
  <c r="AH38" i="17"/>
  <c r="L38" i="17"/>
  <c r="M38" i="17"/>
  <c r="N38" i="17" s="1"/>
  <c r="O38" i="17" s="1"/>
  <c r="D38" i="17"/>
  <c r="C38" i="17"/>
  <c r="B38" i="17"/>
  <c r="AC37" i="17"/>
  <c r="AD37" i="17"/>
  <c r="AE37" i="17"/>
  <c r="AF37" i="17"/>
  <c r="AG37" i="17"/>
  <c r="AH37" i="17"/>
  <c r="AI37" i="17"/>
  <c r="L37" i="17"/>
  <c r="M37" i="17"/>
  <c r="N37" i="17" s="1"/>
  <c r="O37" i="17" s="1"/>
  <c r="D37" i="17"/>
  <c r="C37" i="17"/>
  <c r="B37" i="17"/>
  <c r="AC36" i="17"/>
  <c r="AD36" i="17"/>
  <c r="AE36" i="17"/>
  <c r="AF36" i="17"/>
  <c r="AG36" i="17"/>
  <c r="AH36" i="17"/>
  <c r="L36" i="17"/>
  <c r="M36" i="17" s="1"/>
  <c r="N36" i="17"/>
  <c r="O36" i="17" s="1"/>
  <c r="D36" i="17"/>
  <c r="C36" i="17"/>
  <c r="B36" i="17"/>
  <c r="AC35" i="17"/>
  <c r="AD35" i="17"/>
  <c r="AE35" i="17"/>
  <c r="AF35" i="17"/>
  <c r="AG35" i="17"/>
  <c r="AH35" i="17"/>
  <c r="L35" i="17"/>
  <c r="M35" i="17" s="1"/>
  <c r="N35" i="17" s="1"/>
  <c r="O35" i="17" s="1"/>
  <c r="D35" i="17"/>
  <c r="C35" i="17"/>
  <c r="B35" i="17"/>
  <c r="AC34" i="17"/>
  <c r="AD34" i="17"/>
  <c r="AE34" i="17"/>
  <c r="AF34" i="17"/>
  <c r="AG34" i="17"/>
  <c r="AH34" i="17"/>
  <c r="L34" i="17"/>
  <c r="M34" i="17"/>
  <c r="N34" i="17" s="1"/>
  <c r="O34" i="17"/>
  <c r="D34" i="17"/>
  <c r="C34" i="17"/>
  <c r="B34" i="17"/>
  <c r="AC33" i="17"/>
  <c r="AD33" i="17"/>
  <c r="AE33" i="17"/>
  <c r="AF33" i="17"/>
  <c r="AG33" i="17"/>
  <c r="AH33" i="17"/>
  <c r="AI33" i="17"/>
  <c r="L33" i="17"/>
  <c r="M33" i="17"/>
  <c r="N33" i="17" s="1"/>
  <c r="O33" i="17"/>
  <c r="D33" i="17"/>
  <c r="C33" i="17"/>
  <c r="B33" i="17"/>
  <c r="AC32" i="17"/>
  <c r="AD32" i="17"/>
  <c r="AE32" i="17"/>
  <c r="AF32" i="17"/>
  <c r="AG32" i="17"/>
  <c r="AH32" i="17"/>
  <c r="L32" i="17"/>
  <c r="M32" i="17" s="1"/>
  <c r="N32" i="17" s="1"/>
  <c r="O32" i="17" s="1"/>
  <c r="D32" i="17"/>
  <c r="C32" i="17"/>
  <c r="B32" i="17"/>
  <c r="AC31" i="17"/>
  <c r="AD31" i="17"/>
  <c r="AE31" i="17"/>
  <c r="AF31" i="17"/>
  <c r="AG31" i="17"/>
  <c r="AH31" i="17"/>
  <c r="L31" i="17"/>
  <c r="M31" i="17" s="1"/>
  <c r="N31" i="17"/>
  <c r="O31" i="17" s="1"/>
  <c r="D31" i="17"/>
  <c r="C31" i="17"/>
  <c r="B31" i="17"/>
  <c r="AC30" i="17"/>
  <c r="AD30" i="17"/>
  <c r="AE30" i="17"/>
  <c r="AF30" i="17"/>
  <c r="AG30" i="17"/>
  <c r="AH30" i="17"/>
  <c r="L30" i="17"/>
  <c r="M30" i="17"/>
  <c r="N30" i="17" s="1"/>
  <c r="O30" i="17" s="1"/>
  <c r="D30" i="17"/>
  <c r="C30" i="17"/>
  <c r="B30" i="17"/>
  <c r="AC29" i="17"/>
  <c r="AD29" i="17"/>
  <c r="AE29" i="17"/>
  <c r="AF29" i="17"/>
  <c r="AG29" i="17"/>
  <c r="AH29" i="17"/>
  <c r="AI29" i="17"/>
  <c r="L29" i="17"/>
  <c r="M29" i="17"/>
  <c r="N29" i="17" s="1"/>
  <c r="O29" i="17" s="1"/>
  <c r="D29" i="17"/>
  <c r="C29" i="17"/>
  <c r="B29" i="17"/>
  <c r="AC28" i="17"/>
  <c r="AD28" i="17"/>
  <c r="AE28" i="17"/>
  <c r="AF28" i="17"/>
  <c r="AG28" i="17"/>
  <c r="AH28" i="17"/>
  <c r="L28" i="17"/>
  <c r="M28" i="17" s="1"/>
  <c r="N28" i="17"/>
  <c r="O28" i="17" s="1"/>
  <c r="D28" i="17"/>
  <c r="C28" i="17"/>
  <c r="B28" i="17"/>
  <c r="AC27" i="17"/>
  <c r="AD27" i="17"/>
  <c r="AE27" i="17"/>
  <c r="AF27" i="17"/>
  <c r="AG27" i="17"/>
  <c r="AH27" i="17"/>
  <c r="L27" i="17"/>
  <c r="M27" i="17" s="1"/>
  <c r="N27" i="17" s="1"/>
  <c r="O27" i="17" s="1"/>
  <c r="D27" i="17"/>
  <c r="C27" i="17"/>
  <c r="B27" i="17"/>
  <c r="AC26" i="17"/>
  <c r="AD26" i="17"/>
  <c r="AE26" i="17"/>
  <c r="AF26" i="17"/>
  <c r="AG26" i="17"/>
  <c r="AH26" i="17"/>
  <c r="L26" i="17"/>
  <c r="M26" i="17"/>
  <c r="N26" i="17" s="1"/>
  <c r="O26" i="17"/>
  <c r="D26" i="17"/>
  <c r="C26" i="17"/>
  <c r="B26" i="17"/>
  <c r="AC25" i="17"/>
  <c r="AD25" i="17"/>
  <c r="AE25" i="17"/>
  <c r="AF25" i="17"/>
  <c r="AG25" i="17"/>
  <c r="AH25" i="17"/>
  <c r="AI25" i="17"/>
  <c r="L25" i="17"/>
  <c r="M25" i="17"/>
  <c r="N25" i="17" s="1"/>
  <c r="O25" i="17"/>
  <c r="D25" i="17"/>
  <c r="C25" i="17"/>
  <c r="B25" i="17"/>
  <c r="AC24" i="17"/>
  <c r="AD24" i="17"/>
  <c r="AE24" i="17"/>
  <c r="AF24" i="17"/>
  <c r="AG24" i="17"/>
  <c r="AH24" i="17"/>
  <c r="L24" i="17"/>
  <c r="M24" i="17" s="1"/>
  <c r="N24" i="17" s="1"/>
  <c r="O24" i="17" s="1"/>
  <c r="D24" i="17"/>
  <c r="C24" i="17"/>
  <c r="B24" i="17"/>
  <c r="AC23" i="17"/>
  <c r="AD23" i="17"/>
  <c r="AE23" i="17"/>
  <c r="AF23" i="17"/>
  <c r="AG23" i="17"/>
  <c r="AH23" i="17"/>
  <c r="L23" i="17"/>
  <c r="M23" i="17" s="1"/>
  <c r="N23" i="17"/>
  <c r="O23" i="17" s="1"/>
  <c r="D23" i="17"/>
  <c r="C23" i="17"/>
  <c r="B23" i="17"/>
  <c r="AC22" i="17"/>
  <c r="AD22" i="17"/>
  <c r="AE22" i="17"/>
  <c r="AF22" i="17"/>
  <c r="AG22" i="17"/>
  <c r="AH22" i="17"/>
  <c r="L22" i="17"/>
  <c r="M22" i="17"/>
  <c r="N22" i="17" s="1"/>
  <c r="O22" i="17" s="1"/>
  <c r="D22" i="17"/>
  <c r="C22" i="17"/>
  <c r="B22" i="17"/>
  <c r="AC21" i="17"/>
  <c r="AD21" i="17"/>
  <c r="AE21" i="17"/>
  <c r="AF21" i="17"/>
  <c r="AG21" i="17"/>
  <c r="AH21" i="17"/>
  <c r="AI21" i="17"/>
  <c r="L21" i="17"/>
  <c r="M21" i="17"/>
  <c r="N21" i="17" s="1"/>
  <c r="O21" i="17" s="1"/>
  <c r="D21" i="17"/>
  <c r="C21" i="17"/>
  <c r="B21" i="17"/>
  <c r="AC20" i="17"/>
  <c r="AD20" i="17"/>
  <c r="AE20" i="17"/>
  <c r="AF20" i="17"/>
  <c r="AG20" i="17"/>
  <c r="AH20" i="17"/>
  <c r="L20" i="17"/>
  <c r="M20" i="17" s="1"/>
  <c r="N20" i="17"/>
  <c r="O20" i="17" s="1"/>
  <c r="D20" i="17"/>
  <c r="C20" i="17"/>
  <c r="B20" i="17"/>
  <c r="AC19" i="17"/>
  <c r="AD19" i="17"/>
  <c r="AE19" i="17"/>
  <c r="AF19" i="17"/>
  <c r="AG19" i="17"/>
  <c r="AH19" i="17"/>
  <c r="L19" i="17"/>
  <c r="M19" i="17" s="1"/>
  <c r="N19" i="17" s="1"/>
  <c r="O19" i="17" s="1"/>
  <c r="D19" i="17"/>
  <c r="C19" i="17"/>
  <c r="B19" i="17"/>
  <c r="C18" i="17"/>
  <c r="D18" i="17"/>
  <c r="B18" i="17"/>
  <c r="V4" i="17"/>
  <c r="V8" i="17"/>
  <c r="AC4" i="17"/>
  <c r="V6" i="17"/>
  <c r="K12" i="17"/>
  <c r="W13" i="17"/>
  <c r="K14" i="17"/>
  <c r="W14" i="17"/>
  <c r="L18" i="17"/>
  <c r="M18" i="17" s="1"/>
  <c r="N18" i="17"/>
  <c r="O18" i="17" s="1"/>
  <c r="AC18" i="17"/>
  <c r="AD18" i="17"/>
  <c r="AE18" i="17"/>
  <c r="AF18" i="17"/>
  <c r="AG18" i="17"/>
  <c r="AH18" i="17"/>
  <c r="AU122" i="4"/>
  <c r="AP122" i="4"/>
  <c r="AU121" i="4"/>
  <c r="AP121" i="4"/>
  <c r="AU120" i="4"/>
  <c r="AP120" i="4"/>
  <c r="AU119" i="4"/>
  <c r="AP119" i="4"/>
  <c r="AU118" i="4"/>
  <c r="AP118" i="4"/>
  <c r="AU117" i="4"/>
  <c r="AP117" i="4"/>
  <c r="AU116" i="4"/>
  <c r="AP116" i="4"/>
  <c r="AU115" i="4"/>
  <c r="AP115" i="4"/>
  <c r="AU114" i="4"/>
  <c r="AP114" i="4"/>
  <c r="AU113" i="4"/>
  <c r="AP113" i="4"/>
  <c r="AU112" i="4"/>
  <c r="AP112" i="4"/>
  <c r="AU111" i="4"/>
  <c r="AP111" i="4"/>
  <c r="AU110" i="4"/>
  <c r="AP110" i="4"/>
  <c r="AU109" i="4"/>
  <c r="AP109" i="4"/>
  <c r="AU108" i="4"/>
  <c r="AP108" i="4"/>
  <c r="AU107" i="4"/>
  <c r="AP107" i="4"/>
  <c r="AU106" i="4"/>
  <c r="AP106" i="4"/>
  <c r="AU105" i="4"/>
  <c r="AP105" i="4"/>
  <c r="AU104" i="4"/>
  <c r="AP104" i="4"/>
  <c r="AU103" i="4"/>
  <c r="AP103" i="4"/>
  <c r="AU102" i="4"/>
  <c r="AP102" i="4"/>
  <c r="AU101" i="4"/>
  <c r="AP101" i="4"/>
  <c r="AU100" i="4"/>
  <c r="AP100" i="4"/>
  <c r="AU99" i="4"/>
  <c r="AP99" i="4"/>
  <c r="AU98" i="4"/>
  <c r="AP98" i="4"/>
  <c r="AU97" i="4"/>
  <c r="AP97" i="4"/>
  <c r="AU96" i="4"/>
  <c r="AP96" i="4"/>
  <c r="AU95" i="4"/>
  <c r="AP95" i="4"/>
  <c r="AU94" i="4"/>
  <c r="AP94" i="4"/>
  <c r="AU93" i="4"/>
  <c r="AP93" i="4"/>
  <c r="AU92" i="4"/>
  <c r="AP92" i="4"/>
  <c r="AU91" i="4"/>
  <c r="AP91" i="4"/>
  <c r="AU90" i="4"/>
  <c r="AP90" i="4"/>
  <c r="AU89" i="4"/>
  <c r="AP89" i="4"/>
  <c r="AU88" i="4"/>
  <c r="AP88" i="4"/>
  <c r="AU87" i="4"/>
  <c r="AP87" i="4"/>
  <c r="AU86" i="4"/>
  <c r="AP86" i="4"/>
  <c r="AU85" i="4"/>
  <c r="AP85" i="4"/>
  <c r="AU84" i="4"/>
  <c r="AP84" i="4"/>
  <c r="AU83" i="4"/>
  <c r="AP83" i="4"/>
  <c r="AU82" i="4"/>
  <c r="AP82" i="4"/>
  <c r="AU81" i="4"/>
  <c r="AP81" i="4"/>
  <c r="AU80" i="4"/>
  <c r="AP80" i="4"/>
  <c r="AU79" i="4"/>
  <c r="AP79" i="4"/>
  <c r="AU78" i="4"/>
  <c r="AP78" i="4"/>
  <c r="AU77" i="4"/>
  <c r="AP77" i="4"/>
  <c r="AU76" i="4"/>
  <c r="AP76" i="4"/>
  <c r="AU75" i="4"/>
  <c r="AP75" i="4"/>
  <c r="AU74" i="4"/>
  <c r="AP74" i="4"/>
  <c r="AU73" i="4"/>
  <c r="AP73" i="4"/>
  <c r="AU72" i="4"/>
  <c r="AP72" i="4"/>
  <c r="AU71" i="4"/>
  <c r="AP71" i="4"/>
  <c r="AU70" i="4"/>
  <c r="AP70" i="4"/>
  <c r="AU69" i="4"/>
  <c r="AP69" i="4"/>
  <c r="AU68" i="4"/>
  <c r="AP68" i="4"/>
  <c r="AU67" i="4"/>
  <c r="AP67" i="4"/>
  <c r="AU66" i="4"/>
  <c r="AP66" i="4"/>
  <c r="AU65" i="4"/>
  <c r="AP65" i="4"/>
  <c r="AU64" i="4"/>
  <c r="AP64" i="4"/>
  <c r="AU63" i="4"/>
  <c r="AP63" i="4"/>
  <c r="AU62" i="4"/>
  <c r="AP62" i="4"/>
  <c r="AU61" i="4"/>
  <c r="AP61" i="4"/>
  <c r="AU60" i="4"/>
  <c r="AP60" i="4"/>
  <c r="AU59" i="4"/>
  <c r="AP59" i="4"/>
  <c r="AU58" i="4"/>
  <c r="AP58" i="4"/>
  <c r="AU57" i="4"/>
  <c r="AP57" i="4"/>
  <c r="AU56" i="4"/>
  <c r="AP56" i="4"/>
  <c r="AU55" i="4"/>
  <c r="AP55" i="4"/>
  <c r="AU54" i="4"/>
  <c r="AP54" i="4"/>
  <c r="AU53" i="4"/>
  <c r="AP53" i="4"/>
  <c r="AU52" i="4"/>
  <c r="AP52" i="4"/>
  <c r="AU51" i="4"/>
  <c r="AP51" i="4"/>
  <c r="AU50" i="4"/>
  <c r="AP50" i="4"/>
  <c r="AU49" i="4"/>
  <c r="AP49" i="4"/>
  <c r="AU48" i="4"/>
  <c r="AP48" i="4"/>
  <c r="AU47" i="4"/>
  <c r="AP47" i="4"/>
  <c r="AU46" i="4"/>
  <c r="AP46" i="4"/>
  <c r="AU45" i="4"/>
  <c r="AP45" i="4"/>
  <c r="AU44" i="4"/>
  <c r="AP44" i="4"/>
  <c r="AU43" i="4"/>
  <c r="AP43" i="4"/>
  <c r="AU42" i="4"/>
  <c r="AP42" i="4"/>
  <c r="AU41" i="4"/>
  <c r="AP41" i="4"/>
  <c r="AU40" i="4"/>
  <c r="AP40" i="4"/>
  <c r="AU39" i="4"/>
  <c r="AP39" i="4"/>
  <c r="AU38" i="4"/>
  <c r="AP38" i="4"/>
  <c r="AU37" i="4"/>
  <c r="AP37" i="4"/>
  <c r="AU36" i="4"/>
  <c r="AP36" i="4"/>
  <c r="AU35" i="4"/>
  <c r="AP35" i="4"/>
  <c r="AU34" i="4"/>
  <c r="AP34" i="4"/>
  <c r="AU33" i="4"/>
  <c r="AP33" i="4"/>
  <c r="AU32" i="4"/>
  <c r="AP32" i="4"/>
  <c r="AU31" i="4"/>
  <c r="AP31" i="4"/>
  <c r="AU30" i="4"/>
  <c r="AP30" i="4"/>
  <c r="AU29" i="4"/>
  <c r="AP29" i="4"/>
  <c r="AU28" i="4"/>
  <c r="AP28" i="4"/>
  <c r="AU27" i="4"/>
  <c r="AP27" i="4"/>
  <c r="AU26" i="4"/>
  <c r="AP26" i="4"/>
  <c r="AU25" i="4"/>
  <c r="AP25" i="4"/>
  <c r="AU24" i="4"/>
  <c r="E4" i="4"/>
  <c r="E5" i="4"/>
  <c r="E6" i="4"/>
  <c r="E7" i="4"/>
  <c r="E8" i="4"/>
  <c r="E9" i="4"/>
  <c r="AU23" i="4"/>
  <c r="AP23" i="4"/>
  <c r="CW23" i="4"/>
  <c r="CW24" i="4"/>
  <c r="CW118" i="4"/>
  <c r="CW117" i="4"/>
  <c r="CW116" i="4"/>
  <c r="CW115" i="4"/>
  <c r="CW114" i="4"/>
  <c r="CW113" i="4"/>
  <c r="CW112" i="4"/>
  <c r="CW111" i="4"/>
  <c r="CW110" i="4"/>
  <c r="CW109" i="4"/>
  <c r="CW108" i="4"/>
  <c r="CW107" i="4"/>
  <c r="CW106" i="4"/>
  <c r="CW105" i="4"/>
  <c r="CW104" i="4"/>
  <c r="CW103" i="4"/>
  <c r="CW102" i="4"/>
  <c r="CW101" i="4"/>
  <c r="CW100" i="4"/>
  <c r="CW99" i="4"/>
  <c r="CW98" i="4"/>
  <c r="CW97" i="4"/>
  <c r="CW96" i="4"/>
  <c r="CW95" i="4"/>
  <c r="CW94" i="4"/>
  <c r="CW93" i="4"/>
  <c r="CW92" i="4"/>
  <c r="CW91" i="4"/>
  <c r="CW90" i="4"/>
  <c r="CW89" i="4"/>
  <c r="CW88" i="4"/>
  <c r="CW87" i="4"/>
  <c r="CW86" i="4"/>
  <c r="CW85" i="4"/>
  <c r="CW84" i="4"/>
  <c r="CW83" i="4"/>
  <c r="CW82" i="4"/>
  <c r="CW81" i="4"/>
  <c r="CW80" i="4"/>
  <c r="CW79" i="4"/>
  <c r="CW78" i="4"/>
  <c r="CW77" i="4"/>
  <c r="CW76" i="4"/>
  <c r="CW75" i="4"/>
  <c r="CW74" i="4"/>
  <c r="CW73" i="4"/>
  <c r="CW72" i="4"/>
  <c r="CW71" i="4"/>
  <c r="CW70" i="4"/>
  <c r="CW69" i="4"/>
  <c r="CW68" i="4"/>
  <c r="CW67" i="4"/>
  <c r="CW66" i="4"/>
  <c r="CW65" i="4"/>
  <c r="CW64" i="4"/>
  <c r="CW63" i="4"/>
  <c r="CW62" i="4"/>
  <c r="CW61" i="4"/>
  <c r="CW60" i="4"/>
  <c r="CW59" i="4"/>
  <c r="CW58" i="4"/>
  <c r="CW57" i="4"/>
  <c r="CW56" i="4"/>
  <c r="CW55" i="4"/>
  <c r="CW54" i="4"/>
  <c r="CW53" i="4"/>
  <c r="CW52" i="4"/>
  <c r="CW51" i="4"/>
  <c r="CW50" i="4"/>
  <c r="CW49" i="4"/>
  <c r="CW48" i="4"/>
  <c r="CW47" i="4"/>
  <c r="CW46" i="4"/>
  <c r="CW45" i="4"/>
  <c r="CW44" i="4"/>
  <c r="CW43" i="4"/>
  <c r="CW42" i="4"/>
  <c r="CW41" i="4"/>
  <c r="CW40" i="4"/>
  <c r="CW39" i="4"/>
  <c r="CW38" i="4"/>
  <c r="CW37" i="4"/>
  <c r="CW36" i="4"/>
  <c r="CW35" i="4"/>
  <c r="CW34" i="4"/>
  <c r="CW33" i="4"/>
  <c r="CW32" i="4"/>
  <c r="CW31" i="4"/>
  <c r="CW30" i="4"/>
  <c r="CW29" i="4"/>
  <c r="CW28" i="4"/>
  <c r="CW27" i="4"/>
  <c r="CW26" i="4"/>
  <c r="CW25" i="4"/>
  <c r="CX23" i="4"/>
  <c r="CX24" i="4"/>
  <c r="CX118" i="4"/>
  <c r="CX117" i="4"/>
  <c r="CX116" i="4"/>
  <c r="CX115" i="4"/>
  <c r="CX114" i="4"/>
  <c r="CX113" i="4"/>
  <c r="CX112" i="4"/>
  <c r="CX111" i="4"/>
  <c r="CX110" i="4"/>
  <c r="CX109" i="4"/>
  <c r="CX108" i="4"/>
  <c r="CX107" i="4"/>
  <c r="CX106" i="4"/>
  <c r="CX105" i="4"/>
  <c r="CX104" i="4"/>
  <c r="CX103" i="4"/>
  <c r="CX102" i="4"/>
  <c r="CX101" i="4"/>
  <c r="CX100" i="4"/>
  <c r="CX99" i="4"/>
  <c r="CX98" i="4"/>
  <c r="CX97" i="4"/>
  <c r="CX96" i="4"/>
  <c r="CX95" i="4"/>
  <c r="CX94" i="4"/>
  <c r="CX93" i="4"/>
  <c r="CX92" i="4"/>
  <c r="CX91" i="4"/>
  <c r="CX90" i="4"/>
  <c r="CX89" i="4"/>
  <c r="CX88" i="4"/>
  <c r="CX87" i="4"/>
  <c r="CX86" i="4"/>
  <c r="CX85" i="4"/>
  <c r="CX84" i="4"/>
  <c r="CX83" i="4"/>
  <c r="CX82" i="4"/>
  <c r="CX81" i="4"/>
  <c r="CX80" i="4"/>
  <c r="CX79" i="4"/>
  <c r="CX78" i="4"/>
  <c r="CX77" i="4"/>
  <c r="CX76" i="4"/>
  <c r="CX75" i="4"/>
  <c r="CX74" i="4"/>
  <c r="CX73" i="4"/>
  <c r="CX72" i="4"/>
  <c r="CX71" i="4"/>
  <c r="CX70" i="4"/>
  <c r="CX69" i="4"/>
  <c r="CX68" i="4"/>
  <c r="CX67" i="4"/>
  <c r="CX66" i="4"/>
  <c r="CX65" i="4"/>
  <c r="CX64" i="4"/>
  <c r="CX63" i="4"/>
  <c r="CX62" i="4"/>
  <c r="CX61" i="4"/>
  <c r="CX60" i="4"/>
  <c r="CX59" i="4"/>
  <c r="CX58" i="4"/>
  <c r="CX57" i="4"/>
  <c r="CX56" i="4"/>
  <c r="CX55" i="4"/>
  <c r="CX54" i="4"/>
  <c r="CX53" i="4"/>
  <c r="CX52" i="4"/>
  <c r="CX51" i="4"/>
  <c r="CX50" i="4"/>
  <c r="CX49" i="4"/>
  <c r="CX48" i="4"/>
  <c r="CX47" i="4"/>
  <c r="CX46" i="4"/>
  <c r="CX45" i="4"/>
  <c r="CX44" i="4"/>
  <c r="CX43" i="4"/>
  <c r="CX42" i="4"/>
  <c r="CX41" i="4"/>
  <c r="CX40" i="4"/>
  <c r="CX39" i="4"/>
  <c r="CX38" i="4"/>
  <c r="CX37" i="4"/>
  <c r="CX36" i="4"/>
  <c r="CX35" i="4"/>
  <c r="CX34" i="4"/>
  <c r="CX33" i="4"/>
  <c r="CX32" i="4"/>
  <c r="CX31" i="4"/>
  <c r="CX30" i="4"/>
  <c r="CX29" i="4"/>
  <c r="CX28" i="4"/>
  <c r="CX27" i="4"/>
  <c r="CX26" i="4"/>
  <c r="CX25" i="4"/>
  <c r="CY23" i="4"/>
  <c r="CY24" i="4"/>
  <c r="CY122" i="4"/>
  <c r="CY121" i="4"/>
  <c r="CY120" i="4"/>
  <c r="CY119" i="4"/>
  <c r="CY118" i="4"/>
  <c r="CY117" i="4"/>
  <c r="CY116" i="4"/>
  <c r="CY115" i="4"/>
  <c r="CY114" i="4"/>
  <c r="CY113" i="4"/>
  <c r="CY112" i="4"/>
  <c r="CY111" i="4"/>
  <c r="CY110" i="4"/>
  <c r="CY109" i="4"/>
  <c r="CY108" i="4"/>
  <c r="CY107" i="4"/>
  <c r="CY106" i="4"/>
  <c r="CY105" i="4"/>
  <c r="CY104" i="4"/>
  <c r="CY103" i="4"/>
  <c r="CY102" i="4"/>
  <c r="CY101" i="4"/>
  <c r="CY100" i="4"/>
  <c r="CY99" i="4"/>
  <c r="CY98" i="4"/>
  <c r="CY97" i="4"/>
  <c r="CY96" i="4"/>
  <c r="CY95" i="4"/>
  <c r="CY94" i="4"/>
  <c r="CY93" i="4"/>
  <c r="CY92" i="4"/>
  <c r="CY91" i="4"/>
  <c r="CY90" i="4"/>
  <c r="CY89" i="4"/>
  <c r="CY88" i="4"/>
  <c r="CY87" i="4"/>
  <c r="CY86" i="4"/>
  <c r="CY85" i="4"/>
  <c r="CY84" i="4"/>
  <c r="CY83" i="4"/>
  <c r="CY82" i="4"/>
  <c r="CY81" i="4"/>
  <c r="CY80" i="4"/>
  <c r="CY79" i="4"/>
  <c r="CY78" i="4"/>
  <c r="CY77" i="4"/>
  <c r="CY76" i="4"/>
  <c r="CY75" i="4"/>
  <c r="CY74" i="4"/>
  <c r="CY73" i="4"/>
  <c r="CY72" i="4"/>
  <c r="CY71" i="4"/>
  <c r="CY70" i="4"/>
  <c r="CY69" i="4"/>
  <c r="CY68" i="4"/>
  <c r="CY67" i="4"/>
  <c r="CY66" i="4"/>
  <c r="CY65" i="4"/>
  <c r="CY64" i="4"/>
  <c r="CY63" i="4"/>
  <c r="CY62" i="4"/>
  <c r="CY61" i="4"/>
  <c r="CY60" i="4"/>
  <c r="CY59" i="4"/>
  <c r="CY58" i="4"/>
  <c r="CY57" i="4"/>
  <c r="CY56" i="4"/>
  <c r="CY55" i="4"/>
  <c r="CY54" i="4"/>
  <c r="CY53" i="4"/>
  <c r="CY52" i="4"/>
  <c r="CY51" i="4"/>
  <c r="CY50" i="4"/>
  <c r="CY49" i="4"/>
  <c r="CY48" i="4"/>
  <c r="CY47" i="4"/>
  <c r="CY46" i="4"/>
  <c r="CY45" i="4"/>
  <c r="CY44" i="4"/>
  <c r="CY43" i="4"/>
  <c r="CY42" i="4"/>
  <c r="CY41" i="4"/>
  <c r="CY40" i="4"/>
  <c r="CY39" i="4"/>
  <c r="CY38" i="4"/>
  <c r="CY37" i="4"/>
  <c r="CY36" i="4"/>
  <c r="CY35" i="4"/>
  <c r="CY34" i="4"/>
  <c r="CY33" i="4"/>
  <c r="CY32" i="4"/>
  <c r="CY31" i="4"/>
  <c r="CY30" i="4"/>
  <c r="CY29" i="4"/>
  <c r="CY28" i="4"/>
  <c r="CY27" i="4"/>
  <c r="CY26" i="4"/>
  <c r="CY25" i="4"/>
  <c r="CR23" i="4"/>
  <c r="CS23" i="4"/>
  <c r="CR24" i="4"/>
  <c r="CS24" i="4"/>
  <c r="CR25" i="4"/>
  <c r="CS25" i="4"/>
  <c r="CR26" i="4"/>
  <c r="CS26" i="4"/>
  <c r="CR27" i="4"/>
  <c r="CS27" i="4"/>
  <c r="CR28" i="4"/>
  <c r="CS28" i="4"/>
  <c r="CR29" i="4"/>
  <c r="CS29" i="4"/>
  <c r="CR30" i="4"/>
  <c r="CS30" i="4"/>
  <c r="CR31" i="4"/>
  <c r="CS31" i="4"/>
  <c r="CR32" i="4"/>
  <c r="CS32" i="4"/>
  <c r="CR33" i="4"/>
  <c r="CS33" i="4"/>
  <c r="CR34" i="4"/>
  <c r="CS34" i="4"/>
  <c r="CR35" i="4"/>
  <c r="CS35" i="4"/>
  <c r="CR36" i="4"/>
  <c r="CS36" i="4"/>
  <c r="CR37" i="4"/>
  <c r="CS37" i="4"/>
  <c r="CR38" i="4"/>
  <c r="CS38" i="4"/>
  <c r="CR39" i="4"/>
  <c r="CS39" i="4"/>
  <c r="CR40" i="4"/>
  <c r="CS40" i="4"/>
  <c r="CR41" i="4"/>
  <c r="CS41" i="4"/>
  <c r="CR42" i="4"/>
  <c r="CS42" i="4"/>
  <c r="CR43" i="4"/>
  <c r="CS43" i="4"/>
  <c r="CR44" i="4"/>
  <c r="CS44" i="4"/>
  <c r="CR45" i="4"/>
  <c r="CS45" i="4"/>
  <c r="CR46" i="4"/>
  <c r="CS46" i="4"/>
  <c r="CR47" i="4"/>
  <c r="CS47" i="4"/>
  <c r="CR48" i="4"/>
  <c r="CS48" i="4"/>
  <c r="CR49" i="4"/>
  <c r="CS49" i="4"/>
  <c r="CR50" i="4"/>
  <c r="CS50" i="4"/>
  <c r="CR51" i="4"/>
  <c r="CS51" i="4"/>
  <c r="CR52" i="4"/>
  <c r="CS52" i="4"/>
  <c r="CR53" i="4"/>
  <c r="CS53" i="4"/>
  <c r="CR54" i="4"/>
  <c r="CS54" i="4"/>
  <c r="CR55" i="4"/>
  <c r="CS55" i="4"/>
  <c r="CR56" i="4"/>
  <c r="CS56" i="4"/>
  <c r="CR57" i="4"/>
  <c r="CS57" i="4"/>
  <c r="CR58" i="4"/>
  <c r="CS58" i="4"/>
  <c r="CR59" i="4"/>
  <c r="CS59" i="4"/>
  <c r="CR60" i="4"/>
  <c r="CS60" i="4"/>
  <c r="CR61" i="4"/>
  <c r="CS61" i="4"/>
  <c r="CR62" i="4"/>
  <c r="CS62" i="4"/>
  <c r="CR63" i="4"/>
  <c r="CS63" i="4"/>
  <c r="CR64" i="4"/>
  <c r="CS64" i="4"/>
  <c r="CR65" i="4"/>
  <c r="CS65" i="4"/>
  <c r="CR66" i="4"/>
  <c r="CS66" i="4"/>
  <c r="CR67" i="4"/>
  <c r="CS67" i="4"/>
  <c r="CR68" i="4"/>
  <c r="CS68" i="4"/>
  <c r="CR69" i="4"/>
  <c r="CS69" i="4"/>
  <c r="CR70" i="4"/>
  <c r="CS70" i="4"/>
  <c r="CR71" i="4"/>
  <c r="CS71" i="4"/>
  <c r="CR72" i="4"/>
  <c r="CS72" i="4"/>
  <c r="CR73" i="4"/>
  <c r="CS73" i="4"/>
  <c r="CR74" i="4"/>
  <c r="CS74" i="4"/>
  <c r="CR75" i="4"/>
  <c r="CS75" i="4"/>
  <c r="CR76" i="4"/>
  <c r="CS76" i="4"/>
  <c r="CR77" i="4"/>
  <c r="CS77" i="4"/>
  <c r="CR78" i="4"/>
  <c r="CS78" i="4"/>
  <c r="CR79" i="4"/>
  <c r="CS79" i="4"/>
  <c r="CR80" i="4"/>
  <c r="CS80" i="4"/>
  <c r="CR81" i="4"/>
  <c r="CS81" i="4"/>
  <c r="CR82" i="4"/>
  <c r="CS82" i="4"/>
  <c r="CR83" i="4"/>
  <c r="CS83" i="4"/>
  <c r="CR84" i="4"/>
  <c r="CS84" i="4"/>
  <c r="CR85" i="4"/>
  <c r="CS85" i="4"/>
  <c r="CR86" i="4"/>
  <c r="CS86" i="4"/>
  <c r="CR87" i="4"/>
  <c r="CS87" i="4"/>
  <c r="CR88" i="4"/>
  <c r="CS88" i="4"/>
  <c r="CR89" i="4"/>
  <c r="CS89" i="4"/>
  <c r="CR90" i="4"/>
  <c r="CS90" i="4"/>
  <c r="CR91" i="4"/>
  <c r="CS91" i="4"/>
  <c r="CR92" i="4"/>
  <c r="CS92" i="4"/>
  <c r="CR93" i="4"/>
  <c r="CS93" i="4"/>
  <c r="CR94" i="4"/>
  <c r="CS94" i="4"/>
  <c r="CR95" i="4"/>
  <c r="CS95" i="4"/>
  <c r="CR96" i="4"/>
  <c r="CS96" i="4"/>
  <c r="CR97" i="4"/>
  <c r="CS97" i="4"/>
  <c r="CR98" i="4"/>
  <c r="CS98" i="4"/>
  <c r="CR99" i="4"/>
  <c r="CS99" i="4"/>
  <c r="CR100" i="4"/>
  <c r="CS100" i="4"/>
  <c r="CR101" i="4"/>
  <c r="CS101" i="4"/>
  <c r="CR102" i="4"/>
  <c r="CS102" i="4"/>
  <c r="CR103" i="4"/>
  <c r="CS103" i="4"/>
  <c r="CR104" i="4"/>
  <c r="CS104" i="4"/>
  <c r="CR105" i="4"/>
  <c r="CS105" i="4"/>
  <c r="CR106" i="4"/>
  <c r="CS106" i="4"/>
  <c r="CR107" i="4"/>
  <c r="CS107" i="4"/>
  <c r="CR108" i="4"/>
  <c r="CS108" i="4"/>
  <c r="CR109" i="4"/>
  <c r="CS109" i="4"/>
  <c r="CR110" i="4"/>
  <c r="CS110" i="4"/>
  <c r="CR111" i="4"/>
  <c r="CS111" i="4"/>
  <c r="CR112" i="4"/>
  <c r="CS112" i="4"/>
  <c r="CR113" i="4"/>
  <c r="CS113" i="4"/>
  <c r="CR114" i="4"/>
  <c r="CS114" i="4"/>
  <c r="CR115" i="4"/>
  <c r="CS115" i="4"/>
  <c r="CR116" i="4"/>
  <c r="CS116" i="4"/>
  <c r="CR117" i="4"/>
  <c r="CS117" i="4"/>
  <c r="CR118" i="4"/>
  <c r="CS118" i="4"/>
  <c r="CR119" i="4"/>
  <c r="CS119" i="4"/>
  <c r="CR120" i="4"/>
  <c r="CS120" i="4"/>
  <c r="CR121" i="4"/>
  <c r="CS121" i="4"/>
  <c r="CR122" i="4"/>
  <c r="CS122" i="4"/>
  <c r="D1" i="4"/>
  <c r="C1" i="17" s="1"/>
  <c r="T18" i="17"/>
  <c r="Q18" i="17"/>
  <c r="S18" i="17"/>
  <c r="T20" i="17"/>
  <c r="Q20" i="17"/>
  <c r="S20" i="17"/>
  <c r="S25" i="17"/>
  <c r="R25" i="17"/>
  <c r="T25" i="17"/>
  <c r="T28" i="17"/>
  <c r="Q28" i="17"/>
  <c r="S28" i="17"/>
  <c r="S33" i="17"/>
  <c r="R33" i="17"/>
  <c r="T33" i="17"/>
  <c r="T36" i="17"/>
  <c r="Q36" i="17"/>
  <c r="S36" i="17"/>
  <c r="S41" i="17"/>
  <c r="R41" i="17"/>
  <c r="T41" i="17"/>
  <c r="T44" i="17"/>
  <c r="Q44" i="17"/>
  <c r="S44" i="17"/>
  <c r="S49" i="17"/>
  <c r="R49" i="17"/>
  <c r="T49" i="17"/>
  <c r="T52" i="17"/>
  <c r="Q52" i="17"/>
  <c r="S52" i="17"/>
  <c r="S53" i="17"/>
  <c r="R53" i="17"/>
  <c r="T53" i="17"/>
  <c r="T56" i="17"/>
  <c r="Q56" i="17"/>
  <c r="S56" i="17"/>
  <c r="S57" i="17"/>
  <c r="R57" i="17"/>
  <c r="T57" i="17"/>
  <c r="T60" i="17"/>
  <c r="Q60" i="17"/>
  <c r="S60" i="17"/>
  <c r="S61" i="17"/>
  <c r="R61" i="17"/>
  <c r="T61" i="17"/>
  <c r="R64" i="17"/>
  <c r="T64" i="17"/>
  <c r="V64" i="17"/>
  <c r="Q64" i="17"/>
  <c r="U64" i="17"/>
  <c r="S64" i="17"/>
  <c r="S65" i="17"/>
  <c r="R65" i="17"/>
  <c r="T65" i="17"/>
  <c r="T68" i="17"/>
  <c r="Q68" i="17"/>
  <c r="S68" i="17"/>
  <c r="Q69" i="17"/>
  <c r="S69" i="17"/>
  <c r="U69" i="17"/>
  <c r="R69" i="17"/>
  <c r="V69" i="17"/>
  <c r="T69" i="17"/>
  <c r="R72" i="17"/>
  <c r="T72" i="17"/>
  <c r="V72" i="17"/>
  <c r="Q72" i="17"/>
  <c r="U72" i="17"/>
  <c r="S72" i="17"/>
  <c r="S73" i="17"/>
  <c r="R73" i="17"/>
  <c r="T73" i="17"/>
  <c r="T76" i="17"/>
  <c r="Q76" i="17"/>
  <c r="S76" i="17"/>
  <c r="Q77" i="17"/>
  <c r="S77" i="17"/>
  <c r="U77" i="17"/>
  <c r="R77" i="17"/>
  <c r="V77" i="17"/>
  <c r="T77" i="17"/>
  <c r="R80" i="17"/>
  <c r="T80" i="17"/>
  <c r="V80" i="17"/>
  <c r="Q80" i="17"/>
  <c r="U80" i="17"/>
  <c r="S80" i="17"/>
  <c r="S81" i="17"/>
  <c r="R81" i="17"/>
  <c r="T81" i="17"/>
  <c r="T84" i="17"/>
  <c r="Q84" i="17"/>
  <c r="S84" i="17"/>
  <c r="Q85" i="17"/>
  <c r="S85" i="17"/>
  <c r="U85" i="17"/>
  <c r="R85" i="17"/>
  <c r="V85" i="17"/>
  <c r="T85" i="17"/>
  <c r="R88" i="17"/>
  <c r="T88" i="17"/>
  <c r="V88" i="17"/>
  <c r="Q88" i="17"/>
  <c r="U88" i="17"/>
  <c r="S88" i="17"/>
  <c r="S89" i="17"/>
  <c r="R89" i="17"/>
  <c r="T89" i="17"/>
  <c r="T92" i="17"/>
  <c r="Q92" i="17"/>
  <c r="S92" i="17"/>
  <c r="Q93" i="17"/>
  <c r="S93" i="17"/>
  <c r="U93" i="17"/>
  <c r="R93" i="17"/>
  <c r="V93" i="17"/>
  <c r="T93" i="17"/>
  <c r="R96" i="17"/>
  <c r="T96" i="17"/>
  <c r="V96" i="17"/>
  <c r="Q96" i="17"/>
  <c r="U96" i="17"/>
  <c r="S96" i="17"/>
  <c r="S97" i="17"/>
  <c r="R97" i="17"/>
  <c r="T97" i="17"/>
  <c r="T100" i="17"/>
  <c r="Q100" i="17"/>
  <c r="S100" i="17"/>
  <c r="Q101" i="17"/>
  <c r="S101" i="17"/>
  <c r="U101" i="17"/>
  <c r="R101" i="17"/>
  <c r="V101" i="17"/>
  <c r="T101" i="17"/>
  <c r="R104" i="17"/>
  <c r="T104" i="17"/>
  <c r="V104" i="17"/>
  <c r="Q104" i="17"/>
  <c r="U104" i="17"/>
  <c r="S104" i="17"/>
  <c r="S105" i="17"/>
  <c r="R105" i="17"/>
  <c r="T105" i="17"/>
  <c r="T108" i="17"/>
  <c r="Q108" i="17"/>
  <c r="S108" i="17"/>
  <c r="Q109" i="17"/>
  <c r="S109" i="17"/>
  <c r="U109" i="17"/>
  <c r="R109" i="17"/>
  <c r="V109" i="17"/>
  <c r="T109" i="17"/>
  <c r="R112" i="17"/>
  <c r="T112" i="17"/>
  <c r="V112" i="17"/>
  <c r="Q112" i="17"/>
  <c r="U112" i="17"/>
  <c r="S112" i="17"/>
  <c r="S113" i="17"/>
  <c r="R113" i="17"/>
  <c r="T113" i="17"/>
  <c r="T116" i="17"/>
  <c r="Q116" i="17"/>
  <c r="S116" i="17"/>
  <c r="Q117" i="17"/>
  <c r="S117" i="17"/>
  <c r="U117" i="17"/>
  <c r="R117" i="17"/>
  <c r="V117" i="17"/>
  <c r="T117" i="17"/>
  <c r="AI24" i="17"/>
  <c r="AI32" i="17"/>
  <c r="AI40" i="17"/>
  <c r="AI48" i="17"/>
  <c r="V51" i="17"/>
  <c r="AI52" i="17"/>
  <c r="U54" i="17"/>
  <c r="AI56" i="17"/>
  <c r="V59" i="17"/>
  <c r="AI60" i="17"/>
  <c r="U62" i="17"/>
  <c r="V63" i="17"/>
  <c r="AI64" i="17"/>
  <c r="V67" i="17"/>
  <c r="AI68" i="17"/>
  <c r="U70" i="17"/>
  <c r="V71" i="17"/>
  <c r="AI72" i="17"/>
  <c r="V75" i="17"/>
  <c r="AI76" i="17"/>
  <c r="U78" i="17"/>
  <c r="V79" i="17"/>
  <c r="AI80" i="17"/>
  <c r="V83" i="17"/>
  <c r="AI84" i="17"/>
  <c r="U86" i="17"/>
  <c r="V87" i="17"/>
  <c r="AI88" i="17"/>
  <c r="V91" i="17"/>
  <c r="AI92" i="17"/>
  <c r="U94" i="17"/>
  <c r="V95" i="17"/>
  <c r="AI96" i="17"/>
  <c r="V99" i="17"/>
  <c r="AI100" i="17"/>
  <c r="U102" i="17"/>
  <c r="V103" i="17"/>
  <c r="AI104" i="17"/>
  <c r="V107" i="17"/>
  <c r="AI108" i="17"/>
  <c r="U110" i="17"/>
  <c r="V111" i="17"/>
  <c r="AI112" i="17"/>
  <c r="V115" i="17"/>
  <c r="AI116" i="17"/>
  <c r="Q23" i="17"/>
  <c r="U23" i="17"/>
  <c r="V26" i="17"/>
  <c r="Q31" i="17"/>
  <c r="U31" i="17"/>
  <c r="V34" i="17"/>
  <c r="Q39" i="17"/>
  <c r="U39" i="17"/>
  <c r="V42" i="17"/>
  <c r="Q47" i="17"/>
  <c r="U47" i="17"/>
  <c r="V50" i="17"/>
  <c r="Q51" i="17"/>
  <c r="U51" i="17"/>
  <c r="V54" i="17"/>
  <c r="AI54" i="17"/>
  <c r="Q55" i="17"/>
  <c r="U55" i="17"/>
  <c r="V58" i="17"/>
  <c r="Q59" i="17"/>
  <c r="U59" i="17"/>
  <c r="R62" i="17"/>
  <c r="T62" i="17"/>
  <c r="V62" i="17"/>
  <c r="AI62" i="17"/>
  <c r="Q63" i="17"/>
  <c r="S63" i="17"/>
  <c r="U63" i="17"/>
  <c r="V66" i="17"/>
  <c r="AI66" i="17"/>
  <c r="Q67" i="17"/>
  <c r="U67" i="17"/>
  <c r="R70" i="17"/>
  <c r="T70" i="17"/>
  <c r="V70" i="17"/>
  <c r="AI70" i="17"/>
  <c r="Q71" i="17"/>
  <c r="S71" i="17"/>
  <c r="U71" i="17"/>
  <c r="V74" i="17"/>
  <c r="AI74" i="17"/>
  <c r="Q75" i="17"/>
  <c r="U75" i="17"/>
  <c r="R78" i="17"/>
  <c r="T78" i="17"/>
  <c r="V78" i="17"/>
  <c r="AI78" i="17"/>
  <c r="Q79" i="17"/>
  <c r="S79" i="17"/>
  <c r="U79" i="17"/>
  <c r="V82" i="17"/>
  <c r="AI82" i="17"/>
  <c r="Q83" i="17"/>
  <c r="U83" i="17"/>
  <c r="R86" i="17"/>
  <c r="T86" i="17"/>
  <c r="V86" i="17"/>
  <c r="AI86" i="17"/>
  <c r="Q87" i="17"/>
  <c r="S87" i="17"/>
  <c r="U87" i="17"/>
  <c r="V90" i="17"/>
  <c r="AI90" i="17"/>
  <c r="Q91" i="17"/>
  <c r="U91" i="17"/>
  <c r="R94" i="17"/>
  <c r="T94" i="17"/>
  <c r="V94" i="17"/>
  <c r="AI94" i="17"/>
  <c r="Q95" i="17"/>
  <c r="S95" i="17"/>
  <c r="U95" i="17"/>
  <c r="V98" i="17"/>
  <c r="AI98" i="17"/>
  <c r="Q99" i="17"/>
  <c r="U99" i="17"/>
  <c r="R102" i="17"/>
  <c r="T102" i="17"/>
  <c r="V102" i="17"/>
  <c r="AI102" i="17"/>
  <c r="Q103" i="17"/>
  <c r="S103" i="17"/>
  <c r="U103" i="17"/>
  <c r="V106" i="17"/>
  <c r="AI106" i="17"/>
  <c r="Q107" i="17"/>
  <c r="U107" i="17"/>
  <c r="R110" i="17"/>
  <c r="T110" i="17"/>
  <c r="V110" i="17"/>
  <c r="AI110" i="17"/>
  <c r="Q111" i="17"/>
  <c r="S111" i="17"/>
  <c r="U111" i="17"/>
  <c r="V114" i="17"/>
  <c r="AI114" i="17"/>
  <c r="Q115" i="17"/>
  <c r="U115" i="17"/>
  <c r="U119" i="17"/>
  <c r="U121" i="17"/>
  <c r="U123" i="17"/>
  <c r="U125" i="17"/>
  <c r="U127" i="17"/>
  <c r="U129" i="17"/>
  <c r="U131" i="17"/>
  <c r="U133" i="17"/>
  <c r="U135" i="17"/>
  <c r="U137" i="17"/>
  <c r="U138" i="17"/>
  <c r="U139" i="17"/>
  <c r="R141" i="17"/>
  <c r="T141" i="17"/>
  <c r="V141" i="17"/>
  <c r="Q141" i="17"/>
  <c r="S141" i="17"/>
  <c r="U141" i="17"/>
  <c r="R143" i="17"/>
  <c r="T143" i="17"/>
  <c r="V143" i="17"/>
  <c r="Q143" i="17"/>
  <c r="S143" i="17"/>
  <c r="U143" i="17"/>
  <c r="R145" i="17"/>
  <c r="T145" i="17"/>
  <c r="V145" i="17"/>
  <c r="Q145" i="17"/>
  <c r="S145" i="17"/>
  <c r="U145" i="17"/>
  <c r="R147" i="17"/>
  <c r="T147" i="17"/>
  <c r="V147" i="17"/>
  <c r="Q147" i="17"/>
  <c r="S147" i="17"/>
  <c r="U147" i="17"/>
  <c r="R149" i="17"/>
  <c r="T149" i="17"/>
  <c r="V149" i="17"/>
  <c r="Q149" i="17"/>
  <c r="S149" i="17"/>
  <c r="U149" i="17"/>
  <c r="R151" i="17"/>
  <c r="T151" i="17"/>
  <c r="V151" i="17"/>
  <c r="Q151" i="17"/>
  <c r="S151" i="17"/>
  <c r="U151" i="17"/>
  <c r="R153" i="17"/>
  <c r="T153" i="17"/>
  <c r="V153" i="17"/>
  <c r="Q153" i="17"/>
  <c r="S153" i="17"/>
  <c r="U153" i="17"/>
  <c r="R155" i="17"/>
  <c r="T155" i="17"/>
  <c r="V155" i="17"/>
  <c r="Q155" i="17"/>
  <c r="S155" i="17"/>
  <c r="U155" i="17"/>
  <c r="R157" i="17"/>
  <c r="T157" i="17"/>
  <c r="V157" i="17"/>
  <c r="Q157" i="17"/>
  <c r="S157" i="17"/>
  <c r="U157" i="17"/>
  <c r="R159" i="17"/>
  <c r="T159" i="17"/>
  <c r="V159" i="17"/>
  <c r="Q159" i="17"/>
  <c r="S159" i="17"/>
  <c r="U159" i="17"/>
  <c r="R161" i="17"/>
  <c r="T161" i="17"/>
  <c r="V161" i="17"/>
  <c r="Q161" i="17"/>
  <c r="S161" i="17"/>
  <c r="U161" i="17"/>
  <c r="R163" i="17"/>
  <c r="T163" i="17"/>
  <c r="V163" i="17"/>
  <c r="Q163" i="17"/>
  <c r="S163" i="17"/>
  <c r="U163" i="17"/>
  <c r="R165" i="17"/>
  <c r="T165" i="17"/>
  <c r="V165" i="17"/>
  <c r="Q165" i="17"/>
  <c r="S165" i="17"/>
  <c r="U165" i="17"/>
  <c r="R167" i="17"/>
  <c r="T167" i="17"/>
  <c r="V167" i="17"/>
  <c r="Q167" i="17"/>
  <c r="S167" i="17"/>
  <c r="U167" i="17"/>
  <c r="R169" i="17"/>
  <c r="T169" i="17"/>
  <c r="V169" i="17"/>
  <c r="Q169" i="17"/>
  <c r="S169" i="17"/>
  <c r="U169" i="17"/>
  <c r="R171" i="17"/>
  <c r="T171" i="17"/>
  <c r="V171" i="17"/>
  <c r="Q171" i="17"/>
  <c r="S171" i="17"/>
  <c r="U171" i="17"/>
  <c r="R173" i="17"/>
  <c r="T173" i="17"/>
  <c r="V173" i="17"/>
  <c r="Q173" i="17"/>
  <c r="S173" i="17"/>
  <c r="U173" i="17"/>
  <c r="R175" i="17"/>
  <c r="T175" i="17"/>
  <c r="V175" i="17"/>
  <c r="Q175" i="17"/>
  <c r="S175" i="17"/>
  <c r="U175" i="17"/>
  <c r="R177" i="17"/>
  <c r="T177" i="17"/>
  <c r="V177" i="17"/>
  <c r="Q177" i="17"/>
  <c r="S177" i="17"/>
  <c r="U177" i="17"/>
  <c r="R179" i="17"/>
  <c r="T179" i="17"/>
  <c r="V179" i="17"/>
  <c r="Q179" i="17"/>
  <c r="S179" i="17"/>
  <c r="U179" i="17"/>
  <c r="R181" i="17"/>
  <c r="T181" i="17"/>
  <c r="V181" i="17"/>
  <c r="Q181" i="17"/>
  <c r="S181" i="17"/>
  <c r="U181" i="17"/>
  <c r="R183" i="17"/>
  <c r="T183" i="17"/>
  <c r="V183" i="17"/>
  <c r="Q183" i="17"/>
  <c r="S183" i="17"/>
  <c r="U183" i="17"/>
  <c r="R185" i="17"/>
  <c r="T185" i="17"/>
  <c r="V185" i="17"/>
  <c r="Q185" i="17"/>
  <c r="S185" i="17"/>
  <c r="U185" i="17"/>
  <c r="R187" i="17"/>
  <c r="T187" i="17"/>
  <c r="V187" i="17"/>
  <c r="Q187" i="17"/>
  <c r="S187" i="17"/>
  <c r="U187" i="17"/>
  <c r="R189" i="17"/>
  <c r="T189" i="17"/>
  <c r="V189" i="17"/>
  <c r="Q189" i="17"/>
  <c r="S189" i="17"/>
  <c r="U189" i="17"/>
  <c r="R191" i="17"/>
  <c r="T191" i="17"/>
  <c r="V191" i="17"/>
  <c r="Q191" i="17"/>
  <c r="S191" i="17"/>
  <c r="U191" i="17"/>
  <c r="R193" i="17"/>
  <c r="T193" i="17"/>
  <c r="V193" i="17"/>
  <c r="Q193" i="17"/>
  <c r="S193" i="17"/>
  <c r="U193" i="17"/>
  <c r="R195" i="17"/>
  <c r="T195" i="17"/>
  <c r="V195" i="17"/>
  <c r="Q195" i="17"/>
  <c r="S195" i="17"/>
  <c r="U195" i="17"/>
  <c r="R197" i="17"/>
  <c r="T197" i="17"/>
  <c r="V197" i="17"/>
  <c r="Q197" i="17"/>
  <c r="S197" i="17"/>
  <c r="U197" i="17"/>
  <c r="R199" i="17"/>
  <c r="T199" i="17"/>
  <c r="V199" i="17"/>
  <c r="Q199" i="17"/>
  <c r="S199" i="17"/>
  <c r="U199" i="17"/>
  <c r="R201" i="17"/>
  <c r="T201" i="17"/>
  <c r="V201" i="17"/>
  <c r="Q201" i="17"/>
  <c r="S201" i="17"/>
  <c r="U201" i="17"/>
  <c r="R203" i="17"/>
  <c r="T203" i="17"/>
  <c r="V203" i="17"/>
  <c r="Q203" i="17"/>
  <c r="S203" i="17"/>
  <c r="U203" i="17"/>
  <c r="R205" i="17"/>
  <c r="T205" i="17"/>
  <c r="V205" i="17"/>
  <c r="Q205" i="17"/>
  <c r="S205" i="17"/>
  <c r="U205" i="17"/>
  <c r="R207" i="17"/>
  <c r="T207" i="17"/>
  <c r="V207" i="17"/>
  <c r="Q207" i="17"/>
  <c r="S207" i="17"/>
  <c r="U207" i="17"/>
  <c r="R209" i="17"/>
  <c r="T209" i="17"/>
  <c r="V209" i="17"/>
  <c r="Q209" i="17"/>
  <c r="S209" i="17"/>
  <c r="U209" i="17"/>
  <c r="R211" i="17"/>
  <c r="T211" i="17"/>
  <c r="V211" i="17"/>
  <c r="Q211" i="17"/>
  <c r="S211" i="17"/>
  <c r="U211" i="17"/>
  <c r="R213" i="17"/>
  <c r="T213" i="17"/>
  <c r="V213" i="17"/>
  <c r="Q213" i="17"/>
  <c r="S213" i="17"/>
  <c r="U213" i="17"/>
  <c r="R215" i="17"/>
  <c r="T215" i="17"/>
  <c r="V215" i="17"/>
  <c r="Q215" i="17"/>
  <c r="S215" i="17"/>
  <c r="U215" i="17"/>
  <c r="R217" i="17"/>
  <c r="T217" i="17"/>
  <c r="V217" i="17"/>
  <c r="Q217" i="17"/>
  <c r="S217" i="17"/>
  <c r="U217" i="17"/>
  <c r="R219" i="17"/>
  <c r="T219" i="17"/>
  <c r="V219" i="17"/>
  <c r="Q219" i="17"/>
  <c r="S219" i="17"/>
  <c r="U219" i="17"/>
  <c r="R221" i="17"/>
  <c r="T221" i="17"/>
  <c r="V221" i="17"/>
  <c r="Q221" i="17"/>
  <c r="S221" i="17"/>
  <c r="U221" i="17"/>
  <c r="R223" i="17"/>
  <c r="T223" i="17"/>
  <c r="V223" i="17"/>
  <c r="Q223" i="17"/>
  <c r="S223" i="17"/>
  <c r="U223" i="17"/>
  <c r="R225" i="17"/>
  <c r="T225" i="17"/>
  <c r="V225" i="17"/>
  <c r="Q225" i="17"/>
  <c r="S225" i="17"/>
  <c r="U225" i="17"/>
  <c r="R227" i="17"/>
  <c r="T227" i="17"/>
  <c r="V227" i="17"/>
  <c r="Q227" i="17"/>
  <c r="S227" i="17"/>
  <c r="U227" i="17"/>
  <c r="R229" i="17"/>
  <c r="T229" i="17"/>
  <c r="V229" i="17"/>
  <c r="Q229" i="17"/>
  <c r="S229" i="17"/>
  <c r="U229" i="17"/>
  <c r="R231" i="17"/>
  <c r="T231" i="17"/>
  <c r="V231" i="17"/>
  <c r="Q231" i="17"/>
  <c r="S231" i="17"/>
  <c r="U231" i="17"/>
  <c r="R233" i="17"/>
  <c r="T233" i="17"/>
  <c r="V233" i="17"/>
  <c r="Q233" i="17"/>
  <c r="S233" i="17"/>
  <c r="U233" i="17"/>
  <c r="R235" i="17"/>
  <c r="T235" i="17"/>
  <c r="V235" i="17"/>
  <c r="Q235" i="17"/>
  <c r="S235" i="17"/>
  <c r="U235" i="17"/>
  <c r="R237" i="17"/>
  <c r="T237" i="17"/>
  <c r="V237" i="17"/>
  <c r="Q237" i="17"/>
  <c r="S237" i="17"/>
  <c r="U237" i="17"/>
  <c r="R239" i="17"/>
  <c r="T239" i="17"/>
  <c r="V239" i="17"/>
  <c r="Q239" i="17"/>
  <c r="S239" i="17"/>
  <c r="U239" i="17"/>
  <c r="R241" i="17"/>
  <c r="T241" i="17"/>
  <c r="V241" i="17"/>
  <c r="Q241" i="17"/>
  <c r="S241" i="17"/>
  <c r="U241" i="17"/>
  <c r="R243" i="17"/>
  <c r="T243" i="17"/>
  <c r="V243" i="17"/>
  <c r="Q243" i="17"/>
  <c r="S243" i="17"/>
  <c r="U243" i="17"/>
  <c r="R245" i="17"/>
  <c r="T245" i="17"/>
  <c r="V245" i="17"/>
  <c r="Q245" i="17"/>
  <c r="S245" i="17"/>
  <c r="U245" i="17"/>
  <c r="R247" i="17"/>
  <c r="T247" i="17"/>
  <c r="V247" i="17"/>
  <c r="Q247" i="17"/>
  <c r="S247" i="17"/>
  <c r="U247" i="17"/>
  <c r="R249" i="17"/>
  <c r="T249" i="17"/>
  <c r="V249" i="17"/>
  <c r="Q249" i="17"/>
  <c r="S249" i="17"/>
  <c r="U249" i="17"/>
  <c r="R251" i="17"/>
  <c r="T251" i="17"/>
  <c r="V251" i="17"/>
  <c r="Q251" i="17"/>
  <c r="S251" i="17"/>
  <c r="U251" i="17"/>
  <c r="R253" i="17"/>
  <c r="T253" i="17"/>
  <c r="V253" i="17"/>
  <c r="Q253" i="17"/>
  <c r="S253" i="17"/>
  <c r="U253" i="17"/>
  <c r="R255" i="17"/>
  <c r="T255" i="17"/>
  <c r="V255" i="17"/>
  <c r="Q255" i="17"/>
  <c r="S255" i="17"/>
  <c r="U255" i="17"/>
  <c r="R257" i="17"/>
  <c r="T257" i="17"/>
  <c r="V257" i="17"/>
  <c r="S257" i="17"/>
  <c r="Q257" i="17"/>
  <c r="U257" i="17"/>
  <c r="R259" i="17"/>
  <c r="T259" i="17"/>
  <c r="V259" i="17"/>
  <c r="S259" i="17"/>
  <c r="Q259" i="17"/>
  <c r="U259" i="17"/>
  <c r="R261" i="17"/>
  <c r="T261" i="17"/>
  <c r="V261" i="17"/>
  <c r="S261" i="17"/>
  <c r="Q261" i="17"/>
  <c r="U261" i="17"/>
  <c r="R263" i="17"/>
  <c r="T263" i="17"/>
  <c r="V263" i="17"/>
  <c r="S263" i="17"/>
  <c r="Q263" i="17"/>
  <c r="U263" i="17"/>
  <c r="R265" i="17"/>
  <c r="T265" i="17"/>
  <c r="V265" i="17"/>
  <c r="S265" i="17"/>
  <c r="Q265" i="17"/>
  <c r="U265" i="17"/>
  <c r="R267" i="17"/>
  <c r="T267" i="17"/>
  <c r="V267" i="17"/>
  <c r="S267" i="17"/>
  <c r="Q267" i="17"/>
  <c r="U267" i="17"/>
  <c r="V118" i="17"/>
  <c r="AI118" i="17"/>
  <c r="R119" i="17"/>
  <c r="T119" i="17"/>
  <c r="AI119" i="17"/>
  <c r="V120" i="17"/>
  <c r="AI120" i="17"/>
  <c r="R121" i="17"/>
  <c r="T121" i="17"/>
  <c r="AI121" i="17"/>
  <c r="V122" i="17"/>
  <c r="AI122" i="17"/>
  <c r="R123" i="17"/>
  <c r="T123" i="17"/>
  <c r="AI123" i="17"/>
  <c r="V124" i="17"/>
  <c r="AI124" i="17"/>
  <c r="R125" i="17"/>
  <c r="T125" i="17"/>
  <c r="AI125" i="17"/>
  <c r="V126" i="17"/>
  <c r="AI126" i="17"/>
  <c r="R127" i="17"/>
  <c r="T127" i="17"/>
  <c r="AI127" i="17"/>
  <c r="V128" i="17"/>
  <c r="AI128" i="17"/>
  <c r="R129" i="17"/>
  <c r="T129" i="17"/>
  <c r="AI129" i="17"/>
  <c r="V130" i="17"/>
  <c r="AI130" i="17"/>
  <c r="R131" i="17"/>
  <c r="T131" i="17"/>
  <c r="AI131" i="17"/>
  <c r="V132" i="17"/>
  <c r="AI132" i="17"/>
  <c r="R133" i="17"/>
  <c r="T133" i="17"/>
  <c r="AI133" i="17"/>
  <c r="V134" i="17"/>
  <c r="AI134" i="17"/>
  <c r="R135" i="17"/>
  <c r="T135" i="17"/>
  <c r="AI135" i="17"/>
  <c r="V136" i="17"/>
  <c r="AI136" i="17"/>
  <c r="R137" i="17"/>
  <c r="T137" i="17"/>
  <c r="V137" i="17"/>
  <c r="AI137" i="17"/>
  <c r="R138" i="17"/>
  <c r="T138" i="17"/>
  <c r="V138" i="17"/>
  <c r="AI138" i="17"/>
  <c r="R139" i="17"/>
  <c r="T139" i="17"/>
  <c r="V139" i="17"/>
  <c r="AI139" i="17"/>
  <c r="R140" i="17"/>
  <c r="T140" i="17"/>
  <c r="V140" i="17"/>
  <c r="Q140" i="17"/>
  <c r="S140" i="17"/>
  <c r="U140" i="17"/>
  <c r="R142" i="17"/>
  <c r="T142" i="17"/>
  <c r="V142" i="17"/>
  <c r="Q142" i="17"/>
  <c r="S142" i="17"/>
  <c r="U142" i="17"/>
  <c r="R144" i="17"/>
  <c r="T144" i="17"/>
  <c r="V144" i="17"/>
  <c r="Q144" i="17"/>
  <c r="S144" i="17"/>
  <c r="U144" i="17"/>
  <c r="R146" i="17"/>
  <c r="T146" i="17"/>
  <c r="V146" i="17"/>
  <c r="Q146" i="17"/>
  <c r="S146" i="17"/>
  <c r="U146" i="17"/>
  <c r="R148" i="17"/>
  <c r="T148" i="17"/>
  <c r="V148" i="17"/>
  <c r="Q148" i="17"/>
  <c r="S148" i="17"/>
  <c r="U148" i="17"/>
  <c r="R150" i="17"/>
  <c r="T150" i="17"/>
  <c r="V150" i="17"/>
  <c r="Q150" i="17"/>
  <c r="S150" i="17"/>
  <c r="U150" i="17"/>
  <c r="R152" i="17"/>
  <c r="T152" i="17"/>
  <c r="V152" i="17"/>
  <c r="Q152" i="17"/>
  <c r="S152" i="17"/>
  <c r="U152" i="17"/>
  <c r="R154" i="17"/>
  <c r="T154" i="17"/>
  <c r="V154" i="17"/>
  <c r="Q154" i="17"/>
  <c r="S154" i="17"/>
  <c r="U154" i="17"/>
  <c r="R156" i="17"/>
  <c r="T156" i="17"/>
  <c r="V156" i="17"/>
  <c r="Q156" i="17"/>
  <c r="S156" i="17"/>
  <c r="U156" i="17"/>
  <c r="R158" i="17"/>
  <c r="T158" i="17"/>
  <c r="V158" i="17"/>
  <c r="Q158" i="17"/>
  <c r="S158" i="17"/>
  <c r="U158" i="17"/>
  <c r="R160" i="17"/>
  <c r="T160" i="17"/>
  <c r="V160" i="17"/>
  <c r="Q160" i="17"/>
  <c r="S160" i="17"/>
  <c r="U160" i="17"/>
  <c r="R162" i="17"/>
  <c r="T162" i="17"/>
  <c r="V162" i="17"/>
  <c r="Q162" i="17"/>
  <c r="S162" i="17"/>
  <c r="U162" i="17"/>
  <c r="R164" i="17"/>
  <c r="T164" i="17"/>
  <c r="V164" i="17"/>
  <c r="Q164" i="17"/>
  <c r="S164" i="17"/>
  <c r="U164" i="17"/>
  <c r="R166" i="17"/>
  <c r="T166" i="17"/>
  <c r="V166" i="17"/>
  <c r="Q166" i="17"/>
  <c r="S166" i="17"/>
  <c r="U166" i="17"/>
  <c r="R168" i="17"/>
  <c r="T168" i="17"/>
  <c r="V168" i="17"/>
  <c r="Q168" i="17"/>
  <c r="S168" i="17"/>
  <c r="U168" i="17"/>
  <c r="R170" i="17"/>
  <c r="T170" i="17"/>
  <c r="V170" i="17"/>
  <c r="Q170" i="17"/>
  <c r="S170" i="17"/>
  <c r="U170" i="17"/>
  <c r="R172" i="17"/>
  <c r="T172" i="17"/>
  <c r="V172" i="17"/>
  <c r="Q172" i="17"/>
  <c r="S172" i="17"/>
  <c r="U172" i="17"/>
  <c r="R174" i="17"/>
  <c r="T174" i="17"/>
  <c r="V174" i="17"/>
  <c r="Q174" i="17"/>
  <c r="S174" i="17"/>
  <c r="U174" i="17"/>
  <c r="R176" i="17"/>
  <c r="T176" i="17"/>
  <c r="V176" i="17"/>
  <c r="Q176" i="17"/>
  <c r="S176" i="17"/>
  <c r="U176" i="17"/>
  <c r="R178" i="17"/>
  <c r="T178" i="17"/>
  <c r="V178" i="17"/>
  <c r="Q178" i="17"/>
  <c r="S178" i="17"/>
  <c r="U178" i="17"/>
  <c r="R180" i="17"/>
  <c r="T180" i="17"/>
  <c r="V180" i="17"/>
  <c r="Q180" i="17"/>
  <c r="S180" i="17"/>
  <c r="U180" i="17"/>
  <c r="R182" i="17"/>
  <c r="T182" i="17"/>
  <c r="V182" i="17"/>
  <c r="Q182" i="17"/>
  <c r="S182" i="17"/>
  <c r="U182" i="17"/>
  <c r="R184" i="17"/>
  <c r="T184" i="17"/>
  <c r="V184" i="17"/>
  <c r="Q184" i="17"/>
  <c r="S184" i="17"/>
  <c r="U184" i="17"/>
  <c r="R186" i="17"/>
  <c r="T186" i="17"/>
  <c r="V186" i="17"/>
  <c r="Q186" i="17"/>
  <c r="S186" i="17"/>
  <c r="U186" i="17"/>
  <c r="R188" i="17"/>
  <c r="T188" i="17"/>
  <c r="V188" i="17"/>
  <c r="Q188" i="17"/>
  <c r="S188" i="17"/>
  <c r="U188" i="17"/>
  <c r="R190" i="17"/>
  <c r="T190" i="17"/>
  <c r="V190" i="17"/>
  <c r="Q190" i="17"/>
  <c r="S190" i="17"/>
  <c r="U190" i="17"/>
  <c r="R192" i="17"/>
  <c r="T192" i="17"/>
  <c r="V192" i="17"/>
  <c r="Q192" i="17"/>
  <c r="S192" i="17"/>
  <c r="U192" i="17"/>
  <c r="R194" i="17"/>
  <c r="T194" i="17"/>
  <c r="V194" i="17"/>
  <c r="Q194" i="17"/>
  <c r="S194" i="17"/>
  <c r="U194" i="17"/>
  <c r="R196" i="17"/>
  <c r="T196" i="17"/>
  <c r="V196" i="17"/>
  <c r="Q196" i="17"/>
  <c r="S196" i="17"/>
  <c r="U196" i="17"/>
  <c r="R198" i="17"/>
  <c r="T198" i="17"/>
  <c r="V198" i="17"/>
  <c r="Q198" i="17"/>
  <c r="S198" i="17"/>
  <c r="U198" i="17"/>
  <c r="R200" i="17"/>
  <c r="T200" i="17"/>
  <c r="V200" i="17"/>
  <c r="Q200" i="17"/>
  <c r="S200" i="17"/>
  <c r="U200" i="17"/>
  <c r="R202" i="17"/>
  <c r="T202" i="17"/>
  <c r="V202" i="17"/>
  <c r="Q202" i="17"/>
  <c r="S202" i="17"/>
  <c r="U202" i="17"/>
  <c r="R204" i="17"/>
  <c r="T204" i="17"/>
  <c r="V204" i="17"/>
  <c r="Q204" i="17"/>
  <c r="S204" i="17"/>
  <c r="U204" i="17"/>
  <c r="R206" i="17"/>
  <c r="T206" i="17"/>
  <c r="V206" i="17"/>
  <c r="Q206" i="17"/>
  <c r="S206" i="17"/>
  <c r="U206" i="17"/>
  <c r="R208" i="17"/>
  <c r="T208" i="17"/>
  <c r="V208" i="17"/>
  <c r="Q208" i="17"/>
  <c r="S208" i="17"/>
  <c r="U208" i="17"/>
  <c r="R210" i="17"/>
  <c r="T210" i="17"/>
  <c r="V210" i="17"/>
  <c r="Q210" i="17"/>
  <c r="S210" i="17"/>
  <c r="U210" i="17"/>
  <c r="R212" i="17"/>
  <c r="T212" i="17"/>
  <c r="V212" i="17"/>
  <c r="Q212" i="17"/>
  <c r="S212" i="17"/>
  <c r="U212" i="17"/>
  <c r="R214" i="17"/>
  <c r="T214" i="17"/>
  <c r="V214" i="17"/>
  <c r="Q214" i="17"/>
  <c r="S214" i="17"/>
  <c r="U214" i="17"/>
  <c r="R216" i="17"/>
  <c r="T216" i="17"/>
  <c r="V216" i="17"/>
  <c r="Q216" i="17"/>
  <c r="S216" i="17"/>
  <c r="U216" i="17"/>
  <c r="R218" i="17"/>
  <c r="T218" i="17"/>
  <c r="V218" i="17"/>
  <c r="Q218" i="17"/>
  <c r="S218" i="17"/>
  <c r="U218" i="17"/>
  <c r="R220" i="17"/>
  <c r="T220" i="17"/>
  <c r="V220" i="17"/>
  <c r="Q220" i="17"/>
  <c r="S220" i="17"/>
  <c r="U220" i="17"/>
  <c r="R222" i="17"/>
  <c r="T222" i="17"/>
  <c r="V222" i="17"/>
  <c r="Q222" i="17"/>
  <c r="S222" i="17"/>
  <c r="U222" i="17"/>
  <c r="R224" i="17"/>
  <c r="T224" i="17"/>
  <c r="V224" i="17"/>
  <c r="Q224" i="17"/>
  <c r="S224" i="17"/>
  <c r="U224" i="17"/>
  <c r="R226" i="17"/>
  <c r="T226" i="17"/>
  <c r="V226" i="17"/>
  <c r="Q226" i="17"/>
  <c r="S226" i="17"/>
  <c r="U226" i="17"/>
  <c r="R228" i="17"/>
  <c r="T228" i="17"/>
  <c r="V228" i="17"/>
  <c r="Q228" i="17"/>
  <c r="S228" i="17"/>
  <c r="U228" i="17"/>
  <c r="R230" i="17"/>
  <c r="T230" i="17"/>
  <c r="V230" i="17"/>
  <c r="Q230" i="17"/>
  <c r="S230" i="17"/>
  <c r="U230" i="17"/>
  <c r="R232" i="17"/>
  <c r="T232" i="17"/>
  <c r="V232" i="17"/>
  <c r="Q232" i="17"/>
  <c r="S232" i="17"/>
  <c r="U232" i="17"/>
  <c r="R234" i="17"/>
  <c r="T234" i="17"/>
  <c r="V234" i="17"/>
  <c r="Q234" i="17"/>
  <c r="S234" i="17"/>
  <c r="U234" i="17"/>
  <c r="R236" i="17"/>
  <c r="T236" i="17"/>
  <c r="V236" i="17"/>
  <c r="Q236" i="17"/>
  <c r="S236" i="17"/>
  <c r="U236" i="17"/>
  <c r="R238" i="17"/>
  <c r="T238" i="17"/>
  <c r="V238" i="17"/>
  <c r="Q238" i="17"/>
  <c r="S238" i="17"/>
  <c r="U238" i="17"/>
  <c r="R240" i="17"/>
  <c r="T240" i="17"/>
  <c r="V240" i="17"/>
  <c r="Q240" i="17"/>
  <c r="S240" i="17"/>
  <c r="U240" i="17"/>
  <c r="R242" i="17"/>
  <c r="T242" i="17"/>
  <c r="V242" i="17"/>
  <c r="Q242" i="17"/>
  <c r="S242" i="17"/>
  <c r="U242" i="17"/>
  <c r="R244" i="17"/>
  <c r="T244" i="17"/>
  <c r="V244" i="17"/>
  <c r="Q244" i="17"/>
  <c r="S244" i="17"/>
  <c r="U244" i="17"/>
  <c r="R246" i="17"/>
  <c r="T246" i="17"/>
  <c r="V246" i="17"/>
  <c r="Q246" i="17"/>
  <c r="S246" i="17"/>
  <c r="U246" i="17"/>
  <c r="R248" i="17"/>
  <c r="T248" i="17"/>
  <c r="V248" i="17"/>
  <c r="Q248" i="17"/>
  <c r="S248" i="17"/>
  <c r="U248" i="17"/>
  <c r="R250" i="17"/>
  <c r="T250" i="17"/>
  <c r="V250" i="17"/>
  <c r="Q250" i="17"/>
  <c r="S250" i="17"/>
  <c r="U250" i="17"/>
  <c r="R252" i="17"/>
  <c r="T252" i="17"/>
  <c r="V252" i="17"/>
  <c r="Q252" i="17"/>
  <c r="S252" i="17"/>
  <c r="U252" i="17"/>
  <c r="R254" i="17"/>
  <c r="T254" i="17"/>
  <c r="V254" i="17"/>
  <c r="Q254" i="17"/>
  <c r="S254" i="17"/>
  <c r="U254" i="17"/>
  <c r="R256" i="17"/>
  <c r="T256" i="17"/>
  <c r="V256" i="17"/>
  <c r="S256" i="17"/>
  <c r="Q256" i="17"/>
  <c r="U256" i="17"/>
  <c r="R258" i="17"/>
  <c r="T258" i="17"/>
  <c r="V258" i="17"/>
  <c r="S258" i="17"/>
  <c r="Q258" i="17"/>
  <c r="U258" i="17"/>
  <c r="R260" i="17"/>
  <c r="T260" i="17"/>
  <c r="V260" i="17"/>
  <c r="S260" i="17"/>
  <c r="Q260" i="17"/>
  <c r="U260" i="17"/>
  <c r="R262" i="17"/>
  <c r="T262" i="17"/>
  <c r="V262" i="17"/>
  <c r="S262" i="17"/>
  <c r="Q262" i="17"/>
  <c r="U262" i="17"/>
  <c r="R264" i="17"/>
  <c r="T264" i="17"/>
  <c r="V264" i="17"/>
  <c r="S264" i="17"/>
  <c r="Q264" i="17"/>
  <c r="U264" i="17"/>
  <c r="R266" i="17"/>
  <c r="T266" i="17"/>
  <c r="V266" i="17"/>
  <c r="S266" i="17"/>
  <c r="Q266" i="17"/>
  <c r="U266" i="17"/>
  <c r="AI255" i="17"/>
  <c r="AI256" i="17"/>
  <c r="AI257" i="17"/>
  <c r="AI258" i="17"/>
  <c r="AI259" i="17"/>
  <c r="AI260" i="17"/>
  <c r="AI261" i="17"/>
  <c r="AI262" i="17"/>
  <c r="AI263" i="17"/>
  <c r="AI264" i="17"/>
  <c r="AI265" i="17"/>
  <c r="AI266" i="17"/>
  <c r="AI267" i="17"/>
  <c r="W264" i="17"/>
  <c r="W260" i="17"/>
  <c r="W256" i="17"/>
  <c r="W265" i="17"/>
  <c r="W261" i="17"/>
  <c r="W257" i="17"/>
  <c r="W112" i="17"/>
  <c r="W104" i="17"/>
  <c r="W96" i="17"/>
  <c r="W88" i="17"/>
  <c r="W80" i="17"/>
  <c r="W72" i="17"/>
  <c r="W64" i="17"/>
  <c r="W254" i="17"/>
  <c r="W252" i="17"/>
  <c r="W250" i="17"/>
  <c r="W248" i="17"/>
  <c r="W246" i="17"/>
  <c r="W244" i="17"/>
  <c r="W242" i="17"/>
  <c r="W240" i="17"/>
  <c r="W238" i="17"/>
  <c r="W236" i="17"/>
  <c r="W234" i="17"/>
  <c r="W232" i="17"/>
  <c r="W230" i="17"/>
  <c r="W228" i="17"/>
  <c r="W226" i="17"/>
  <c r="W224" i="17"/>
  <c r="W222" i="17"/>
  <c r="W220" i="17"/>
  <c r="W218" i="17"/>
  <c r="W216" i="17"/>
  <c r="W214" i="17"/>
  <c r="W212" i="17"/>
  <c r="W210" i="17"/>
  <c r="W208" i="17"/>
  <c r="W206" i="17"/>
  <c r="W204" i="17"/>
  <c r="W202" i="17"/>
  <c r="W200" i="17"/>
  <c r="W198" i="17"/>
  <c r="W196" i="17"/>
  <c r="W194" i="17"/>
  <c r="W192" i="17"/>
  <c r="W190" i="17"/>
  <c r="W188" i="17"/>
  <c r="W186" i="17"/>
  <c r="W184" i="17"/>
  <c r="W182" i="17"/>
  <c r="W180" i="17"/>
  <c r="W178" i="17"/>
  <c r="W176" i="17"/>
  <c r="W174" i="17"/>
  <c r="W172" i="17"/>
  <c r="W170" i="17"/>
  <c r="W168" i="17"/>
  <c r="W166" i="17"/>
  <c r="W164" i="17"/>
  <c r="W162" i="17"/>
  <c r="W160" i="17"/>
  <c r="W158" i="17"/>
  <c r="W156" i="17"/>
  <c r="W154" i="17"/>
  <c r="W152" i="17"/>
  <c r="W150" i="17"/>
  <c r="W148" i="17"/>
  <c r="W146" i="17"/>
  <c r="W144" i="17"/>
  <c r="W142" i="17"/>
  <c r="W140" i="17"/>
  <c r="W255" i="17"/>
  <c r="W253" i="17"/>
  <c r="W251" i="17"/>
  <c r="W249" i="17"/>
  <c r="W247" i="17"/>
  <c r="W245" i="17"/>
  <c r="W243" i="17"/>
  <c r="W241" i="17"/>
  <c r="W239" i="17"/>
  <c r="W237" i="17"/>
  <c r="W235" i="17"/>
  <c r="W233" i="17"/>
  <c r="W231" i="17"/>
  <c r="W229" i="17"/>
  <c r="W227" i="17"/>
  <c r="W225" i="17"/>
  <c r="W223" i="17"/>
  <c r="W221" i="17"/>
  <c r="W219" i="17"/>
  <c r="W217" i="17"/>
  <c r="W215" i="17"/>
  <c r="W213" i="17"/>
  <c r="W211" i="17"/>
  <c r="W209" i="17"/>
  <c r="W207" i="17"/>
  <c r="W205" i="17"/>
  <c r="W203" i="17"/>
  <c r="W201" i="17"/>
  <c r="W199" i="17"/>
  <c r="W197" i="17"/>
  <c r="W195" i="17"/>
  <c r="W193" i="17"/>
  <c r="W191" i="17"/>
  <c r="W189" i="17"/>
  <c r="W187" i="17"/>
  <c r="W185" i="17"/>
  <c r="W183" i="17"/>
  <c r="W181" i="17"/>
  <c r="W179" i="17"/>
  <c r="W177" i="17"/>
  <c r="W175" i="17"/>
  <c r="W173" i="17"/>
  <c r="W171" i="17"/>
  <c r="W169" i="17"/>
  <c r="W167" i="17"/>
  <c r="W165" i="17"/>
  <c r="W163" i="17"/>
  <c r="W161" i="17"/>
  <c r="W159" i="17"/>
  <c r="W157" i="17"/>
  <c r="W155" i="17"/>
  <c r="W153" i="17"/>
  <c r="W151" i="17"/>
  <c r="W149" i="17"/>
  <c r="W147" i="17"/>
  <c r="W145" i="17"/>
  <c r="W143" i="17"/>
  <c r="W141" i="17"/>
  <c r="W117" i="17"/>
  <c r="W109" i="17"/>
  <c r="W101" i="17"/>
  <c r="W93" i="17"/>
  <c r="W85" i="17"/>
  <c r="W77" i="17"/>
  <c r="W69" i="17"/>
  <c r="P16" i="17" l="1"/>
  <c r="B3" i="18"/>
  <c r="CW19" i="4"/>
  <c r="T19" i="17"/>
  <c r="S19" i="17"/>
  <c r="Q19" i="17"/>
  <c r="R19" i="17"/>
  <c r="V19" i="17"/>
  <c r="U19" i="17"/>
  <c r="T27" i="17"/>
  <c r="S27" i="17"/>
  <c r="V27" i="17"/>
  <c r="Q27" i="17"/>
  <c r="R27" i="17"/>
  <c r="U27" i="17"/>
  <c r="T35" i="17"/>
  <c r="S35" i="17"/>
  <c r="Q35" i="17"/>
  <c r="R35" i="17"/>
  <c r="V35" i="17"/>
  <c r="U35" i="17"/>
  <c r="T43" i="17"/>
  <c r="S43" i="17"/>
  <c r="V43" i="17"/>
  <c r="Q43" i="17"/>
  <c r="R43" i="17"/>
  <c r="U43" i="17"/>
  <c r="Q21" i="17"/>
  <c r="U21" i="17"/>
  <c r="V21" i="17"/>
  <c r="S21" i="17"/>
  <c r="T21" i="17"/>
  <c r="R21" i="17"/>
  <c r="Q22" i="17"/>
  <c r="R22" i="17"/>
  <c r="T22" i="17"/>
  <c r="U22" i="17"/>
  <c r="S22" i="17"/>
  <c r="V22" i="17"/>
  <c r="R24" i="17"/>
  <c r="V24" i="17"/>
  <c r="U24" i="17"/>
  <c r="Q24" i="17"/>
  <c r="T24" i="17"/>
  <c r="S24" i="17"/>
  <c r="Q29" i="17"/>
  <c r="U29" i="17"/>
  <c r="V29" i="17"/>
  <c r="S29" i="17"/>
  <c r="T29" i="17"/>
  <c r="R29" i="17"/>
  <c r="Q30" i="17"/>
  <c r="R30" i="17"/>
  <c r="T30" i="17"/>
  <c r="S30" i="17"/>
  <c r="U30" i="17"/>
  <c r="V30" i="17"/>
  <c r="R32" i="17"/>
  <c r="V32" i="17"/>
  <c r="U32" i="17"/>
  <c r="Q32" i="17"/>
  <c r="T32" i="17"/>
  <c r="S32" i="17"/>
  <c r="Q37" i="17"/>
  <c r="U37" i="17"/>
  <c r="V37" i="17"/>
  <c r="S37" i="17"/>
  <c r="T37" i="17"/>
  <c r="R37" i="17"/>
  <c r="Q38" i="17"/>
  <c r="R38" i="17"/>
  <c r="T38" i="17"/>
  <c r="U38" i="17"/>
  <c r="S38" i="17"/>
  <c r="V38" i="17"/>
  <c r="R40" i="17"/>
  <c r="V40" i="17"/>
  <c r="U40" i="17"/>
  <c r="Q40" i="17"/>
  <c r="T40" i="17"/>
  <c r="S40" i="17"/>
  <c r="Q45" i="17"/>
  <c r="U45" i="17"/>
  <c r="V45" i="17"/>
  <c r="S45" i="17"/>
  <c r="T45" i="17"/>
  <c r="R45" i="17"/>
  <c r="Q46" i="17"/>
  <c r="R46" i="17"/>
  <c r="T46" i="17"/>
  <c r="S46" i="17"/>
  <c r="U46" i="17"/>
  <c r="V46" i="17"/>
  <c r="R48" i="17"/>
  <c r="V48" i="17"/>
  <c r="U48" i="17"/>
  <c r="Q48" i="17"/>
  <c r="T48" i="17"/>
  <c r="S48" i="17"/>
  <c r="W266" i="17"/>
  <c r="W262" i="17"/>
  <c r="W258" i="17"/>
  <c r="W267" i="17"/>
  <c r="W263" i="17"/>
  <c r="W259" i="17"/>
  <c r="CY19" i="4"/>
  <c r="R18" i="17"/>
  <c r="V18" i="17"/>
  <c r="U18" i="17"/>
  <c r="R20" i="17"/>
  <c r="V20" i="17"/>
  <c r="U20" i="17"/>
  <c r="AI22" i="17"/>
  <c r="T23" i="17"/>
  <c r="V23" i="17"/>
  <c r="S23" i="17"/>
  <c r="AI23" i="17"/>
  <c r="Q25" i="17"/>
  <c r="U25" i="17"/>
  <c r="V25" i="17"/>
  <c r="Q26" i="17"/>
  <c r="U26" i="17"/>
  <c r="R26" i="17"/>
  <c r="T26" i="17"/>
  <c r="R28" i="17"/>
  <c r="V28" i="17"/>
  <c r="U28" i="17"/>
  <c r="AI30" i="17"/>
  <c r="T31" i="17"/>
  <c r="V31" i="17"/>
  <c r="S31" i="17"/>
  <c r="AI31" i="17"/>
  <c r="Q33" i="17"/>
  <c r="U33" i="17"/>
  <c r="V33" i="17"/>
  <c r="Q34" i="17"/>
  <c r="U34" i="17"/>
  <c r="R34" i="17"/>
  <c r="T34" i="17"/>
  <c r="R36" i="17"/>
  <c r="V36" i="17"/>
  <c r="U36" i="17"/>
  <c r="AI38" i="17"/>
  <c r="T39" i="17"/>
  <c r="V39" i="17"/>
  <c r="S39" i="17"/>
  <c r="AI39" i="17"/>
  <c r="Q41" i="17"/>
  <c r="U41" i="17"/>
  <c r="V41" i="17"/>
  <c r="Q42" i="17"/>
  <c r="U42" i="17"/>
  <c r="R42" i="17"/>
  <c r="T42" i="17"/>
  <c r="R44" i="17"/>
  <c r="V44" i="17"/>
  <c r="U44" i="17"/>
  <c r="AI46" i="17"/>
  <c r="T47" i="17"/>
  <c r="V47" i="17"/>
  <c r="S47" i="17"/>
  <c r="AI47" i="17"/>
  <c r="Q49" i="17"/>
  <c r="U49" i="17"/>
  <c r="V49" i="17"/>
  <c r="Q50" i="17"/>
  <c r="U50" i="17"/>
  <c r="R50" i="17"/>
  <c r="T50" i="17"/>
  <c r="R51" i="17"/>
  <c r="S51" i="17"/>
  <c r="R52" i="17"/>
  <c r="V52" i="17"/>
  <c r="U52" i="17"/>
  <c r="Q53" i="17"/>
  <c r="U53" i="17"/>
  <c r="V53" i="17"/>
  <c r="AI53" i="17"/>
  <c r="R55" i="17"/>
  <c r="T55" i="17"/>
  <c r="V55" i="17"/>
  <c r="S55" i="17"/>
  <c r="Q57" i="17"/>
  <c r="U57" i="17"/>
  <c r="V57" i="17"/>
  <c r="R59" i="17"/>
  <c r="S59" i="17"/>
  <c r="R60" i="17"/>
  <c r="V60" i="17"/>
  <c r="U60" i="17"/>
  <c r="Q61" i="17"/>
  <c r="U61" i="17"/>
  <c r="V61" i="17"/>
  <c r="AI61" i="17"/>
  <c r="Q65" i="17"/>
  <c r="U65" i="17"/>
  <c r="V65" i="17"/>
  <c r="S66" i="17"/>
  <c r="Q66" i="17"/>
  <c r="U66" i="17"/>
  <c r="R66" i="17"/>
  <c r="T66" i="17"/>
  <c r="R67" i="17"/>
  <c r="T67" i="17"/>
  <c r="S67" i="17"/>
  <c r="R68" i="17"/>
  <c r="V68" i="17"/>
  <c r="U68" i="17"/>
  <c r="Q73" i="17"/>
  <c r="U73" i="17"/>
  <c r="V73" i="17"/>
  <c r="S74" i="17"/>
  <c r="Q74" i="17"/>
  <c r="U74" i="17"/>
  <c r="R74" i="17"/>
  <c r="T74" i="17"/>
  <c r="R75" i="17"/>
  <c r="T75" i="17"/>
  <c r="S75" i="17"/>
  <c r="R76" i="17"/>
  <c r="V76" i="17"/>
  <c r="U76" i="17"/>
  <c r="Q81" i="17"/>
  <c r="U81" i="17"/>
  <c r="V81" i="17"/>
  <c r="S82" i="17"/>
  <c r="Q82" i="17"/>
  <c r="U82" i="17"/>
  <c r="R82" i="17"/>
  <c r="T82" i="17"/>
  <c r="R83" i="17"/>
  <c r="T83" i="17"/>
  <c r="S83" i="17"/>
  <c r="R84" i="17"/>
  <c r="V84" i="17"/>
  <c r="U84" i="17"/>
  <c r="Q89" i="17"/>
  <c r="U89" i="17"/>
  <c r="V89" i="17"/>
  <c r="S90" i="17"/>
  <c r="Q90" i="17"/>
  <c r="U90" i="17"/>
  <c r="R90" i="17"/>
  <c r="T90" i="17"/>
  <c r="R91" i="17"/>
  <c r="T91" i="17"/>
  <c r="S91" i="17"/>
  <c r="R92" i="17"/>
  <c r="V92" i="17"/>
  <c r="U92" i="17"/>
  <c r="Q97" i="17"/>
  <c r="U97" i="17"/>
  <c r="V97" i="17"/>
  <c r="S98" i="17"/>
  <c r="Q98" i="17"/>
  <c r="U98" i="17"/>
  <c r="R98" i="17"/>
  <c r="T98" i="17"/>
  <c r="R99" i="17"/>
  <c r="W99" i="17" s="1"/>
  <c r="T99" i="17"/>
  <c r="S99" i="17"/>
  <c r="R100" i="17"/>
  <c r="V100" i="17"/>
  <c r="U100" i="17"/>
  <c r="Q105" i="17"/>
  <c r="U105" i="17"/>
  <c r="V105" i="17"/>
  <c r="S106" i="17"/>
  <c r="Q106" i="17"/>
  <c r="U106" i="17"/>
  <c r="R106" i="17"/>
  <c r="T106" i="17"/>
  <c r="R107" i="17"/>
  <c r="T107" i="17"/>
  <c r="S107" i="17"/>
  <c r="R108" i="17"/>
  <c r="V108" i="17"/>
  <c r="U108" i="17"/>
  <c r="Q113" i="17"/>
  <c r="U113" i="17"/>
  <c r="V113" i="17"/>
  <c r="S114" i="17"/>
  <c r="Q114" i="17"/>
  <c r="U114" i="17"/>
  <c r="R114" i="17"/>
  <c r="T114" i="17"/>
  <c r="R115" i="17"/>
  <c r="T115" i="17"/>
  <c r="S115" i="17"/>
  <c r="R116" i="17"/>
  <c r="V116" i="17"/>
  <c r="U116" i="17"/>
  <c r="Q118" i="17"/>
  <c r="S118" i="17"/>
  <c r="U118" i="17"/>
  <c r="R118" i="17"/>
  <c r="T118" i="17"/>
  <c r="Q119" i="17"/>
  <c r="S119" i="17"/>
  <c r="V119" i="17"/>
  <c r="Q120" i="17"/>
  <c r="S120" i="17"/>
  <c r="U120" i="17"/>
  <c r="R120" i="17"/>
  <c r="T120" i="17"/>
  <c r="Q121" i="17"/>
  <c r="S121" i="17"/>
  <c r="V121" i="17"/>
  <c r="Q122" i="17"/>
  <c r="S122" i="17"/>
  <c r="U122" i="17"/>
  <c r="R122" i="17"/>
  <c r="T122" i="17"/>
  <c r="Q123" i="17"/>
  <c r="S123" i="17"/>
  <c r="V123" i="17"/>
  <c r="Q124" i="17"/>
  <c r="S124" i="17"/>
  <c r="U124" i="17"/>
  <c r="R124" i="17"/>
  <c r="T124" i="17"/>
  <c r="Q125" i="17"/>
  <c r="S125" i="17"/>
  <c r="V125" i="17"/>
  <c r="Q126" i="17"/>
  <c r="S126" i="17"/>
  <c r="U126" i="17"/>
  <c r="R126" i="17"/>
  <c r="T126" i="17"/>
  <c r="Q127" i="17"/>
  <c r="S127" i="17"/>
  <c r="V127" i="17"/>
  <c r="Q128" i="17"/>
  <c r="S128" i="17"/>
  <c r="U128" i="17"/>
  <c r="R128" i="17"/>
  <c r="T128" i="17"/>
  <c r="Q129" i="17"/>
  <c r="S129" i="17"/>
  <c r="V129" i="17"/>
  <c r="Q130" i="17"/>
  <c r="S130" i="17"/>
  <c r="U130" i="17"/>
  <c r="R130" i="17"/>
  <c r="T130" i="17"/>
  <c r="Q131" i="17"/>
  <c r="S131" i="17"/>
  <c r="V131" i="17"/>
  <c r="Q132" i="17"/>
  <c r="S132" i="17"/>
  <c r="U132" i="17"/>
  <c r="R132" i="17"/>
  <c r="T132" i="17"/>
  <c r="Q133" i="17"/>
  <c r="S133" i="17"/>
  <c r="V133" i="17"/>
  <c r="Q134" i="17"/>
  <c r="S134" i="17"/>
  <c r="U134" i="17"/>
  <c r="R134" i="17"/>
  <c r="T134" i="17"/>
  <c r="Q135" i="17"/>
  <c r="S135" i="17"/>
  <c r="V135" i="17"/>
  <c r="Q136" i="17"/>
  <c r="S136" i="17"/>
  <c r="U136" i="17"/>
  <c r="R136" i="17"/>
  <c r="T136" i="17"/>
  <c r="W115" i="17"/>
  <c r="CX19" i="4"/>
  <c r="AI18" i="17"/>
  <c r="AI19" i="17"/>
  <c r="AI20" i="17"/>
  <c r="R23" i="17"/>
  <c r="W23" i="17" s="1"/>
  <c r="S26" i="17"/>
  <c r="AI26" i="17"/>
  <c r="AI27" i="17"/>
  <c r="AI28" i="17"/>
  <c r="R31" i="17"/>
  <c r="W31" i="17" s="1"/>
  <c r="S34" i="17"/>
  <c r="AI34" i="17"/>
  <c r="AI35" i="17"/>
  <c r="AI36" i="17"/>
  <c r="R39" i="17"/>
  <c r="W39" i="17" s="1"/>
  <c r="S42" i="17"/>
  <c r="AI42" i="17"/>
  <c r="AI43" i="17"/>
  <c r="AI44" i="17"/>
  <c r="R47" i="17"/>
  <c r="W47" i="17" s="1"/>
  <c r="S50" i="17"/>
  <c r="AI50" i="17"/>
  <c r="T51" i="17"/>
  <c r="S54" i="17"/>
  <c r="Q54" i="17"/>
  <c r="R54" i="17"/>
  <c r="T54" i="17"/>
  <c r="R56" i="17"/>
  <c r="V56" i="17"/>
  <c r="U56" i="17"/>
  <c r="S58" i="17"/>
  <c r="U58" i="17"/>
  <c r="R58" i="17"/>
  <c r="W58" i="17" s="1"/>
  <c r="T58" i="17"/>
  <c r="AI58" i="17"/>
  <c r="T59" i="17"/>
  <c r="AI57" i="17"/>
  <c r="S62" i="17"/>
  <c r="Q62" i="17"/>
  <c r="W62" i="17" s="1"/>
  <c r="R63" i="17"/>
  <c r="T63" i="17"/>
  <c r="S70" i="17"/>
  <c r="Q70" i="17"/>
  <c r="W70" i="17" s="1"/>
  <c r="R71" i="17"/>
  <c r="T71" i="17"/>
  <c r="S78" i="17"/>
  <c r="Q78" i="17"/>
  <c r="W78" i="17" s="1"/>
  <c r="R79" i="17"/>
  <c r="T79" i="17"/>
  <c r="S86" i="17"/>
  <c r="Q86" i="17"/>
  <c r="W86" i="17" s="1"/>
  <c r="R87" i="17"/>
  <c r="T87" i="17"/>
  <c r="S94" i="17"/>
  <c r="Q94" i="17"/>
  <c r="W94" i="17" s="1"/>
  <c r="R95" i="17"/>
  <c r="T95" i="17"/>
  <c r="S102" i="17"/>
  <c r="Q102" i="17"/>
  <c r="W102" i="17" s="1"/>
  <c r="R103" i="17"/>
  <c r="T103" i="17"/>
  <c r="S110" i="17"/>
  <c r="Q110" i="17"/>
  <c r="W110" i="17" s="1"/>
  <c r="R111" i="17"/>
  <c r="T111" i="17"/>
  <c r="S137" i="17"/>
  <c r="Q137" i="17"/>
  <c r="W137" i="17" s="1"/>
  <c r="S138" i="17"/>
  <c r="Q138" i="17"/>
  <c r="W138" i="17" s="1"/>
  <c r="S139" i="17"/>
  <c r="Q139" i="17"/>
  <c r="W139" i="17" s="1"/>
  <c r="AI175" i="17"/>
  <c r="AI177" i="17"/>
  <c r="AI179" i="17"/>
  <c r="AI181" i="17"/>
  <c r="AI183" i="17"/>
  <c r="AI185" i="17"/>
  <c r="AI187" i="17"/>
  <c r="AI189" i="17"/>
  <c r="AI191" i="17"/>
  <c r="AI193" i="17"/>
  <c r="AI195" i="17"/>
  <c r="AI197" i="17"/>
  <c r="AI201" i="17"/>
  <c r="AI205" i="17"/>
  <c r="AI209" i="17"/>
  <c r="AI213" i="17"/>
  <c r="AI217" i="17"/>
  <c r="AI221" i="17"/>
  <c r="AI225" i="17"/>
  <c r="AI229" i="17"/>
  <c r="AI232" i="17"/>
  <c r="AI236" i="17"/>
  <c r="AI240" i="17"/>
  <c r="AI244" i="17"/>
  <c r="AI248" i="17"/>
  <c r="AI252" i="17"/>
  <c r="W111" i="17" l="1"/>
  <c r="W103" i="17"/>
  <c r="W95" i="17"/>
  <c r="W87" i="17"/>
  <c r="W79" i="17"/>
  <c r="W71" i="17"/>
  <c r="W63" i="17"/>
  <c r="W56" i="17"/>
  <c r="W135" i="17"/>
  <c r="W133" i="17"/>
  <c r="W131" i="17"/>
  <c r="W129" i="17"/>
  <c r="W127" i="17"/>
  <c r="W125" i="17"/>
  <c r="W123" i="17"/>
  <c r="W121" i="17"/>
  <c r="W119" i="17"/>
  <c r="W116" i="17"/>
  <c r="W108" i="17"/>
  <c r="W100" i="17"/>
  <c r="W92" i="17"/>
  <c r="W84" i="17"/>
  <c r="W76" i="17"/>
  <c r="W68" i="17"/>
  <c r="W60" i="17"/>
  <c r="W59" i="17"/>
  <c r="W52" i="17"/>
  <c r="W51" i="17"/>
  <c r="W50" i="17"/>
  <c r="W41" i="17"/>
  <c r="W36" i="17"/>
  <c r="W34" i="17"/>
  <c r="W25" i="17"/>
  <c r="W20" i="17"/>
  <c r="W46" i="17"/>
  <c r="W45" i="17"/>
  <c r="W38" i="17"/>
  <c r="W37" i="17"/>
  <c r="W30" i="17"/>
  <c r="W29" i="17"/>
  <c r="W22" i="17"/>
  <c r="W21" i="17"/>
  <c r="W35" i="17"/>
  <c r="W19" i="17"/>
  <c r="W54" i="17"/>
  <c r="W136" i="17"/>
  <c r="W134" i="17"/>
  <c r="W132" i="17"/>
  <c r="W130" i="17"/>
  <c r="W128" i="17"/>
  <c r="W126" i="17"/>
  <c r="W124" i="17"/>
  <c r="W122" i="17"/>
  <c r="W120" i="17"/>
  <c r="W118" i="17"/>
  <c r="W114" i="17"/>
  <c r="W113" i="17"/>
  <c r="W107" i="17"/>
  <c r="W106" i="17"/>
  <c r="W105" i="17"/>
  <c r="W98" i="17"/>
  <c r="W97" i="17"/>
  <c r="W91" i="17"/>
  <c r="W90" i="17"/>
  <c r="W89" i="17"/>
  <c r="W83" i="17"/>
  <c r="W82" i="17"/>
  <c r="W81" i="17"/>
  <c r="W75" i="17"/>
  <c r="W74" i="17"/>
  <c r="W73" i="17"/>
  <c r="W67" i="17"/>
  <c r="W66" i="17"/>
  <c r="W65" i="17"/>
  <c r="W61" i="17"/>
  <c r="W57" i="17"/>
  <c r="W55" i="17"/>
  <c r="W53" i="17"/>
  <c r="W49" i="17"/>
  <c r="W44" i="17"/>
  <c r="W42" i="17"/>
  <c r="W33" i="17"/>
  <c r="W28" i="17"/>
  <c r="W26" i="17"/>
  <c r="W18" i="17"/>
  <c r="W48" i="17"/>
  <c r="W40" i="17"/>
  <c r="W32" i="17"/>
  <c r="W24" i="17"/>
  <c r="W43" i="17"/>
  <c r="W27" i="17"/>
</calcChain>
</file>

<file path=xl/sharedStrings.xml><?xml version="1.0" encoding="utf-8"?>
<sst xmlns="http://schemas.openxmlformats.org/spreadsheetml/2006/main" count="2333" uniqueCount="937">
  <si>
    <t>D-PDQ                                     D-PIAB                  or                                               DP-PDQ                             DP-PIAB                                                     DP                                              or                                               C</t>
  </si>
  <si>
    <t>Widen Field from 4.11 to 6.56 to allow for label to fit</t>
  </si>
  <si>
    <t>Changed validation for cell c23</t>
  </si>
  <si>
    <t>Copied down new validation to all cells in column C</t>
  </si>
  <si>
    <t>Tested all valid choices for c23</t>
  </si>
  <si>
    <t>Widen column so choices to been read \ printed - 10.78</t>
  </si>
  <si>
    <t>reformat Label for C23</t>
  </si>
  <si>
    <t>Made form so user can copy \ edit form to accommodate business needs</t>
  </si>
  <si>
    <t>Change the shading on the dc cells to header</t>
  </si>
  <si>
    <t>HYBRID</t>
  </si>
  <si>
    <t>LEAD TIME</t>
  </si>
  <si>
    <t xml:space="preserve">Changed number of stores to 990 </t>
  </si>
  <si>
    <t>Add 3 fields to US and Canada Splits</t>
  </si>
  <si>
    <t>AJ Jackson</t>
  </si>
  <si>
    <t>Added Attachment page for allocations \ assortment plans</t>
  </si>
  <si>
    <t>ADDED NO SIGNATURES REQ FOR SCVR FOR ITEMS THAT ARE WAREHOUSE AND SEASONAL</t>
  </si>
  <si>
    <t>Tammy</t>
  </si>
  <si>
    <t>Michelle</t>
  </si>
  <si>
    <t>Vendor Flow Training</t>
  </si>
  <si>
    <t>Remove Circles from header</t>
  </si>
  <si>
    <t>All forms</t>
  </si>
  <si>
    <t>Revise Versioning on all forms</t>
  </si>
  <si>
    <t>Change verbiage in Master Case pack</t>
  </si>
  <si>
    <t>Added Stocking stuffer &amp; Gift giving &amp; Cmas15d &amp; Cmas15 to drop down lists</t>
  </si>
  <si>
    <t>fix broken links to file</t>
  </si>
  <si>
    <t>Arrival Date:  We need to be able to override this field.  Yes, we
want the date to be 6 weeks prior to the POG completion date, however
this may very if we get the information late from the buyers or there is
a delay in getting the SKU's or POG setup and the vendor can't meet this
date.</t>
  </si>
  <si>
    <t>Added cmas 11-14, cmas11d-14d &amp; trees5  to event code</t>
  </si>
  <si>
    <t>Form</t>
  </si>
  <si>
    <t>No Signature Required</t>
  </si>
  <si>
    <t>No Signature Needed</t>
  </si>
  <si>
    <t>Default Fields</t>
  </si>
  <si>
    <t>Change formula on Rebuy a Replenishment</t>
  </si>
  <si>
    <t>Sku number was taking UPC from add change form - cell fixed</t>
  </si>
  <si>
    <t>Regan Clay</t>
  </si>
  <si>
    <t>ALL</t>
  </si>
  <si>
    <t>SPLITS</t>
  </si>
  <si>
    <t>ATTACHMENT</t>
  </si>
  <si>
    <t>Verified that 1000000 would fit into the yearly forecast column</t>
  </si>
  <si>
    <t xml:space="preserve">Format cost on Alaska and Canada pox from rounding to number to currency </t>
  </si>
  <si>
    <t>Changed up format on pox worksheet to number from custom - removed hyphens</t>
  </si>
  <si>
    <t>Widen the drop down box of cell n6 on all three pox worksheets</t>
  </si>
  <si>
    <t>Change Drop Down box on Canada and Alaska pox worksheet - cell N6</t>
  </si>
  <si>
    <t>Format the date submitted on pox worksheets</t>
  </si>
  <si>
    <t>Left justify the pox comments section</t>
  </si>
  <si>
    <t>Pricing Signature required when .00 or the us and Canada equal</t>
  </si>
  <si>
    <t>basic &amp; seasonal on pox work book did not match add change form - never linked &amp; not now.</t>
  </si>
  <si>
    <t>Linked all pox header fields together</t>
  </si>
  <si>
    <t>rewrite us pox worksheet</t>
  </si>
  <si>
    <t>No Signature popped up for VP Repl &amp; Replen when item is seasonal , store order no, pi no, Rebuy no, are no.</t>
  </si>
  <si>
    <t>cut and paste into Canada pox work sheet</t>
  </si>
  <si>
    <t>Lauri Eason</t>
  </si>
  <si>
    <t>FIX PRINT SETUP</t>
  </si>
  <si>
    <t>RON</t>
  </si>
  <si>
    <t>Event Code:  This is a drop down menu, however their is nothing
there except for "NA".</t>
  </si>
  <si>
    <t>Hold Out End Date:  This is the Arrival Date of the PO, however when
I tried to type that I get a message saying "Enter a date between
today's date and one less than 60 days from now".  The Arrival Date
isn't always within 60 days.</t>
  </si>
  <si>
    <t>New Sku Canada Retail:  Why was this field added?  We have never
used this in the past, just curious why it was added.  Just trying to
eliminate unnecessary fields b/c the form is hard enough to read as is
when printed.</t>
  </si>
  <si>
    <t>Total Retail:  Where did it come from, what was the reason for
adding it?  It wasn't on our old form, and I can't figure out why we
would want to know the annual forecast times the total US retail.  We
don't buy based on retail and our inventory levels aren't tracked based
on retail.</t>
  </si>
  <si>
    <t>General Formatting:  Is there a way that we can adjust the column
widths on our sheets.  With the way they are set if we print it on legal
paper it shrinks down to 40%.  We have to use the hard copy to get Sam's
approval and to key our information into E3.  When trying to read it
this small it is very easy to make mistakes.  Would like to be able to
shrink columns to fit and hide columns that we don't need so that it is
easier to work off of.  (Also, the column width for the Profiles isn't
large enough.  Each profile is 10 characters in length)  If we can't
change the column widths, can we make the font size 10 for everything
other then the headers.</t>
  </si>
  <si>
    <t xml:space="preserve">Favor (Ties w/ something on Allocation Worksheets):  Can you make
the vendor field override able?  In Dept 5 we use this field for not
only the vendor name but for the category or POG name in combination w/
vendor.  It helps in keeping track of the splits.  I would like to be
able to add the category or POG name after the vendor name and then that
links to the Allocation Worksheets.
</t>
  </si>
  <si>
    <t>Buyer:  Says it is Auto Fill and should be linked from Add Change
tab, however it will let you type over.  Should probably be protected to
where you can't type over.</t>
  </si>
  <si>
    <t>Allocation Worksheet US</t>
  </si>
  <si>
    <t>Department:  Says it is Auto Fill, but not from where.  The
Department is keyed on the Add Change tab but not feeding to Allocation
sheet, also isn't locked from overriding.</t>
  </si>
  <si>
    <t>Allocation Effective Date:  Doesn't have pop up box w/ guidelines
for field.  Needs to stay override able in case PO coming in late.</t>
  </si>
  <si>
    <t>Allocation "Keyed" Date:  Doesn't have pop up box w/ guidelines and
isn't calculated.  Supposed to be 6 weeks prior to POG completion date.
Needs to be override able in case PO coming in late and Effective date
is later.</t>
  </si>
  <si>
    <t xml:space="preserve">Auto On/Off in E3:  Doesn't have pop up box w/ guidelines and isn't
calculated.  Supposed to be 5 weeks prior to POG completion date.
</t>
  </si>
  <si>
    <t>Made the row count a value not a formula</t>
  </si>
  <si>
    <t>Added "HYBRID" (Type, Source WH, Lead Time")</t>
  </si>
  <si>
    <t>Comments Section:  Can this be changed to align at the top of the
box and not the bottom, just what we are used to looking at.</t>
  </si>
  <si>
    <t>Set Date:  Should be Auto Filled from New Item tab.</t>
  </si>
  <si>
    <t>This is a favor:  Can you add an Auto Fill in cell (B24).  It would
be from the New Item tab Vendor field.  I like to have the vendor name
and or category splitting on the sheets.  This is something we've done
in Dept 5 for 4 years.  It helps in keeping track of the splits through
the hard copies.</t>
  </si>
  <si>
    <t>Allocation Worksheet Canada/Alaska</t>
  </si>
  <si>
    <t>Canada/AK Title (Row 1):  Only says Canada, should also say Alaska</t>
  </si>
  <si>
    <t xml:space="preserve">Department:  Says it is Auto Fill, but not from where.  The
Department is keyed on the Add Change tab but not feeding to Allocation
sheet, also isn't locked from overriding.
</t>
  </si>
  <si>
    <t>Date Submitted:  Auto Fill from US</t>
  </si>
  <si>
    <t xml:space="preserve">Comments Section:  Can this be changed to align at the top of the
box and not the bottom, just what we are used to looking at.
</t>
  </si>
  <si>
    <t>All Count Information:  Auto Fill from US</t>
  </si>
  <si>
    <t>All Allocation Type:  Auto Fill from US</t>
  </si>
  <si>
    <t>All Reasons For Allocation:  Auto Fill from US (Be able to override
b/c of POG information)</t>
  </si>
  <si>
    <t>=IF(AQ19&gt;0,"",IF(AO19=0,IF(AP19=0,AN4,IF(COUNTIF(AP22:AP121,0)&gt;0,"","2")),IF(COUNTIF(AO22:AO121,0)&gt;0,"","3")))</t>
  </si>
  <si>
    <t>Added RSET1-RSET39 to the drop down list</t>
  </si>
  <si>
    <t>Jerry Mckinnis</t>
  </si>
  <si>
    <t>Instruction Page</t>
  </si>
  <si>
    <t>Correct who fills out which color font.</t>
  </si>
  <si>
    <t>UPC first cell</t>
  </si>
  <si>
    <t>Breyonna</t>
  </si>
  <si>
    <t xml:space="preserve"> </t>
  </si>
  <si>
    <t>PAGE</t>
  </si>
  <si>
    <t>OF</t>
  </si>
  <si>
    <t>DOMESTIC ITEM ADDITION &amp; CHANGES</t>
  </si>
  <si>
    <t>BUYER  APPROVAL</t>
  </si>
  <si>
    <t>MICHAELS</t>
  </si>
  <si>
    <t>VENDOR UPC</t>
  </si>
  <si>
    <t>ITEM</t>
  </si>
  <si>
    <t>ADD</t>
  </si>
  <si>
    <t>SKU</t>
  </si>
  <si>
    <t>or MICHAELS UPC</t>
  </si>
  <si>
    <t>VENDOR</t>
  </si>
  <si>
    <t>DESCRIPTION</t>
  </si>
  <si>
    <t>IN</t>
  </si>
  <si>
    <t>or</t>
  </si>
  <si>
    <t>assigned</t>
  </si>
  <si>
    <t>assigned by Data Entry</t>
  </si>
  <si>
    <t>(SUPPLIER)</t>
  </si>
  <si>
    <t>MASTER</t>
  </si>
  <si>
    <t>INNER</t>
  </si>
  <si>
    <t>CHG</t>
  </si>
  <si>
    <t>by</t>
  </si>
  <si>
    <t>STYLE #</t>
  </si>
  <si>
    <t>Examples:  BRUSH ROSS 1" OVAL BRISTLE  or</t>
  </si>
  <si>
    <t>CASE</t>
  </si>
  <si>
    <t>PACK</t>
  </si>
  <si>
    <t>$ EACH</t>
  </si>
  <si>
    <t>RETAIL</t>
  </si>
  <si>
    <t>Data Entry</t>
  </si>
  <si>
    <t>CLASS#</t>
  </si>
  <si>
    <t>BAG MED RED GLOSSY</t>
  </si>
  <si>
    <t xml:space="preserve">HEIGHT </t>
  </si>
  <si>
    <t>WIDTH</t>
  </si>
  <si>
    <t>30 CHARACTERS</t>
  </si>
  <si>
    <t>INFORMATION NEEDED FOR ALL SKUS</t>
  </si>
  <si>
    <t xml:space="preserve">LENGTH </t>
  </si>
  <si>
    <t>WEIGHT</t>
  </si>
  <si>
    <t>RETAILS</t>
  </si>
  <si>
    <t>Cost</t>
  </si>
  <si>
    <t>US</t>
  </si>
  <si>
    <t>COSTS</t>
  </si>
  <si>
    <t>CANADA</t>
  </si>
  <si>
    <t>Canada</t>
  </si>
  <si>
    <t>**If Vendor is set up as Canadian Currency use Canadian $</t>
  </si>
  <si>
    <t>CASE PACK</t>
  </si>
  <si>
    <t>Minimums:</t>
  </si>
  <si>
    <t>DC:</t>
  </si>
  <si>
    <t>Total</t>
  </si>
  <si>
    <t>Stores:</t>
  </si>
  <si>
    <t>Initial Split Quantity</t>
  </si>
  <si>
    <t>Description</t>
  </si>
  <si>
    <t>DC 1</t>
  </si>
  <si>
    <t>DC 4</t>
  </si>
  <si>
    <t>DC 7</t>
  </si>
  <si>
    <t>DC 8</t>
  </si>
  <si>
    <t>Facings</t>
  </si>
  <si>
    <t>Inner Pack</t>
  </si>
  <si>
    <t>Buyer</t>
  </si>
  <si>
    <t>Date</t>
  </si>
  <si>
    <t xml:space="preserve">Added "D" for Displayer </t>
  </si>
  <si>
    <t>Direct / Whse:</t>
  </si>
  <si>
    <t>All worksheets</t>
  </si>
  <si>
    <t>add version number to all worksheets - most in header upper right or left</t>
  </si>
  <si>
    <t>Comments:</t>
  </si>
  <si>
    <t>Change PO worksheets</t>
  </si>
  <si>
    <t>Add Tower Baskets to Drop Down Option</t>
  </si>
  <si>
    <t>Validated that workbook cell on add change form cell under for choice is not locked.</t>
  </si>
  <si>
    <t>SUPPLY CHAIN ANALYST:</t>
  </si>
  <si>
    <t>DATE IN RETEK:</t>
  </si>
  <si>
    <t>ENTER RETEK:</t>
  </si>
  <si>
    <t>New Item</t>
  </si>
  <si>
    <t>Test</t>
  </si>
  <si>
    <t>Item Type :</t>
  </si>
  <si>
    <t>Allow Store Order :</t>
  </si>
  <si>
    <t>Change the order of dates on PO worksheets</t>
  </si>
  <si>
    <t>Sandy Bowling</t>
  </si>
  <si>
    <t>DBC LOG ID</t>
  </si>
  <si>
    <t>Auto Replenish :</t>
  </si>
  <si>
    <t>Added Inner Case pack cube between column 23 &amp; 24 and re-numbered</t>
  </si>
  <si>
    <t>Mike Malone</t>
  </si>
  <si>
    <t>Switched Master Case Pack Cube and Country of Origin</t>
  </si>
  <si>
    <t>Re-numbered directions and added Inner Case pack</t>
  </si>
  <si>
    <t>Krisha</t>
  </si>
  <si>
    <t>DeptClass</t>
  </si>
  <si>
    <t>Limit</t>
  </si>
  <si>
    <t>1-20</t>
  </si>
  <si>
    <t>1-23</t>
  </si>
  <si>
    <t>1-24</t>
  </si>
  <si>
    <t>1-25</t>
  </si>
  <si>
    <t>1-30</t>
  </si>
  <si>
    <t>1-35</t>
  </si>
  <si>
    <t>1-40</t>
  </si>
  <si>
    <t>1-10</t>
  </si>
  <si>
    <t>1-11</t>
  </si>
  <si>
    <t>1-15</t>
  </si>
  <si>
    <t>1-22</t>
  </si>
  <si>
    <t>1-50</t>
  </si>
  <si>
    <t>1-55</t>
  </si>
  <si>
    <t>1-45</t>
  </si>
  <si>
    <t>2-15</t>
  </si>
  <si>
    <t>2-23</t>
  </si>
  <si>
    <t>3-10</t>
  </si>
  <si>
    <t>3-30</t>
  </si>
  <si>
    <t>3-31</t>
  </si>
  <si>
    <t>3-46</t>
  </si>
  <si>
    <t>3-57</t>
  </si>
  <si>
    <t>3-90</t>
  </si>
  <si>
    <t>3-110</t>
  </si>
  <si>
    <t>3-120</t>
  </si>
  <si>
    <t>3-20</t>
  </si>
  <si>
    <t>3-100</t>
  </si>
  <si>
    <t>3-67</t>
  </si>
  <si>
    <t>4-10</t>
  </si>
  <si>
    <t>4-15</t>
  </si>
  <si>
    <t>4-20</t>
  </si>
  <si>
    <t>4-30</t>
  </si>
  <si>
    <t>4-35</t>
  </si>
  <si>
    <t>4-40</t>
  </si>
  <si>
    <t>4-45</t>
  </si>
  <si>
    <t>5-12</t>
  </si>
  <si>
    <t>5-21</t>
  </si>
  <si>
    <t>5-25</t>
  </si>
  <si>
    <t>5-35</t>
  </si>
  <si>
    <t>5-40</t>
  </si>
  <si>
    <t>5-120</t>
  </si>
  <si>
    <t>5-2</t>
  </si>
  <si>
    <t>5-3</t>
  </si>
  <si>
    <t>5-10</t>
  </si>
  <si>
    <t>5-15</t>
  </si>
  <si>
    <t>5-20</t>
  </si>
  <si>
    <t>5-30</t>
  </si>
  <si>
    <t>5-33</t>
  </si>
  <si>
    <t>5-49</t>
  </si>
  <si>
    <t>5-50</t>
  </si>
  <si>
    <t>5-100</t>
  </si>
  <si>
    <t>5-110</t>
  </si>
  <si>
    <t>5-28</t>
  </si>
  <si>
    <t>5-29</t>
  </si>
  <si>
    <t>5-51</t>
  </si>
  <si>
    <t>5-70</t>
  </si>
  <si>
    <t>5-84</t>
  </si>
  <si>
    <t>6-20</t>
  </si>
  <si>
    <t>6-30</t>
  </si>
  <si>
    <t>6-31</t>
  </si>
  <si>
    <t>6-33</t>
  </si>
  <si>
    <t>6-35</t>
  </si>
  <si>
    <t>6-36</t>
  </si>
  <si>
    <t>6-37</t>
  </si>
  <si>
    <t>6-77</t>
  </si>
  <si>
    <t>6-10</t>
  </si>
  <si>
    <t>6-15</t>
  </si>
  <si>
    <t>6-25</t>
  </si>
  <si>
    <t>6-40</t>
  </si>
  <si>
    <t>6-45</t>
  </si>
  <si>
    <t>6-50</t>
  </si>
  <si>
    <t>6-53</t>
  </si>
  <si>
    <t>6-55</t>
  </si>
  <si>
    <t>6-60</t>
  </si>
  <si>
    <t>6-90</t>
  </si>
  <si>
    <t>6-89</t>
  </si>
  <si>
    <t>6-87</t>
  </si>
  <si>
    <t>6-86</t>
  </si>
  <si>
    <t>6-85</t>
  </si>
  <si>
    <t>6-82</t>
  </si>
  <si>
    <t>6-81</t>
  </si>
  <si>
    <t>6-80</t>
  </si>
  <si>
    <t>6-79</t>
  </si>
  <si>
    <t>6-78</t>
  </si>
  <si>
    <t>10-2</t>
  </si>
  <si>
    <t>10-24</t>
  </si>
  <si>
    <t>10-27</t>
  </si>
  <si>
    <t>10-29</t>
  </si>
  <si>
    <t>10-30</t>
  </si>
  <si>
    <t>Carrie Ashmore</t>
  </si>
  <si>
    <t>10-33</t>
  </si>
  <si>
    <t>10-60</t>
  </si>
  <si>
    <t>10-75</t>
  </si>
  <si>
    <t>12-14</t>
  </si>
  <si>
    <t>13-5</t>
  </si>
  <si>
    <t>13-10</t>
  </si>
  <si>
    <t>13-15</t>
  </si>
  <si>
    <t>13-25</t>
  </si>
  <si>
    <t>13-30</t>
  </si>
  <si>
    <t>13-35</t>
  </si>
  <si>
    <t>13-40</t>
  </si>
  <si>
    <t>13-45</t>
  </si>
  <si>
    <t>13-50</t>
  </si>
  <si>
    <t>13-70</t>
  </si>
  <si>
    <t>13-75</t>
  </si>
  <si>
    <t>13-80</t>
  </si>
  <si>
    <t>14-22</t>
  </si>
  <si>
    <t>14-23</t>
  </si>
  <si>
    <t>14-35</t>
  </si>
  <si>
    <t>14-40</t>
  </si>
  <si>
    <t>14-45</t>
  </si>
  <si>
    <t>14-50</t>
  </si>
  <si>
    <t>14-64</t>
  </si>
  <si>
    <t>11-18</t>
  </si>
  <si>
    <t>11-17</t>
  </si>
  <si>
    <t>11-15</t>
  </si>
  <si>
    <t>11-14</t>
  </si>
  <si>
    <t>11-13</t>
  </si>
  <si>
    <t>11-12</t>
  </si>
  <si>
    <t>11-10</t>
  </si>
  <si>
    <t>11-2</t>
  </si>
  <si>
    <t>10-34</t>
  </si>
  <si>
    <t>Changed Canadian currency to Vendor Currency</t>
  </si>
  <si>
    <t>Direct or Whse \ Inner Pack Issue</t>
  </si>
  <si>
    <t>Vendor:</t>
  </si>
  <si>
    <t>Vendor #:</t>
  </si>
  <si>
    <t>Formulas</t>
  </si>
  <si>
    <t>Exit Date:  This is an on-going POG so their is no exit date, I normally put "On-Going" in this field and it won't let me. - Leave blank for on going</t>
  </si>
  <si>
    <t>Unlocked most fields</t>
  </si>
  <si>
    <t>set page setup to LEGAL</t>
  </si>
  <si>
    <t>Checked the font - 12 should be ok</t>
  </si>
  <si>
    <t>Make whole numbers in the DC's cells</t>
  </si>
  <si>
    <t>Canada PO</t>
  </si>
  <si>
    <t>Need to have Material Content added</t>
  </si>
  <si>
    <t>US PO</t>
  </si>
  <si>
    <t>PO Worksheets</t>
  </si>
  <si>
    <t>New SKU</t>
  </si>
  <si>
    <t>US VENDOR  NUMBER</t>
  </si>
  <si>
    <t>POG Start Date:</t>
  </si>
  <si>
    <t>Remove Signatures on Add Change tab - Planner</t>
  </si>
  <si>
    <t>Group Meeting</t>
  </si>
  <si>
    <t>Remove CDC counts from PO worksheets</t>
  </si>
  <si>
    <t>Rename the Canada Split Sheet to CN - AK Split</t>
  </si>
  <si>
    <t>Michelle Champion</t>
  </si>
  <si>
    <t>SUBMITTED BY:</t>
  </si>
  <si>
    <t>SUB- CLASS#</t>
  </si>
  <si>
    <t>Getting Started</t>
  </si>
  <si>
    <t>CANADIAN VENDOR  NUMBER</t>
  </si>
  <si>
    <t>All</t>
  </si>
  <si>
    <t>Change Password</t>
  </si>
  <si>
    <t>Alaska PO Worksheet</t>
  </si>
  <si>
    <t>Update store count to 950</t>
  </si>
  <si>
    <t>New item</t>
  </si>
  <si>
    <t>Worksheet Description:</t>
  </si>
  <si>
    <t xml:space="preserve"> MGR. SUPPLY CHAIN:</t>
  </si>
  <si>
    <t>DIR. SCVR:</t>
  </si>
  <si>
    <t>REPLENISH Y/N - VP REPLENISH:</t>
  </si>
  <si>
    <t>REBUY Y/N - VP REPLENISH:</t>
  </si>
  <si>
    <t>STORE ORDER Y/N - MGR. DBC</t>
  </si>
  <si>
    <t>VENDOR:  COMPLETE GREEN WORDS</t>
  </si>
  <si>
    <t>change vendor color directions - vendor fill out green words.</t>
  </si>
  <si>
    <t>DC 9</t>
  </si>
  <si>
    <t xml:space="preserve">CANADIAN VENDOR NAME </t>
  </si>
  <si>
    <t>US VENDOR NAME</t>
  </si>
  <si>
    <t>Date:</t>
  </si>
  <si>
    <t>ERROR MESSAGES</t>
  </si>
  <si>
    <t xml:space="preserve"> DATE:</t>
  </si>
  <si>
    <t xml:space="preserve">           DEPT#</t>
  </si>
  <si>
    <t>TOTAL RETAIL $$</t>
  </si>
  <si>
    <t>Add Change</t>
  </si>
  <si>
    <t>PO Worksheet</t>
  </si>
  <si>
    <t>New Store List</t>
  </si>
  <si>
    <t>EACHES</t>
  </si>
  <si>
    <t>WORKBOOK PROCESS:</t>
  </si>
  <si>
    <t>Requestor</t>
  </si>
  <si>
    <t>Diane Haggard</t>
  </si>
  <si>
    <t>Kay Bernier</t>
  </si>
  <si>
    <t>Canada PO/Alaska PO</t>
  </si>
  <si>
    <t>ARE COSTS &amp; RETAILS IN U.S. OR CANADA</t>
  </si>
  <si>
    <t>21 days between Cancel and Arrival date</t>
  </si>
  <si>
    <t xml:space="preserve">Marlando </t>
  </si>
  <si>
    <t>"N" as default for Allow Store Order</t>
  </si>
  <si>
    <t>Need more time for date field on new store list - change range to 364 days</t>
  </si>
  <si>
    <t>.0000</t>
  </si>
  <si>
    <t>Michelle Vasquez</t>
  </si>
  <si>
    <t>Need 2 more approvals - Pricing &amp; Planner - Added with formulas</t>
  </si>
  <si>
    <t xml:space="preserve">mod of CANADA retail </t>
  </si>
  <si>
    <t xml:space="preserve">mod of US retail </t>
  </si>
  <si>
    <t>Verified all signatures transfer to signature page</t>
  </si>
  <si>
    <t>Ron</t>
  </si>
  <si>
    <t>Linked date fields/formulas to calculate 21 days needed for shipping</t>
  </si>
  <si>
    <t>Linked freight terms</t>
  </si>
  <si>
    <t>Linked rebuy y/n</t>
  </si>
  <si>
    <t>Linked vendor #</t>
  </si>
  <si>
    <t>Melissa</t>
  </si>
  <si>
    <t>Rennie</t>
  </si>
  <si>
    <t>2/23/05</t>
  </si>
  <si>
    <t>Total Pieces ordered - calculation fixed</t>
  </si>
  <si>
    <t>Total Dollars on PO - Calculation Fixed</t>
  </si>
  <si>
    <t>Center the UPC number on all three worksheets</t>
  </si>
  <si>
    <t>Change the Font colors Yellow back ground to GREEN text and Purple background to VIOLET Text - help in pricing</t>
  </si>
  <si>
    <t>Left justified the description on Canada Worksheet and Alaska Worksheet</t>
  </si>
  <si>
    <t>Fixed Formula for DMM/Dir of Inventory Signature</t>
  </si>
  <si>
    <t>Remove Test from comment field</t>
  </si>
  <si>
    <t>Top Comment Field</t>
  </si>
  <si>
    <t>Date Sent to Upload</t>
  </si>
  <si>
    <t xml:space="preserve">Review the Index Tab order of files - need to update </t>
  </si>
  <si>
    <t>Brack</t>
  </si>
  <si>
    <t>Added events to drop down</t>
  </si>
  <si>
    <t>TEST</t>
  </si>
  <si>
    <t>Added "Test" to PO Worksheets under Seasonal Symbol &amp; Event Code</t>
  </si>
  <si>
    <t>Inner Case Pack Cube</t>
  </si>
  <si>
    <t>Tom Webb</t>
  </si>
  <si>
    <t>DC2</t>
  </si>
  <si>
    <t>Added DC2 Centralia to worksheets</t>
  </si>
  <si>
    <t>DC 2</t>
  </si>
  <si>
    <t>allow the number of stores to go to 1100</t>
  </si>
  <si>
    <t>allow the number of stores to go to 200</t>
  </si>
  <si>
    <t>allow the number of stores to go to 50</t>
  </si>
  <si>
    <t>Added DC99 and updated event codes</t>
  </si>
  <si>
    <t>UDA</t>
  </si>
  <si>
    <t>-</t>
  </si>
  <si>
    <t>Inventory Control :</t>
  </si>
  <si>
    <t>Sku Group :</t>
  </si>
  <si>
    <t>TAX</t>
  </si>
  <si>
    <t>Master Case Pack Cube</t>
  </si>
  <si>
    <t>VALUE</t>
  </si>
  <si>
    <t>MSDS</t>
  </si>
  <si>
    <t>UOM</t>
  </si>
  <si>
    <t>FLAMMABLE</t>
  </si>
  <si>
    <t>CONTAINER</t>
  </si>
  <si>
    <t>TYPE</t>
  </si>
  <si>
    <t>SIZE</t>
  </si>
  <si>
    <t>HAZARDOUS</t>
  </si>
  <si>
    <t>MATERIAL</t>
  </si>
  <si>
    <t>Freight Terms :</t>
  </si>
  <si>
    <t xml:space="preserve">MANUFACTURERS </t>
  </si>
  <si>
    <t>CITY</t>
  </si>
  <si>
    <t>MANUFACTURERS</t>
  </si>
  <si>
    <t>NAME</t>
  </si>
  <si>
    <t>STATE</t>
  </si>
  <si>
    <t>PHONE</t>
  </si>
  <si>
    <t>COUNTRY</t>
  </si>
  <si>
    <t>ORIGIN</t>
  </si>
  <si>
    <t>SOURCE DC</t>
  </si>
  <si>
    <t>HYBRID TYPE</t>
  </si>
  <si>
    <t>Store Supplier Zone Group:</t>
  </si>
  <si>
    <t>WHS Supplier Zone Group:</t>
  </si>
  <si>
    <t>Stock Cat:</t>
  </si>
  <si>
    <t xml:space="preserve"> CANADA Stock Cat:</t>
  </si>
  <si>
    <t>Hazardous</t>
  </si>
  <si>
    <t>Remove from workbook as all are on add change form</t>
  </si>
  <si>
    <t>Allow number of stores to go to 1400</t>
  </si>
  <si>
    <t>BASE</t>
  </si>
  <si>
    <t>ALASKA</t>
  </si>
  <si>
    <t>TAX UDA</t>
  </si>
  <si>
    <t>PRE-PRICED UDA</t>
  </si>
  <si>
    <t>PRE-PRICED</t>
  </si>
  <si>
    <t>Formatted cells borders.  Fixed column widths</t>
  </si>
  <si>
    <t>Item Induction Edits: Added Pre-priced &amp; Tax UDA columns, Hazardous Columns, Revised Header Terminology, Remove Pre-priced from header</t>
  </si>
  <si>
    <t>All pox worksheets</t>
  </si>
  <si>
    <t>Canada PO Worksheet</t>
  </si>
  <si>
    <t>Added 3 columns to the direct \ WHSE collect\prepaid fields</t>
  </si>
  <si>
    <t>Un-hid cells</t>
  </si>
  <si>
    <t>Change formula in column 24 and 30… = if(and(…..)….)</t>
  </si>
  <si>
    <t>How Do I Direct/WHSE</t>
  </si>
  <si>
    <t>Remove po number field for WHSE 6 and add whs 9</t>
  </si>
  <si>
    <t>CONV. DATE</t>
  </si>
  <si>
    <t>Added conversion date</t>
  </si>
  <si>
    <t>create formula to capture lead time and now and 14 days to calculate Conversion date</t>
  </si>
  <si>
    <t>CHANGED Validation on Hybrid Cell</t>
  </si>
  <si>
    <t>Changed conditional r4equirements on the 4 hybrid cells</t>
  </si>
  <si>
    <t>All Forms</t>
  </si>
  <si>
    <t>PO Forms</t>
  </si>
  <si>
    <t>Make the PO scale 50% all po forms</t>
  </si>
  <si>
    <t>Add Hazardous UOM RMS12 drop down items to list</t>
  </si>
  <si>
    <t>Need to change the zoom on PO forms</t>
  </si>
  <si>
    <t>CARAT</t>
  </si>
  <si>
    <t>CENTIGRAM</t>
  </si>
  <si>
    <t>CENTIMETERS</t>
  </si>
  <si>
    <t>CLEAN YIELD GRAM</t>
  </si>
  <si>
    <t>CONTENT GRAM</t>
  </si>
  <si>
    <t>CONTENT KILOGRAM</t>
  </si>
  <si>
    <t>CONTENT TON</t>
  </si>
  <si>
    <t>CUBIC CENTIMETER</t>
  </si>
  <si>
    <t>CUBIC CENTIMETERS</t>
  </si>
  <si>
    <t>CUBIC FEET</t>
  </si>
  <si>
    <t>CUBIC FOOT</t>
  </si>
  <si>
    <t>CUBIC INCH</t>
  </si>
  <si>
    <t>CUBIC KILOMETER</t>
  </si>
  <si>
    <t>CUBIC METER</t>
  </si>
  <si>
    <t>CUBIC MILLIMETERS</t>
  </si>
  <si>
    <t>CUBIC YARD</t>
  </si>
  <si>
    <t>DOZEN</t>
  </si>
  <si>
    <t>DOZEN PAIR</t>
  </si>
  <si>
    <t>DOZEN PIECES</t>
  </si>
  <si>
    <t>EACH</t>
  </si>
  <si>
    <t>FLUID OUNCES</t>
  </si>
  <si>
    <t>FOOT</t>
  </si>
  <si>
    <t>GALLON</t>
  </si>
  <si>
    <t>GRAM</t>
  </si>
  <si>
    <t>GRAMS</t>
  </si>
  <si>
    <t>HUNDREDS</t>
  </si>
  <si>
    <t>INCH</t>
  </si>
  <si>
    <t>JAR</t>
  </si>
  <si>
    <t>KILOGRAM</t>
  </si>
  <si>
    <t>KILOMETER</t>
  </si>
  <si>
    <t>LITER</t>
  </si>
  <si>
    <t>METER</t>
  </si>
  <si>
    <t>METRIC TON</t>
  </si>
  <si>
    <t>MILLIGRAM</t>
  </si>
  <si>
    <t>MILLILITER</t>
  </si>
  <si>
    <t>MILLIMETER</t>
  </si>
  <si>
    <t>NUMBER</t>
  </si>
  <si>
    <t>OUNCE</t>
  </si>
  <si>
    <t>PAIR</t>
  </si>
  <si>
    <t>PIECE</t>
  </si>
  <si>
    <t>PIECES</t>
  </si>
  <si>
    <t>PINT</t>
  </si>
  <si>
    <t>POUNDS</t>
  </si>
  <si>
    <t>QUART</t>
  </si>
  <si>
    <t>SHORT TON</t>
  </si>
  <si>
    <t>SQUARE CENTIMETERS</t>
  </si>
  <si>
    <t>SQUARE FEET</t>
  </si>
  <si>
    <t>SQUARE FOOT</t>
  </si>
  <si>
    <t>SQUARE INCH</t>
  </si>
  <si>
    <t>SQUARE KILOMETER</t>
  </si>
  <si>
    <t>SQUARE METER</t>
  </si>
  <si>
    <t>SQUARE MILLIMETERS</t>
  </si>
  <si>
    <t>SQUARE YARD</t>
  </si>
  <si>
    <t>THOUSAND METERS</t>
  </si>
  <si>
    <t>THOUSAND UNITS</t>
  </si>
  <si>
    <t>TONS</t>
  </si>
  <si>
    <t xml:space="preserve">YARD </t>
  </si>
  <si>
    <t>Inner Pck not Multiple of Case Pck</t>
  </si>
  <si>
    <t>changed the term Payment Terms to Terms to match RMS 12</t>
  </si>
  <si>
    <t>Changed B6 on po to calculate based on the Import field being Y or N.</t>
  </si>
  <si>
    <t>List of valid Units Of Measure (UOM) for Hazardous items.</t>
  </si>
  <si>
    <t>Change font on Title Pass Location to make readable</t>
  </si>
  <si>
    <t>Change font on Origin City and State to make readable</t>
  </si>
  <si>
    <t>Add change form</t>
  </si>
  <si>
    <t>Correct spelling on UOM listing.</t>
  </si>
  <si>
    <t>Item Add Del Change Addendum</t>
  </si>
  <si>
    <t>Log ID:</t>
  </si>
  <si>
    <t>POG Max QTY</t>
  </si>
  <si>
    <t>Cell B10 - renamed to Log ID.  This will reflect the record number from Spedy.</t>
  </si>
  <si>
    <t>Cell AJ2 - rename to POG Start Date</t>
  </si>
  <si>
    <t>Cell AJ2 - rename to POG Comp Date</t>
  </si>
  <si>
    <t>Cell I17 - rename to Like Item Regular Units - as a percentage</t>
  </si>
  <si>
    <t>Cell V17 - inserted a column - to create a POG max QTY</t>
  </si>
  <si>
    <t>Nate found that the range included the 65000 line and thus caused the file to bloat.  Ranged fixed</t>
  </si>
  <si>
    <t>PO worksheets</t>
  </si>
  <si>
    <t>added Title Pass Location to all three worksheets - code to auto calculate</t>
  </si>
  <si>
    <t>Change verbiage to match RMS12 on PO worksheets. Ship \ Cancel\ Arrival dates</t>
  </si>
  <si>
    <t>Make Direct \ WHSE and Seasonal \ Basic radio buttons work while sheet is locked</t>
  </si>
  <si>
    <t>all PO's</t>
  </si>
  <si>
    <t>Kathy Rolando</t>
  </si>
  <si>
    <t>revise call out to inner pack \ master pack</t>
  </si>
  <si>
    <t>Kelly Bollinger</t>
  </si>
  <si>
    <t>Vic Galilee</t>
  </si>
  <si>
    <t>Dean Jaeger</t>
  </si>
  <si>
    <t>Ship Date:</t>
  </si>
  <si>
    <t>Hold Out Begin Date:</t>
  </si>
  <si>
    <t>Protected Cells</t>
  </si>
  <si>
    <t xml:space="preserve">        Choose how do you want this form to calculate the totals - (pick only one)</t>
  </si>
  <si>
    <t>You will provide the Annual Regular Unit Forcast (52 Weeks)</t>
  </si>
  <si>
    <t>POG Comp Date:</t>
  </si>
  <si>
    <t>Cancel Date:</t>
  </si>
  <si>
    <t>Hold Out End Date:</t>
  </si>
  <si>
    <t>You will provide the Ave Reg Unit / Store / Month</t>
  </si>
  <si>
    <t>Event Code:</t>
  </si>
  <si>
    <t>Arrival Date:</t>
  </si>
  <si>
    <t>Exit Date:</t>
  </si>
  <si>
    <t>SLIM Auto On Date:</t>
  </si>
  <si>
    <t>Vendor/CMA Keyed Fields</t>
  </si>
  <si>
    <t>MA Keyed Fields</t>
  </si>
  <si>
    <t>Formula - Do Not Key</t>
  </si>
  <si>
    <t>MA Approval:</t>
  </si>
  <si>
    <t>Replenishment Supervisor Approval:</t>
  </si>
  <si>
    <t>E3 - Yearly Demand Forecast</t>
  </si>
  <si>
    <t>New SKU Retail</t>
  </si>
  <si>
    <t>"Seasonality" Like Item SKU</t>
  </si>
  <si>
    <t>"Seasonality" Like Item Description</t>
  </si>
  <si>
    <t>"Seasonality" Like Item Retail</t>
  </si>
  <si>
    <t>Annual Regular Unit Forecast (52 Week)</t>
  </si>
  <si>
    <t>Avg Reg Unit/ Store/ Month</t>
  </si>
  <si>
    <t>"Seasonality" Like Item Store Count</t>
  </si>
  <si>
    <t>"Seasonality" Like Item Regular Unit (52 Week)</t>
  </si>
  <si>
    <t>"Seasonality' like Item Avg Reg Unit/ Store/ Month</t>
  </si>
  <si>
    <t>Like Item Copy %</t>
  </si>
  <si>
    <t>Adjusted - E3 - Yearly Demand Forecast</t>
  </si>
  <si>
    <t>Adjusted - Avg Reg Unit/ Store/ Month</t>
  </si>
  <si>
    <t>Annual Reg Retail Sales $</t>
  </si>
  <si>
    <t>Total E3 Yearly Demand</t>
  </si>
  <si>
    <t>PQPF (Min Pres per Facing)</t>
  </si>
  <si>
    <t xml:space="preserve"> Initial Set Qty per Store</t>
  </si>
  <si>
    <t>Removed from workbook</t>
  </si>
  <si>
    <t>Like Item</t>
  </si>
  <si>
    <t>Added to Workbook</t>
  </si>
  <si>
    <t>Linked cell C1 to Add change Form - to get version</t>
  </si>
  <si>
    <t>Linked cell B18, C18, D18 to Add change Form - to get item, description, retail</t>
  </si>
  <si>
    <t>Increased row count to 100 and added numbers</t>
  </si>
  <si>
    <t>Copied all formulas on row 18 down to the last row.</t>
  </si>
  <si>
    <t>Rennie Balcer</t>
  </si>
  <si>
    <t>CN - AK SBA Splits</t>
  </si>
  <si>
    <t>Remove no longer need</t>
  </si>
  <si>
    <t>USA SBA Split</t>
  </si>
  <si>
    <t>Allocation Instructions</t>
  </si>
  <si>
    <t>LIKE Item Approval Form</t>
  </si>
  <si>
    <t>Added event code SPRNG9 to Cell C4 drop down to range AI42:AI185</t>
  </si>
  <si>
    <t>Keyed By</t>
  </si>
  <si>
    <t>Mashonda Walker</t>
  </si>
  <si>
    <t>Ron Brack</t>
  </si>
  <si>
    <t>User</t>
  </si>
  <si>
    <t>Computer</t>
  </si>
  <si>
    <t>brack</t>
  </si>
  <si>
    <t>ZONE</t>
  </si>
  <si>
    <t>HIGH</t>
  </si>
  <si>
    <t>SMALL</t>
  </si>
  <si>
    <t>MARKET</t>
  </si>
  <si>
    <t>LOW</t>
  </si>
  <si>
    <t>MAN-</t>
  </si>
  <si>
    <t>HATTAN</t>
  </si>
  <si>
    <t>RENAME CELLS ON ROW 15 TO COUNT RIGHT. START WITH 24 ON</t>
  </si>
  <si>
    <t>Rename Cell T 18, 19, 20, 21 from Base Retail Zone 1 TO Base 1 Retail Zone</t>
  </si>
  <si>
    <t>Rename Cell U 18, 19, 20, 21 from CENTRAL Retail Zone 2 TO Base 2 Retail Zone</t>
  </si>
  <si>
    <t>Rename Cell V 18, 19, 20, 21 from TEST Retail Zone 3 TO TEST Retail Zone</t>
  </si>
  <si>
    <t>Rename Cell W 18, 19, 20, 21 from ALASKA Retail Zone 4 TO ALASKA Retail Zone</t>
  </si>
  <si>
    <t>Rename Cell X 18, 19, 20, 21 from CANADA Retail Zone 5 TO  CANADA Retail Zone</t>
  </si>
  <si>
    <t>Insert Added Cell "AE" 18, 19, 20, 21 Column for the New Price Zone - "LOW 2 RETAIL ZONE"</t>
  </si>
  <si>
    <t>Insert Added Cell "AF" 18, 19, 20, 21 Column for the New Price Zone - "MANHATTAN RETAIL ZONE"</t>
  </si>
  <si>
    <t>Insert Added Cell "AD" 18, 19, 20, 21 Column for the New Price Zone - "LOW 1 RETAIL ZONE"</t>
  </si>
  <si>
    <t>Insert Added Cell "AC" 18, 19, 20, 21 Column for the New Price Zone - "BASE 3 RETAIL ZONE"</t>
  </si>
  <si>
    <t>Insert Added Cell "AB" 18, 19, 20, 21 Column for the New Price Zone - "HIGH 1 RETAIL ZONE"</t>
  </si>
  <si>
    <t>Insert Added Cell "AA" 18, 19, 20, 21 Column for the New Price Zone - "SMALL MARKET RETAIL ZONE"</t>
  </si>
  <si>
    <t>Insert Added Cell "Z" 18, 19, 20, 21 Column for the New Price Zone - "HIGH 3 RETAIL ZONE"</t>
  </si>
  <si>
    <t>Insert Added Cell "Y" 18, 19, 20, 21 Column for the New Price Zone - "HIGH 2 RETAIL ZONE"</t>
  </si>
  <si>
    <t>You are seeing this page because the Security Level on this computer is set either on High or Medium and the Macro's were not enabled.</t>
  </si>
  <si>
    <r>
      <t xml:space="preserve">For this workbook to work, the Marco's must be enabled.  To resolve this, goto </t>
    </r>
    <r>
      <rPr>
        <b/>
        <sz val="20"/>
        <color indexed="10"/>
        <rFont val="Arial"/>
        <family val="2"/>
      </rPr>
      <t>Tools</t>
    </r>
    <r>
      <rPr>
        <sz val="20"/>
        <rFont val="Arial"/>
      </rPr>
      <t xml:space="preserve">, select </t>
    </r>
    <r>
      <rPr>
        <b/>
        <sz val="20"/>
        <color indexed="10"/>
        <rFont val="Arial"/>
        <family val="2"/>
      </rPr>
      <t>Macro</t>
    </r>
    <r>
      <rPr>
        <sz val="20"/>
        <rFont val="Arial"/>
      </rPr>
      <t xml:space="preserve">, select </t>
    </r>
    <r>
      <rPr>
        <b/>
        <sz val="20"/>
        <color indexed="10"/>
        <rFont val="Arial"/>
        <family val="2"/>
      </rPr>
      <t>Security</t>
    </r>
    <r>
      <rPr>
        <sz val="20"/>
        <rFont val="Arial"/>
      </rPr>
      <t xml:space="preserve">…, on the </t>
    </r>
    <r>
      <rPr>
        <b/>
        <sz val="20"/>
        <color indexed="10"/>
        <rFont val="Arial"/>
        <family val="2"/>
      </rPr>
      <t>Security Level</t>
    </r>
    <r>
      <rPr>
        <sz val="20"/>
        <rFont val="Arial"/>
      </rPr>
      <t xml:space="preserve"> Tab, select </t>
    </r>
    <r>
      <rPr>
        <b/>
        <sz val="20"/>
        <color indexed="10"/>
        <rFont val="Arial"/>
        <family val="2"/>
      </rPr>
      <t>Medium</t>
    </r>
    <r>
      <rPr>
        <sz val="20"/>
        <rFont val="Arial"/>
      </rPr>
      <t>, click OK.  Once the changes are made, close this file and re-open it.  When prompted to "ENABLE" or "DISABLE" macros, select "</t>
    </r>
    <r>
      <rPr>
        <b/>
        <sz val="20"/>
        <color indexed="10"/>
        <rFont val="Arial"/>
        <family val="2"/>
      </rPr>
      <t>ENABLE</t>
    </r>
    <r>
      <rPr>
        <sz val="20"/>
        <rFont val="Arial"/>
      </rPr>
      <t xml:space="preserve">". </t>
    </r>
  </si>
  <si>
    <t>Add user open code</t>
  </si>
  <si>
    <t>Added VBA to open Security screen if macro's were disabled</t>
  </si>
  <si>
    <t>rename Sheet4 to Sheet04</t>
  </si>
  <si>
    <t>rename Sheet0 to Sheet00</t>
  </si>
  <si>
    <t>rename Sheet6 to Sheet06</t>
  </si>
  <si>
    <t>rename Sheet14 to Sheet02</t>
  </si>
  <si>
    <t>rename Sheet17 to Sheet07</t>
  </si>
  <si>
    <t>Created Module 1</t>
  </si>
  <si>
    <t>Added functions</t>
  </si>
  <si>
    <t>Changed password</t>
  </si>
  <si>
    <t>Remove three fields that are on the like item tab  "POG Setup per Store"  cell AG</t>
  </si>
  <si>
    <t>Remove three fields that are on the like item tab  "POG MAX QTY"  cell AH</t>
  </si>
  <si>
    <t>Remove three fields that are on the like item tab  "Projected  Unit Sales Per Store Per Month"  cell AI</t>
  </si>
  <si>
    <t>Found error in Validation of the New Price Zones. Columns T thru AF</t>
  </si>
  <si>
    <t>Columns T,U,V,W,Y,Z,AA,AB,AC,AD,AE,AF Validation was to the cell to the immediate left should have been R23</t>
  </si>
  <si>
    <t>Copied new formulas in T23 Thru AF23 to T24 thru AF122 and fixed call out</t>
  </si>
  <si>
    <t>A</t>
  </si>
  <si>
    <t>B</t>
  </si>
  <si>
    <t>C</t>
  </si>
  <si>
    <t>D</t>
  </si>
  <si>
    <t>E</t>
  </si>
  <si>
    <t>POWorksheet</t>
  </si>
  <si>
    <t>Canada POWorksheet</t>
  </si>
  <si>
    <t>Alaska POWorksheet</t>
  </si>
  <si>
    <t>Added events to drop down (SUM1B,FALL4A,FALL4B,CMAS2A,CMAS2B,CMAS3A,CMAS3B,CMAS5A,CMAS5B,CMAS6A,CMAS6B)</t>
  </si>
  <si>
    <t>VBA</t>
  </si>
  <si>
    <t>increase line count to 1000 line for items</t>
  </si>
  <si>
    <t>Need to add Packaging Cost and First Cost Fields</t>
  </si>
  <si>
    <t>Per Buyer Meeting - limit Row count to 250</t>
  </si>
  <si>
    <t>Champion</t>
  </si>
  <si>
    <t>Need to Unlock the Sheet so that edits can be made - NEVER lock the LIKE ITEM SHEET</t>
  </si>
  <si>
    <t>remove the radio buttons on the like item sheet - Spedy doesn’t like them - make them a drop down list</t>
  </si>
  <si>
    <t>remove the Simple pack from the Item Type option</t>
  </si>
  <si>
    <t>Spedy Phase II</t>
  </si>
  <si>
    <t>TOTAL US</t>
  </si>
  <si>
    <t>TOTAL Canada</t>
  </si>
  <si>
    <t>QTY</t>
  </si>
  <si>
    <t>(Choose One)</t>
  </si>
  <si>
    <t>Added Total Unit Cost US (Column T)</t>
  </si>
  <si>
    <t xml:space="preserve">Added Additional Unit Cost Label - Cell S8 </t>
  </si>
  <si>
    <t>Added Additional Unit Cost field - Cell U8</t>
  </si>
  <si>
    <t>Po Worksheet</t>
  </si>
  <si>
    <t>formula for calculating the Total US cost and Total Canada cost was broke - now works</t>
  </si>
  <si>
    <t>workbook</t>
  </si>
  <si>
    <t>Workbook</t>
  </si>
  <si>
    <t>removed bogus code</t>
  </si>
  <si>
    <t>Need to remove the check for blank cell "C23" in formula in Total US and Canada Cost Fields</t>
  </si>
  <si>
    <t>Need to remove the check for blank cell "C23" in formula in Total US copied to all cells</t>
  </si>
  <si>
    <t>Need to remove the check for blank cell "C23" in formula in Total Canada Copied to all cells</t>
  </si>
  <si>
    <t>=IF(S24="","",IF(C24="","",IF(AND(IF($N$5="C",1,0),IF(C24&lt;&gt;"C",1,0))=1,S24+$U$8,S24)))</t>
  </si>
  <si>
    <t>=IF(S24="","",IF(AND(IF($N$5="C",1,0),IF(C24&lt;&gt;"C",1,0))=1,S24+$U$8,S24))</t>
  </si>
  <si>
    <t>Original  Formula</t>
  </si>
  <si>
    <t>New Formula</t>
  </si>
  <si>
    <t>Added Total Unit Cost Canada (Column V)</t>
  </si>
  <si>
    <t>Fix Spelling of Component in Cell P18</t>
  </si>
  <si>
    <t>Changed the Events that can be chosen</t>
  </si>
  <si>
    <t>Add component Qty field (Column P)</t>
  </si>
  <si>
    <t>Need to Lock Fields that are Black \ Grayed out (J,K,L,M and R, S)</t>
  </si>
  <si>
    <t>Field Name Change Cell C23 for Display and Display Pack with PIAB and PDQ options</t>
  </si>
  <si>
    <t>Change the code that was causing the wrong form to be formatted.</t>
  </si>
  <si>
    <t>Column X Old Formula was looking at Test, Central and Alaska Zones - Fixed to read Canada Cost, US Cost US Retail</t>
  </si>
  <si>
    <t>Removed Workbook protection - Cleared each sheet and applied PWD to sheet only</t>
  </si>
  <si>
    <t>COMPONENT</t>
  </si>
  <si>
    <t>Security</t>
  </si>
  <si>
    <t>add version number</t>
  </si>
  <si>
    <t>Nick Roberson</t>
  </si>
  <si>
    <t>Need to add "Ins System Date" to PO sheet</t>
  </si>
  <si>
    <t>Need to make UPC field allow for a 14 digit upc Number</t>
  </si>
  <si>
    <t>Sylvia Paredes</t>
  </si>
  <si>
    <t>Need to Add Package Language Indicator</t>
  </si>
  <si>
    <t>Trilingual</t>
  </si>
  <si>
    <t>Insert Columns "BG ~ BI" Format cell insert Header</t>
  </si>
  <si>
    <t>Package Language</t>
  </si>
  <si>
    <t>Indicator</t>
  </si>
  <si>
    <t>ENGLISH</t>
  </si>
  <si>
    <t>CANADIAN</t>
  </si>
  <si>
    <t>FRENCH</t>
  </si>
  <si>
    <t>LATIN</t>
  </si>
  <si>
    <t>AMERICAN</t>
  </si>
  <si>
    <t>SPANISH</t>
  </si>
  <si>
    <t>Item Type Attribute:</t>
  </si>
  <si>
    <t>Fixed Named Ranges that were bad.</t>
  </si>
  <si>
    <t>Item Add Del Chng Addendum</t>
  </si>
  <si>
    <t>Removed from workbook - moved to Item Work Book V13.18 FORMS REMOVED FROM WORKBOOK.xlsx</t>
  </si>
  <si>
    <t>Ribbon - Formulas - Name Manager - reviewed links and fixed</t>
  </si>
  <si>
    <t>Remove grid lines from final Print</t>
  </si>
  <si>
    <t>widen columns J, K, L, M, so wording in header would be seen</t>
  </si>
  <si>
    <t>Unlocked Comments field</t>
  </si>
  <si>
    <t>Locked Columns AN and AS Inner Case and Master Case Cube</t>
  </si>
  <si>
    <t>Centered Columns AN and AS Inner Case and Master Case Cube</t>
  </si>
  <si>
    <t>Hidden Formula Columns AN and AS Inner Case and Master Case Cube</t>
  </si>
  <si>
    <t>Unmerged Cells X ~ AI so Worksheet description would be on the first page</t>
  </si>
  <si>
    <t>removed Top and Right boarders from range AI2~AT14</t>
  </si>
  <si>
    <t>Add Boarder right side range AH2 ~ AH14</t>
  </si>
  <si>
    <t>Moved Worksheet Description field from AJ ~ AS to Y ~ AG So it  fits first page - One Cell SHORTER THAN BEFORE</t>
  </si>
  <si>
    <t>Change the color to Dept. from purple to green - From buyer to Vendor fill in.</t>
  </si>
  <si>
    <t xml:space="preserve">Version for the RMS12 upgrade project - Spedy </t>
  </si>
  <si>
    <t>This is a favor:  Can you add an Auto Fill in cell (B24).  It would
be from the New Item tab Vendor field.  I like to have the vendor name
and or category splitting on the sheets.  This is something we've done
in Dept. 5 for 4 years.  It helps in keeping track of the splits through
the hard copies.</t>
  </si>
  <si>
    <t>Allocation Effective Date:  Should be 1 week earlier then US Allocation Effective Date.  Should stay override able, in case Sku's come in late
and US/Can/AK split at same time.</t>
  </si>
  <si>
    <t>Remove Signatures on Add Change tab - Mgr. Pricing</t>
  </si>
  <si>
    <t>Remove code to figure out if Pricing Mgr. needs to sign, DBC will track signature</t>
  </si>
  <si>
    <t>Team Meeting</t>
  </si>
  <si>
    <t>Add Private Brands to Form</t>
  </si>
  <si>
    <t>Change Print Range to include 3rd page</t>
  </si>
  <si>
    <t>Remove field POG setup\ Inner Pack Issue Column BR - Since this was moved to Like Item Sheet - No need as it had errors</t>
  </si>
  <si>
    <t>Inserted two columns for the new Price Zones</t>
  </si>
  <si>
    <t>Column</t>
  </si>
  <si>
    <t>AI</t>
  </si>
  <si>
    <t>AJ, AK</t>
  </si>
  <si>
    <t>to CM</t>
  </si>
  <si>
    <t>BK - CM</t>
  </si>
  <si>
    <t>Inserted columns and widen to needed width</t>
  </si>
  <si>
    <t>BR</t>
  </si>
  <si>
    <t>Fix Formula to read correctly</t>
  </si>
  <si>
    <t>Version</t>
  </si>
  <si>
    <t>Sub</t>
  </si>
  <si>
    <t>Q5</t>
  </si>
  <si>
    <t>PR</t>
  </si>
  <si>
    <t>AJ</t>
  </si>
  <si>
    <t>Fix Formula to read from =IF(W23="","",W23) Base 1</t>
  </si>
  <si>
    <t>AK</t>
  </si>
  <si>
    <t>Fix Formula to read from =IF(Z23="","",Z23) Alaska</t>
  </si>
  <si>
    <t>Fix Call out</t>
  </si>
  <si>
    <t>PRIVATE</t>
  </si>
  <si>
    <t>BRANDS</t>
  </si>
  <si>
    <t>LABEL</t>
  </si>
  <si>
    <t>PRIVATE BRAND DROP DOWN LIST</t>
  </si>
  <si>
    <t>ART MINDS</t>
  </si>
  <si>
    <t>ARTISTS LOFT</t>
  </si>
  <si>
    <t>ASHLAND</t>
  </si>
  <si>
    <t>BEAD LANDING</t>
  </si>
  <si>
    <t>CELEBRATE IT</t>
  </si>
  <si>
    <t>CRAFT SMART</t>
  </si>
  <si>
    <t>CREATOLOGY</t>
  </si>
  <si>
    <t>IMAGIN8</t>
  </si>
  <si>
    <t>LOOPS &amp; THREADS</t>
  </si>
  <si>
    <t>NON PRIVATE BRAND</t>
  </si>
  <si>
    <t>RECOLLECTIONS</t>
  </si>
  <si>
    <t>STUDIO DECOR</t>
  </si>
  <si>
    <t>TOWER BASKETS</t>
  </si>
  <si>
    <t>BL</t>
  </si>
  <si>
    <t>CQ</t>
  </si>
  <si>
    <t>BG</t>
  </si>
  <si>
    <t>J,K,L,M</t>
  </si>
  <si>
    <t>X4</t>
  </si>
  <si>
    <t>AN,AS</t>
  </si>
  <si>
    <t>X ~ AI</t>
  </si>
  <si>
    <t>LONG</t>
  </si>
  <si>
    <t>SHORT</t>
  </si>
  <si>
    <t>Private Label Drop Down List to pick from</t>
  </si>
  <si>
    <t>(Limit to 100 Characters)</t>
  </si>
  <si>
    <t>LONG DESCRIPTION</t>
  </si>
  <si>
    <t>(Limit to 150 Characters)</t>
  </si>
  <si>
    <t>SHORT DESCRIPTION</t>
  </si>
  <si>
    <t>LATIN AMERICAN</t>
  </si>
  <si>
    <t>TRANSLATION INDICATOR - English Y/N</t>
  </si>
  <si>
    <t>TRANSLATION INDICATOR - English LONG DESCRIPTION</t>
  </si>
  <si>
    <t>TRANSLATION INDICATOR - English SHORT DESCRIPTION</t>
  </si>
  <si>
    <t>TRANSLATION INDICATOR - FRENCH LONG DESCRIPTION</t>
  </si>
  <si>
    <t>TRANSLATION INDICATOR - FRENCH Y/N</t>
  </si>
  <si>
    <t>TRANSLATION INDICATOR - FRENCH SHORT DESCRIPTION</t>
  </si>
  <si>
    <t>BM</t>
  </si>
  <si>
    <t>BN</t>
  </si>
  <si>
    <t>BO</t>
  </si>
  <si>
    <t>BP</t>
  </si>
  <si>
    <t>BQ</t>
  </si>
  <si>
    <t>BS</t>
  </si>
  <si>
    <t>BT</t>
  </si>
  <si>
    <t>BU</t>
  </si>
  <si>
    <t>TRANSLATION INDICATOR - English Y/N - DATA VALIDATION</t>
  </si>
  <si>
    <t>TRANSLATION INDICATOR - English Y/N - CONDITIONAL FORMAT</t>
  </si>
  <si>
    <t>TRANSLATION INDICATOR - English LONG DESCRIPTION - DATA VALIDATION</t>
  </si>
  <si>
    <t>TRANSLATION INDICATOR - English SHORT DESCRIPTION - DATA VALIDATION</t>
  </si>
  <si>
    <t>TRANSLATION INDICATOR - English SHORT DESCRIPTION - CONDITIONAL FORMAT</t>
  </si>
  <si>
    <t>TRANSLATION INDICATOR - FRENCH Y/N - DATA VALIDATION</t>
  </si>
  <si>
    <t>TRANSLATION INDICATOR - FRENCH Y/N - CONDITIONAL FORMAT</t>
  </si>
  <si>
    <t>TRANSLATION INDICATOR - FRENCH LONG DESCRIPTION - DATA VALIDATION</t>
  </si>
  <si>
    <t>TRANSLATION INDICATOR - FRENCH LONG DESCRIPTION - CONDITIONAL FORMAT</t>
  </si>
  <si>
    <t>TRANSLATION INDICATOR - FRENCH SHORT DESCRIPTION - DATA VALIDATION</t>
  </si>
  <si>
    <t>TRANSLATION INDICATOR - FRENCH SHORT DESCRIPTION - CONDITIONAL FORMAT</t>
  </si>
  <si>
    <t>TRANSLATION INDICATOR - SPANISH SHORT DESCRIPTION - CONDITIONAL FORMAT</t>
  </si>
  <si>
    <t>TRANSLATION INDICATOR - SPANISH SHORT DESCRIPTION - DATA VALIDATION</t>
  </si>
  <si>
    <t>TRANSLATION INDICATOR - SPANISH SHORT DESCRIPTION</t>
  </si>
  <si>
    <t>TRANSLATION INDICATOR - SPANISH LONG DESCRIPTION - CONDITIONAL FORMAT</t>
  </si>
  <si>
    <t>TRANSLATION INDICATOR - SPANISH LONG DESCRIPTION - DATA VALIDATION</t>
  </si>
  <si>
    <t>TRANSLATION INDICATOR - SPANISH LONG DESCRIPTION</t>
  </si>
  <si>
    <t>TRANSLATION INDICATOR - SPANISH Y/N - CONDITIONAL FORMAT</t>
  </si>
  <si>
    <t>TRANSLATION INDICATOR - SPANISH Y/N - DATA VALIDATION</t>
  </si>
  <si>
    <t>TRANSLATION INDICATOR - SPANISH Y/N</t>
  </si>
  <si>
    <t>TRANSLATION INDICATOR - English LONG DESCRIPTION - CONDITIONAL FORMAT</t>
  </si>
  <si>
    <t>CUSTOMS</t>
  </si>
  <si>
    <t>Renumber Row 15 to match up the new columns - from 30</t>
  </si>
  <si>
    <t>Renumber Row 15 to match up the new columns - from 31</t>
  </si>
  <si>
    <t>Renumber Row 15 to match up the new columns - from 32</t>
  </si>
  <si>
    <t>Renumber Row 15 to match up the new columns - from 33</t>
  </si>
  <si>
    <t>Renumber Row 15 to match up the new columns - from 34</t>
  </si>
  <si>
    <t>Renumber Row 15 to match up the new columns - from 40</t>
  </si>
  <si>
    <t>Renumber Row 15 to match up the new columns - from 39</t>
  </si>
  <si>
    <t>Renumber Row 15 to match up the new columns - from 38</t>
  </si>
  <si>
    <t>Renumber Row 15 to match up the new columns - from 37</t>
  </si>
  <si>
    <t>Renumber Row 15 to match up the new columns - from 36</t>
  </si>
  <si>
    <t>Renumber Row 15 to match up the new columns - from 35</t>
  </si>
  <si>
    <t>Renumber Row 15 to match up the new columns - from 49</t>
  </si>
  <si>
    <t>Renumber Row 15 to match up the new columns - from 48</t>
  </si>
  <si>
    <t>Renumber Row 15 to match up the new columns - from 47</t>
  </si>
  <si>
    <t>Renumber Row 15 to match up the new columns - from 46</t>
  </si>
  <si>
    <t>Renumber Row 15 to match up the new columns - from 45</t>
  </si>
  <si>
    <t>Renumber Row 15 to match up the new columns - from 44</t>
  </si>
  <si>
    <t>Renumber Row 15 to match up the new columns - from 43</t>
  </si>
  <si>
    <t>Renumber Row 15 to match up the new columns - from 42</t>
  </si>
  <si>
    <t>Renumber Row 15 to match up the new columns - from 41</t>
  </si>
  <si>
    <t>Renumber Row 15 to match up the new columns - from 50</t>
  </si>
  <si>
    <t>Renumber Row 15 to match up the new columns - from 51</t>
  </si>
  <si>
    <t>Renumber Row 15 to match up the new columns - from 52</t>
  </si>
  <si>
    <t>Renumber Row 15 to match up the new columns - from 53</t>
  </si>
  <si>
    <t>Renumber Row 15 to match up the new columns - from 54</t>
  </si>
  <si>
    <t>Renumber Row 15 to match up the new columns - from 55</t>
  </si>
  <si>
    <t>Renumber Row 15 to match up the new columns - from 56</t>
  </si>
  <si>
    <t>Renumber Row 15 to match up the new columns - new</t>
  </si>
  <si>
    <t>CE #79</t>
  </si>
  <si>
    <t>CD #78</t>
  </si>
  <si>
    <t>CC #77</t>
  </si>
  <si>
    <t>CB #76</t>
  </si>
  <si>
    <t>CA #75</t>
  </si>
  <si>
    <t>BZ #74</t>
  </si>
  <si>
    <t>BY #73</t>
  </si>
  <si>
    <t>BX #72</t>
  </si>
  <si>
    <t>BW #71</t>
  </si>
  <si>
    <t>BV #70</t>
  </si>
  <si>
    <t>BU #69</t>
  </si>
  <si>
    <t>BT #68</t>
  </si>
  <si>
    <t>BS #67</t>
  </si>
  <si>
    <t>BR #66</t>
  </si>
  <si>
    <t>BQ #65</t>
  </si>
  <si>
    <t>BP #64</t>
  </si>
  <si>
    <t>BO #63</t>
  </si>
  <si>
    <t>BN #62</t>
  </si>
  <si>
    <t>BM #61</t>
  </si>
  <si>
    <t>BL #60</t>
  </si>
  <si>
    <t>BK #59</t>
  </si>
  <si>
    <t>BJ #58</t>
  </si>
  <si>
    <t>BI #57</t>
  </si>
  <si>
    <t>BH #56</t>
  </si>
  <si>
    <t>BG #55</t>
  </si>
  <si>
    <t>BF #54</t>
  </si>
  <si>
    <t>BE #53</t>
  </si>
  <si>
    <t>BD #52</t>
  </si>
  <si>
    <t>BC #51</t>
  </si>
  <si>
    <t>BB #50</t>
  </si>
  <si>
    <t>BA #49</t>
  </si>
  <si>
    <t>AZ #48</t>
  </si>
  <si>
    <t>AY #47</t>
  </si>
  <si>
    <t>AX #46</t>
  </si>
  <si>
    <t>AW #45</t>
  </si>
  <si>
    <t>AV #44</t>
  </si>
  <si>
    <t>AU #43</t>
  </si>
  <si>
    <t>AT #42</t>
  </si>
  <si>
    <t>AS #41</t>
  </si>
  <si>
    <t>AR #40</t>
  </si>
  <si>
    <t>AQ #39</t>
  </si>
  <si>
    <t>AP #38</t>
  </si>
  <si>
    <t>AO #37</t>
  </si>
  <si>
    <t>AN #36</t>
  </si>
  <si>
    <t>AM #35</t>
  </si>
  <si>
    <t>AL #34</t>
  </si>
  <si>
    <t>AK #33</t>
  </si>
  <si>
    <t>AJ #32</t>
  </si>
  <si>
    <t>CF #80</t>
  </si>
  <si>
    <t>MEDIUM</t>
  </si>
  <si>
    <t>(Limit to 30 Characters)</t>
  </si>
  <si>
    <t>(Limit to 17 Characters)</t>
  </si>
  <si>
    <t>MEDIUM DESCRIPTION</t>
  </si>
  <si>
    <t>ENGLISH YES / NO</t>
  </si>
  <si>
    <t>ENGLISH LONG</t>
  </si>
  <si>
    <t>ENGLISH SHORT changed data validation to match 17 from 18 characters</t>
  </si>
  <si>
    <t>FRENCH YES / NO</t>
  </si>
  <si>
    <t>FRENCH MEDIUM - Inserted column to accommodate the need for a Medium description</t>
  </si>
  <si>
    <t>FRENCH SHORT - Change the data validation from 18 to 17 character limit</t>
  </si>
  <si>
    <t>FRENCH MEDIUM - created Data Validation for 30 characters</t>
  </si>
  <si>
    <t>FRENCH LONG - Verified data validation 150 characters</t>
  </si>
  <si>
    <t>FRENCH LONG - Hid column as we are not going to collect this information now by will in the near future</t>
  </si>
  <si>
    <t>FRENCH LONG - Locked column so no data can be entered</t>
  </si>
  <si>
    <t>ENGLISH MEDIUM - Inserted column to accommodate the English Medium Description 30 Characters</t>
  </si>
  <si>
    <t xml:space="preserve">ENGLISH LONG - Verified data validation </t>
  </si>
  <si>
    <t>ENGLISH MEDIUM - linked to column I "Item Description" so user can see all three to verify</t>
  </si>
  <si>
    <t>ENGLISH MEDIUM - locked field since it is linked to cell I</t>
  </si>
  <si>
    <t>FRENCH MEDIUM - Hid column as we are not going to collect this information now by will in the near future</t>
  </si>
  <si>
    <t>FRENCH SHORT - Hid column as we are not going to collect this information now by will in the near future</t>
  </si>
  <si>
    <t>SPANISH LONG - Verified data validation 150 characters</t>
  </si>
  <si>
    <t>SPANISH LONG - Locked column so no data can be entered</t>
  </si>
  <si>
    <t>SPANISH LONG - Hid column as we are not going to collect this information now by will in the near future</t>
  </si>
  <si>
    <t>SPANISH MEDIUM - Inserted column to accommodate the need for a Medium description</t>
  </si>
  <si>
    <t>SPANISH MEDIUM - created Data Validation for 30 characters</t>
  </si>
  <si>
    <t>SPANISH MEDIUM - Hid column as we are not going to collect this information now by will in the near future</t>
  </si>
  <si>
    <t>SPANISH SHORT - Change the data validation from 18 to 17 character limit</t>
  </si>
  <si>
    <t>SPANISH SHORT - Hid column as we are not going to collect this information now by will in the near future</t>
  </si>
  <si>
    <t>SPANISH YES / NO</t>
  </si>
  <si>
    <t>BV</t>
  </si>
  <si>
    <t>BW</t>
  </si>
  <si>
    <t>BX</t>
  </si>
  <si>
    <t>ROW 15</t>
  </si>
  <si>
    <t>RENUMBERED THE ROW TO ACCOMMODATE THE NEW COLUMNS ADDED</t>
  </si>
  <si>
    <t>08-10-03 09 07 AM</t>
  </si>
  <si>
    <t>ENGLISH LONG - Field was locked and is now unlocked</t>
  </si>
  <si>
    <t>ENGLISH SHORT - Field was locked and is now unlocked</t>
  </si>
  <si>
    <t>The Translation Indicator for Spanish should be disabled (LOCKED) since Spanish translations will not be done in this phase</t>
  </si>
  <si>
    <t xml:space="preserve">BM ~ BU </t>
  </si>
  <si>
    <t xml:space="preserve">Change the Font colors GREEN to black </t>
  </si>
  <si>
    <t>Customs description on the Domestic form is out of scope for Trilingual. (HIDE COLUMN)</t>
  </si>
  <si>
    <t>BY</t>
  </si>
  <si>
    <t>Sri - email Thu 9/13/2012 3:43 PM</t>
  </si>
  <si>
    <t>Sri \ Lori Smith</t>
  </si>
  <si>
    <t>Call out indicated 150 character limit when it should have read 100</t>
  </si>
  <si>
    <t>Sri - email Thu 9/25/2012</t>
  </si>
  <si>
    <t>Translation Indicator</t>
  </si>
  <si>
    <t>IT wanted Translation Indicator in the header of column</t>
  </si>
  <si>
    <t>BN ~ BP</t>
  </si>
  <si>
    <t>BR ~ BT</t>
  </si>
  <si>
    <t>BV ~ BX</t>
  </si>
  <si>
    <t>Wanted Consumer Friendly Description in Header</t>
  </si>
  <si>
    <t>Consumer Friendly Description</t>
  </si>
  <si>
    <t>FRENCH LONG - conditional format if yes is chosen.</t>
  </si>
  <si>
    <t>FRENCH MEDIUM - conditional format if yes is chosen.</t>
  </si>
  <si>
    <t>FRENCH SHORT - conditional format if yes is chosen.</t>
  </si>
  <si>
    <t>SPANISH LONG - conditional format if yes is chosen.</t>
  </si>
  <si>
    <t>SPANISH MEDIUM - conditional format if yes is chosen.</t>
  </si>
  <si>
    <t>SPANISH SHORT - conditional format if yes is chosen.</t>
  </si>
  <si>
    <t>Fixed Space on Consumer Friendly Description</t>
  </si>
  <si>
    <t>Sri - email Thu 9/26/2012</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</si>
</sst>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_(* #,##0_);_(* \(#,##0\);_(* &quot;-&quot;??_);_(@_)"/>
    <numFmt numFmtId="165" formatCode="&quot;$&quot;#,##0.00"/>
    <numFmt numFmtId="166" formatCode="0.000"/>
    <numFmt numFmtId="167" formatCode="&quot;$&quot;#,##0.0000"/>
    <numFmt numFmtId="168" formatCode="[&lt;=9999999]###\-####;\(###\)\ ###\-####"/>
    <numFmt numFmtId="169" formatCode="m/d/yy;@"/>
    <numFmt numFmtId="170" formatCode="m/d;@"/>
    <numFmt numFmtId="171" formatCode="00000000000000"/>
  </numFmts>
  <fonts count="83">
    <font>
      <sz val="12"/>
      <name val="Arial"/>
    </font>
    <font>
      <sz val="10"/>
      <name val="Arial"/>
    </font>
    <font>
      <sz val="10"/>
      <name val="Arial"/>
    </font>
    <font>
      <sz val="12"/>
      <color indexed="8"/>
      <name val="Arial"/>
      <family val="2"/>
    </font>
    <font>
      <b/>
      <sz val="12"/>
      <name val="Arial"/>
      <family val="2"/>
    </font>
    <font>
      <sz val="12"/>
      <name val="Arial"/>
      <family val="2"/>
    </font>
    <font>
      <sz val="10"/>
      <name val="Arial"/>
      <family val="2"/>
    </font>
    <font>
      <b/>
      <sz val="12"/>
      <color indexed="8"/>
      <name val="Arial"/>
      <family val="2"/>
    </font>
    <font>
      <sz val="14"/>
      <name val="SWISS"/>
    </font>
    <font>
      <b/>
      <sz val="10"/>
      <name val="SWISS"/>
    </font>
    <font>
      <sz val="12"/>
      <name val="SWISS"/>
    </font>
    <font>
      <sz val="10"/>
      <name val="SWISS"/>
    </font>
    <font>
      <sz val="6"/>
      <name val="SWISS"/>
      <family val="2"/>
    </font>
    <font>
      <b/>
      <sz val="10"/>
      <color indexed="8"/>
      <name val="Arial"/>
      <family val="2"/>
    </font>
    <font>
      <b/>
      <sz val="10"/>
      <name val="Arial"/>
      <family val="2"/>
    </font>
    <font>
      <sz val="18"/>
      <name val="Arial"/>
      <family val="2"/>
    </font>
    <font>
      <b/>
      <i/>
      <sz val="8"/>
      <name val="SWISS"/>
    </font>
    <font>
      <sz val="7"/>
      <name val="Arial"/>
      <family val="2"/>
    </font>
    <font>
      <b/>
      <sz val="16"/>
      <name val="SWISS"/>
    </font>
    <font>
      <b/>
      <sz val="16"/>
      <name val="Arial"/>
      <family val="2"/>
    </font>
    <font>
      <b/>
      <sz val="20"/>
      <name val="Arial"/>
      <family val="2"/>
    </font>
    <font>
      <sz val="14"/>
      <name val="Arial"/>
      <family val="2"/>
    </font>
    <font>
      <b/>
      <sz val="14"/>
      <name val="Arial"/>
      <family val="2"/>
    </font>
    <font>
      <sz val="12"/>
      <name val="Arial"/>
    </font>
    <font>
      <b/>
      <sz val="24"/>
      <color indexed="10"/>
      <name val="Arial"/>
      <family val="2"/>
    </font>
    <font>
      <b/>
      <sz val="12"/>
      <color indexed="10"/>
      <name val="Arial"/>
      <family val="2"/>
    </font>
    <font>
      <sz val="12"/>
      <color indexed="10"/>
      <name val="Arial"/>
      <family val="2"/>
    </font>
    <font>
      <sz val="16"/>
      <name val="Arial"/>
      <family val="2"/>
    </font>
    <font>
      <sz val="12"/>
      <color indexed="10"/>
      <name val="Arial"/>
    </font>
    <font>
      <sz val="18"/>
      <color indexed="8"/>
      <name val="Arial"/>
      <family val="2"/>
    </font>
    <font>
      <b/>
      <sz val="18"/>
      <color indexed="10"/>
      <name val="Arial"/>
      <family val="2"/>
    </font>
    <font>
      <b/>
      <sz val="14"/>
      <color indexed="10"/>
      <name val="Arial"/>
      <family val="2"/>
    </font>
    <font>
      <b/>
      <sz val="12"/>
      <color indexed="61"/>
      <name val="Arial"/>
      <family val="2"/>
    </font>
    <font>
      <sz val="8"/>
      <name val="Arial"/>
    </font>
    <font>
      <b/>
      <sz val="12"/>
      <color indexed="10"/>
      <name val="Arial"/>
    </font>
    <font>
      <b/>
      <sz val="6"/>
      <color indexed="10"/>
      <name val="SWISS"/>
      <family val="2"/>
    </font>
    <font>
      <sz val="10"/>
      <color indexed="20"/>
      <name val="SWISS"/>
    </font>
    <font>
      <sz val="12"/>
      <color indexed="20"/>
      <name val="Arial"/>
    </font>
    <font>
      <sz val="12"/>
      <color indexed="17"/>
      <name val="Arial"/>
    </font>
    <font>
      <b/>
      <sz val="12"/>
      <color indexed="17"/>
      <name val="Arial"/>
      <family val="2"/>
    </font>
    <font>
      <sz val="12"/>
      <color indexed="17"/>
      <name val="Arial"/>
      <family val="2"/>
    </font>
    <font>
      <b/>
      <sz val="12"/>
      <color indexed="20"/>
      <name val="SWISS"/>
    </font>
    <font>
      <b/>
      <sz val="10"/>
      <color indexed="20"/>
      <name val="Arial"/>
      <family val="2"/>
    </font>
    <font>
      <sz val="8"/>
      <color indexed="17"/>
      <name val="SWISS"/>
    </font>
    <font>
      <sz val="6"/>
      <color indexed="17"/>
      <name val="SWISS"/>
    </font>
    <font>
      <sz val="10"/>
      <color indexed="17"/>
      <name val="SWISS"/>
    </font>
    <font>
      <b/>
      <i/>
      <sz val="10"/>
      <color indexed="17"/>
      <name val="SWISS"/>
    </font>
    <font>
      <b/>
      <sz val="10"/>
      <color indexed="17"/>
      <name val="SWISS"/>
    </font>
    <font>
      <b/>
      <sz val="10"/>
      <color indexed="17"/>
      <name val="Bookman Old Style"/>
      <family val="1"/>
    </font>
    <font>
      <sz val="18"/>
      <color indexed="17"/>
      <name val="Arial"/>
      <family val="2"/>
    </font>
    <font>
      <i/>
      <sz val="10"/>
      <color indexed="17"/>
      <name val="SWISS"/>
      <family val="2"/>
    </font>
    <font>
      <b/>
      <i/>
      <sz val="6"/>
      <color indexed="17"/>
      <name val="SWISS"/>
    </font>
    <font>
      <b/>
      <sz val="12"/>
      <color indexed="17"/>
      <name val="SWISS"/>
    </font>
    <font>
      <sz val="7"/>
      <color indexed="17"/>
      <name val="Arial"/>
      <family val="2"/>
    </font>
    <font>
      <sz val="10"/>
      <color indexed="17"/>
      <name val="Arial"/>
    </font>
    <font>
      <b/>
      <sz val="14"/>
      <color indexed="17"/>
      <name val="Arial"/>
      <family val="2"/>
    </font>
    <font>
      <b/>
      <sz val="10"/>
      <color indexed="17"/>
      <name val="Arial"/>
      <family val="2"/>
    </font>
    <font>
      <sz val="14"/>
      <color indexed="17"/>
      <name val="Arial"/>
      <family val="2"/>
    </font>
    <font>
      <b/>
      <sz val="12"/>
      <color indexed="60"/>
      <name val="Arial"/>
      <family val="2"/>
    </font>
    <font>
      <b/>
      <sz val="12"/>
      <color indexed="20"/>
      <name val="Arial"/>
      <family val="2"/>
    </font>
    <font>
      <sz val="10"/>
      <color indexed="17"/>
      <name val="Arial"/>
      <family val="2"/>
    </font>
    <font>
      <sz val="10"/>
      <color indexed="20"/>
      <name val="Arial"/>
    </font>
    <font>
      <sz val="10"/>
      <color indexed="8"/>
      <name val="Arial"/>
    </font>
    <font>
      <b/>
      <sz val="16"/>
      <color indexed="10"/>
      <name val="Arial"/>
      <family val="2"/>
    </font>
    <font>
      <b/>
      <sz val="14"/>
      <color indexed="8"/>
      <name val="Arial"/>
      <family val="2"/>
    </font>
    <font>
      <b/>
      <sz val="10"/>
      <color indexed="10"/>
      <name val="Arial"/>
      <family val="2"/>
    </font>
    <font>
      <sz val="10"/>
      <color indexed="10"/>
      <name val="Arial"/>
      <family val="2"/>
    </font>
    <font>
      <sz val="10"/>
      <color indexed="8"/>
      <name val="Arial"/>
      <family val="2"/>
    </font>
    <font>
      <b/>
      <sz val="12"/>
      <name val="SWISS"/>
    </font>
    <font>
      <sz val="20"/>
      <name val="Arial"/>
    </font>
    <font>
      <b/>
      <sz val="20"/>
      <color indexed="10"/>
      <name val="Arial"/>
      <family val="2"/>
    </font>
    <font>
      <b/>
      <sz val="14"/>
      <color indexed="12"/>
      <name val="Arial"/>
      <family val="2"/>
    </font>
    <font>
      <sz val="10"/>
      <color indexed="20"/>
      <name val="Arial"/>
      <family val="2"/>
    </font>
    <font>
      <b/>
      <u/>
      <sz val="10"/>
      <color indexed="17"/>
      <name val="Arial"/>
      <family val="2"/>
    </font>
    <font>
      <sz val="10"/>
      <color indexed="10"/>
      <name val="SWISS"/>
    </font>
    <font>
      <u/>
      <sz val="10"/>
      <color indexed="8"/>
      <name val="Arial"/>
      <family val="2"/>
    </font>
    <font>
      <b/>
      <sz val="10"/>
      <color indexed="20"/>
      <name val="SWISS"/>
    </font>
    <font>
      <sz val="10"/>
      <color indexed="8"/>
      <name val="SWISS"/>
      <family val="2"/>
    </font>
    <font>
      <i/>
      <sz val="10"/>
      <name val="Arial"/>
      <family val="2"/>
    </font>
    <font>
      <sz val="16"/>
      <color indexed="8"/>
      <name val="Arial"/>
      <family val="2"/>
    </font>
    <font>
      <b/>
      <sz val="12"/>
      <color rgb="FFFF0000"/>
      <name val="Arial"/>
      <family val="2"/>
    </font>
    <font>
      <sz val="10"/>
      <color theme="1"/>
      <name val="Arial"/>
      <family val="2"/>
    </font>
    <font>
      <sz val="14"/>
      <color theme="1"/>
      <name val="Arial"/>
      <family val="2"/>
    </font>
  </fonts>
  <fills count="8">
    <fill>
      <patternFill patternType="none"/>
    </fill>
    <fill>
      <patternFill patternType="gray125"/>
    </fill>
    <fill>
      <patternFill patternType="solid">
        <fgColor indexed="9"/>
        <bgColor indexed="9"/>
      </patternFill>
    </fill>
    <fill>
      <patternFill patternType="solid">
        <fgColor indexed="9"/>
        <bgColor indexed="22"/>
      </patternFill>
    </fill>
    <fill>
      <patternFill patternType="solid">
        <fgColor indexed="43"/>
        <bgColor indexed="64"/>
      </patternFill>
    </fill>
    <fill>
      <patternFill patternType="solid">
        <fgColor indexed="41"/>
        <bgColor indexed="64"/>
      </patternFill>
    </fill>
    <fill>
      <patternFill patternType="solid">
        <fgColor indexed="13"/>
        <bgColor indexed="64"/>
      </patternFill>
    </fill>
    <fill>
      <patternFill patternType="solid">
        <fgColor indexed="9"/>
        <bgColor indexed="64"/>
      </patternFill>
    </fill>
  </fills>
  <borders count="72">
    <border>
      <left/>
      <right/>
      <top/>
      <bottom/>
      <diagonal/>
    </border>
    <border>
      <left/>
      <right/>
      <top/>
      <bottom style="thin">
        <color indexed="8"/>
      </bottom>
      <diagonal/>
    </border>
    <border>
      <left style="medium">
        <color indexed="8"/>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8"/>
      </right>
      <top/>
      <bottom style="thin">
        <color indexed="8"/>
      </bottom>
      <diagonal/>
    </border>
    <border>
      <left style="thin">
        <color indexed="64"/>
      </left>
      <right style="thin">
        <color indexed="64"/>
      </right>
      <top style="thin">
        <color indexed="64"/>
      </top>
      <bottom style="thin">
        <color indexed="64"/>
      </bottom>
      <diagonal/>
    </border>
    <border>
      <left style="thin">
        <color indexed="8"/>
      </left>
      <right/>
      <top/>
      <bottom/>
      <diagonal/>
    </border>
    <border>
      <left style="thin">
        <color indexed="8"/>
      </left>
      <right/>
      <top/>
      <bottom style="medium">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medium">
        <color indexed="8"/>
      </bottom>
      <diagonal/>
    </border>
    <border>
      <left style="thin">
        <color indexed="8"/>
      </left>
      <right/>
      <top style="thin">
        <color indexed="8"/>
      </top>
      <bottom/>
      <diagonal/>
    </border>
    <border>
      <left style="medium">
        <color indexed="8"/>
      </left>
      <right style="thin">
        <color indexed="8"/>
      </right>
      <top/>
      <bottom/>
      <diagonal/>
    </border>
    <border>
      <left style="medium">
        <color indexed="8"/>
      </left>
      <right style="thin">
        <color indexed="8"/>
      </right>
      <top/>
      <bottom style="medium">
        <color indexed="8"/>
      </bottom>
      <diagonal/>
    </border>
    <border>
      <left/>
      <right/>
      <top/>
      <bottom style="medium">
        <color indexed="8"/>
      </bottom>
      <diagonal/>
    </border>
    <border>
      <left/>
      <right style="medium">
        <color indexed="8"/>
      </right>
      <top/>
      <bottom/>
      <diagonal/>
    </border>
    <border>
      <left style="thin">
        <color indexed="8"/>
      </left>
      <right style="medium">
        <color indexed="8"/>
      </right>
      <top/>
      <bottom/>
      <diagonal/>
    </border>
    <border>
      <left/>
      <right style="thin">
        <color indexed="8"/>
      </right>
      <top/>
      <bottom/>
      <diagonal/>
    </border>
    <border>
      <left style="medium">
        <color indexed="8"/>
      </left>
      <right style="medium">
        <color indexed="8"/>
      </right>
      <top style="thin">
        <color indexed="8"/>
      </top>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style="thin">
        <color indexed="8"/>
      </top>
      <bottom/>
      <diagonal/>
    </border>
    <border>
      <left style="medium">
        <color indexed="8"/>
      </left>
      <right style="medium">
        <color indexed="8"/>
      </right>
      <top/>
      <bottom style="thin">
        <color indexed="8"/>
      </bottom>
      <diagonal/>
    </border>
    <border>
      <left/>
      <right style="medium">
        <color indexed="8"/>
      </right>
      <top/>
      <bottom style="medium">
        <color indexed="8"/>
      </bottom>
      <diagonal/>
    </border>
    <border>
      <left/>
      <right style="thin">
        <color indexed="8"/>
      </right>
      <top/>
      <bottom style="medium">
        <color indexed="8"/>
      </bottom>
      <diagonal/>
    </border>
    <border>
      <left style="thin">
        <color indexed="8"/>
      </left>
      <right style="medium">
        <color indexed="8"/>
      </right>
      <top style="thin">
        <color indexed="8"/>
      </top>
      <bottom/>
      <diagonal/>
    </border>
    <border>
      <left style="thin">
        <color indexed="8"/>
      </left>
      <right style="medium">
        <color indexed="8"/>
      </right>
      <top/>
      <bottom style="medium">
        <color indexed="8"/>
      </bottom>
      <diagonal/>
    </border>
    <border>
      <left style="medium">
        <color indexed="8"/>
      </left>
      <right/>
      <top style="thin">
        <color indexed="8"/>
      </top>
      <bottom/>
      <diagonal/>
    </border>
    <border>
      <left/>
      <right style="medium">
        <color indexed="8"/>
      </right>
      <top style="thin">
        <color indexed="8"/>
      </top>
      <bottom/>
      <diagonal/>
    </border>
    <border>
      <left style="medium">
        <color indexed="8"/>
      </left>
      <right style="medium">
        <color indexed="8"/>
      </right>
      <top style="medium">
        <color indexed="8"/>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top/>
      <bottom style="medium">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8"/>
      </top>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style="double">
        <color indexed="8"/>
      </left>
      <right/>
      <top/>
      <bottom/>
      <diagonal/>
    </border>
    <border>
      <left/>
      <right/>
      <top style="thin">
        <color indexed="8"/>
      </top>
      <bottom style="thin">
        <color indexed="8"/>
      </bottom>
      <diagonal/>
    </border>
    <border>
      <left/>
      <right/>
      <top style="thin">
        <color indexed="8"/>
      </top>
      <bottom style="medium">
        <color indexed="8"/>
      </bottom>
      <diagonal/>
    </border>
    <border>
      <left/>
      <right style="medium">
        <color indexed="8"/>
      </right>
      <top style="thin">
        <color indexed="8"/>
      </top>
      <bottom style="thin">
        <color indexed="8"/>
      </bottom>
      <diagonal/>
    </border>
    <border>
      <left style="medium">
        <color indexed="8"/>
      </left>
      <right style="thin">
        <color indexed="8"/>
      </right>
      <top style="thin">
        <color indexed="8"/>
      </top>
      <bottom/>
      <diagonal/>
    </border>
    <border>
      <left style="thin">
        <color indexed="8"/>
      </left>
      <right/>
      <top/>
      <bottom style="thin">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style="medium">
        <color indexed="8"/>
      </left>
      <right/>
      <top/>
      <bottom style="medium">
        <color indexed="8"/>
      </bottom>
      <diagonal/>
    </border>
    <border>
      <left style="double">
        <color indexed="8"/>
      </left>
      <right/>
      <top style="double">
        <color indexed="8"/>
      </top>
      <bottom/>
      <diagonal/>
    </border>
    <border>
      <left/>
      <right/>
      <top style="double">
        <color indexed="8"/>
      </top>
      <bottom/>
      <diagonal/>
    </border>
    <border>
      <left/>
      <right style="double">
        <color indexed="8"/>
      </right>
      <top style="double">
        <color indexed="8"/>
      </top>
      <bottom/>
      <diagonal/>
    </border>
    <border>
      <left/>
      <right style="double">
        <color indexed="8"/>
      </right>
      <top/>
      <bottom/>
      <diagonal/>
    </border>
    <border>
      <left style="double">
        <color indexed="8"/>
      </left>
      <right/>
      <top/>
      <bottom style="double">
        <color indexed="8"/>
      </bottom>
      <diagonal/>
    </border>
    <border>
      <left/>
      <right/>
      <top/>
      <bottom style="double">
        <color indexed="8"/>
      </bottom>
      <diagonal/>
    </border>
    <border>
      <left/>
      <right style="double">
        <color indexed="8"/>
      </right>
      <top/>
      <bottom style="double">
        <color indexed="8"/>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theme="1"/>
      </bottom>
      <diagonal/>
    </border>
    <border>
      <left style="thin">
        <color indexed="64"/>
      </left>
      <right/>
      <top/>
      <bottom style="thin">
        <color theme="1"/>
      </bottom>
      <diagonal/>
    </border>
  </borders>
  <cellStyleXfs count="4">
    <xf numFmtId="0" fontId="0"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cellStyleXfs>
  <cellXfs count="592">
    <xf numFmtId="0" fontId="0" fillId="0" borderId="0" xfId="0"/>
    <xf numFmtId="0" fontId="8" fillId="0" borderId="0" xfId="0" applyFont="1"/>
    <xf numFmtId="0" fontId="9" fillId="0" borderId="0" xfId="0" applyFont="1"/>
    <xf numFmtId="0" fontId="11" fillId="0" borderId="0" xfId="0" applyFont="1"/>
    <xf numFmtId="0" fontId="0" fillId="0" borderId="1" xfId="0" applyBorder="1"/>
    <xf numFmtId="0" fontId="0" fillId="0" borderId="2" xfId="0" applyBorder="1"/>
    <xf numFmtId="0" fontId="3" fillId="2" borderId="1" xfId="0" applyFont="1" applyFill="1" applyBorder="1"/>
    <xf numFmtId="0" fontId="12" fillId="0" borderId="0" xfId="0" applyFont="1"/>
    <xf numFmtId="0" fontId="9" fillId="0" borderId="0" xfId="0" applyFont="1" applyAlignment="1">
      <alignment horizontal="center"/>
    </xf>
    <xf numFmtId="0" fontId="12" fillId="0" borderId="0" xfId="0" applyFont="1" applyAlignment="1">
      <alignment textRotation="45"/>
    </xf>
    <xf numFmtId="0" fontId="13" fillId="0" borderId="0" xfId="0" applyFont="1" applyAlignment="1">
      <alignment horizontal="center"/>
    </xf>
    <xf numFmtId="0" fontId="11" fillId="0" borderId="0" xfId="0" applyFont="1" applyBorder="1"/>
    <xf numFmtId="0" fontId="0" fillId="0" borderId="0" xfId="0" applyBorder="1"/>
    <xf numFmtId="0" fontId="0" fillId="0" borderId="1" xfId="0" applyFill="1" applyBorder="1"/>
    <xf numFmtId="0" fontId="0" fillId="0" borderId="0" xfId="0" applyFill="1"/>
    <xf numFmtId="0" fontId="13" fillId="0" borderId="3" xfId="0" applyFont="1" applyBorder="1" applyAlignment="1">
      <alignment horizontal="center"/>
    </xf>
    <xf numFmtId="0" fontId="13" fillId="0" borderId="4" xfId="0" applyFont="1" applyBorder="1" applyAlignment="1">
      <alignment horizontal="center"/>
    </xf>
    <xf numFmtId="0" fontId="13" fillId="0" borderId="5" xfId="0" applyFont="1" applyBorder="1" applyAlignment="1">
      <alignment horizontal="center"/>
    </xf>
    <xf numFmtId="0" fontId="13" fillId="0" borderId="3" xfId="0" applyFont="1" applyFill="1" applyBorder="1" applyAlignment="1">
      <alignment horizontal="center"/>
    </xf>
    <xf numFmtId="0" fontId="13" fillId="0" borderId="4" xfId="0" applyFont="1" applyFill="1" applyBorder="1" applyAlignment="1">
      <alignment horizontal="center"/>
    </xf>
    <xf numFmtId="0" fontId="0" fillId="0" borderId="0" xfId="0" applyProtection="1">
      <protection hidden="1"/>
    </xf>
    <xf numFmtId="0" fontId="19" fillId="0" borderId="0" xfId="0" applyFont="1" applyAlignment="1" applyProtection="1">
      <alignment horizontal="centerContinuous"/>
      <protection hidden="1"/>
    </xf>
    <xf numFmtId="0" fontId="20" fillId="0" borderId="0" xfId="0" applyFont="1" applyAlignment="1" applyProtection="1">
      <alignment horizontal="centerContinuous"/>
      <protection hidden="1"/>
    </xf>
    <xf numFmtId="0" fontId="0" fillId="0" borderId="0" xfId="0" applyAlignment="1" applyProtection="1">
      <alignment horizontal="center"/>
      <protection hidden="1"/>
    </xf>
    <xf numFmtId="0" fontId="21" fillId="0" borderId="0" xfId="0" applyFont="1" applyProtection="1">
      <protection hidden="1"/>
    </xf>
    <xf numFmtId="0" fontId="0" fillId="0" borderId="6" xfId="0" applyBorder="1" applyProtection="1">
      <protection hidden="1"/>
    </xf>
    <xf numFmtId="0" fontId="0" fillId="0" borderId="7" xfId="0" applyBorder="1" applyProtection="1">
      <protection hidden="1"/>
    </xf>
    <xf numFmtId="0" fontId="0" fillId="0" borderId="8" xfId="0" applyBorder="1" applyProtection="1">
      <protection hidden="1"/>
    </xf>
    <xf numFmtId="0" fontId="0" fillId="0" borderId="9" xfId="0" applyBorder="1"/>
    <xf numFmtId="0" fontId="25" fillId="0" borderId="0" xfId="0" applyFont="1" applyAlignment="1" applyProtection="1">
      <alignment horizontal="center"/>
      <protection hidden="1"/>
    </xf>
    <xf numFmtId="0" fontId="0" fillId="0" borderId="10" xfId="0" applyBorder="1" applyAlignment="1" applyProtection="1">
      <alignment horizontal="center"/>
      <protection locked="0" hidden="1"/>
    </xf>
    <xf numFmtId="0" fontId="0" fillId="0" borderId="10" xfId="0" applyFill="1" applyBorder="1" applyProtection="1">
      <protection locked="0" hidden="1"/>
    </xf>
    <xf numFmtId="0" fontId="0" fillId="0" borderId="0" xfId="0" applyProtection="1">
      <protection locked="0"/>
    </xf>
    <xf numFmtId="0" fontId="0" fillId="0" borderId="0" xfId="0" applyAlignment="1" applyProtection="1">
      <protection hidden="1"/>
    </xf>
    <xf numFmtId="49" fontId="25" fillId="0" borderId="0" xfId="0" applyNumberFormat="1" applyFont="1" applyAlignment="1" applyProtection="1">
      <protection hidden="1"/>
    </xf>
    <xf numFmtId="0" fontId="15" fillId="0" borderId="0" xfId="0" quotePrefix="1" applyFont="1" applyAlignment="1" applyProtection="1">
      <alignment horizontal="center"/>
      <protection hidden="1"/>
    </xf>
    <xf numFmtId="14" fontId="0" fillId="0" borderId="0" xfId="0" applyNumberFormat="1" applyAlignment="1" applyProtection="1">
      <protection hidden="1"/>
    </xf>
    <xf numFmtId="0" fontId="0" fillId="0" borderId="0" xfId="0" quotePrefix="1" applyAlignment="1" applyProtection="1">
      <protection hidden="1"/>
    </xf>
    <xf numFmtId="0" fontId="43" fillId="0" borderId="11" xfId="0" applyFont="1" applyFill="1" applyBorder="1" applyAlignment="1">
      <alignment horizontal="center"/>
    </xf>
    <xf numFmtId="0" fontId="44" fillId="0" borderId="12" xfId="0" applyFont="1" applyFill="1" applyBorder="1"/>
    <xf numFmtId="0" fontId="45" fillId="0" borderId="13" xfId="0" applyFont="1" applyFill="1" applyBorder="1" applyAlignment="1">
      <alignment horizontal="center"/>
    </xf>
    <xf numFmtId="0" fontId="46" fillId="0" borderId="13" xfId="0" applyFont="1" applyFill="1" applyBorder="1" applyAlignment="1">
      <alignment horizontal="centerContinuous"/>
    </xf>
    <xf numFmtId="0" fontId="45" fillId="0" borderId="14" xfId="0" applyFont="1" applyFill="1" applyBorder="1" applyAlignment="1">
      <alignment horizontal="center"/>
    </xf>
    <xf numFmtId="0" fontId="45" fillId="0" borderId="14" xfId="0" applyFont="1" applyFill="1" applyBorder="1" applyAlignment="1">
      <alignment horizontal="centerContinuous"/>
    </xf>
    <xf numFmtId="0" fontId="48" fillId="0" borderId="14" xfId="0" applyFont="1" applyFill="1" applyBorder="1" applyAlignment="1">
      <alignment horizontal="centerContinuous"/>
    </xf>
    <xf numFmtId="0" fontId="39" fillId="0" borderId="14" xfId="0" applyFont="1" applyFill="1" applyBorder="1"/>
    <xf numFmtId="0" fontId="45" fillId="0" borderId="15" xfId="0" applyFont="1" applyFill="1" applyBorder="1"/>
    <xf numFmtId="0" fontId="38" fillId="0" borderId="15" xfId="0" applyFont="1" applyFill="1" applyBorder="1"/>
    <xf numFmtId="0" fontId="50" fillId="0" borderId="14" xfId="0" applyFont="1" applyFill="1" applyBorder="1" applyAlignment="1">
      <alignment horizontal="center"/>
    </xf>
    <xf numFmtId="0" fontId="51" fillId="0" borderId="11" xfId="0" applyFont="1" applyFill="1" applyBorder="1"/>
    <xf numFmtId="0" fontId="51" fillId="0" borderId="12" xfId="0" applyFont="1" applyFill="1" applyBorder="1"/>
    <xf numFmtId="0" fontId="54" fillId="0" borderId="13" xfId="0" applyFont="1" applyFill="1" applyBorder="1" applyAlignment="1">
      <alignment horizontal="center"/>
    </xf>
    <xf numFmtId="0" fontId="38" fillId="0" borderId="13" xfId="0" applyFont="1" applyFill="1" applyBorder="1"/>
    <xf numFmtId="0" fontId="38" fillId="0" borderId="16" xfId="0" applyFont="1" applyFill="1" applyBorder="1"/>
    <xf numFmtId="0" fontId="54" fillId="0" borderId="14" xfId="0" applyFont="1" applyFill="1" applyBorder="1" applyAlignment="1">
      <alignment horizontal="center"/>
    </xf>
    <xf numFmtId="0" fontId="38" fillId="0" borderId="14" xfId="0" applyFont="1" applyFill="1" applyBorder="1"/>
    <xf numFmtId="0" fontId="38" fillId="0" borderId="11" xfId="0" applyFont="1" applyFill="1" applyBorder="1"/>
    <xf numFmtId="0" fontId="54" fillId="0" borderId="15" xfId="0" applyFont="1" applyFill="1" applyBorder="1" applyAlignment="1">
      <alignment horizontal="center"/>
    </xf>
    <xf numFmtId="0" fontId="54" fillId="0" borderId="12" xfId="0" applyFont="1" applyFill="1" applyBorder="1" applyAlignment="1">
      <alignment horizontal="center"/>
    </xf>
    <xf numFmtId="0" fontId="46" fillId="0" borderId="14" xfId="0" applyFont="1" applyFill="1" applyBorder="1" applyAlignment="1">
      <alignment horizontal="center"/>
    </xf>
    <xf numFmtId="0" fontId="0" fillId="0" borderId="10" xfId="0" applyBorder="1" applyAlignment="1" applyProtection="1">
      <alignment horizontal="right"/>
      <protection locked="0" hidden="1"/>
    </xf>
    <xf numFmtId="0" fontId="0" fillId="0" borderId="10" xfId="0" quotePrefix="1" applyFill="1" applyBorder="1" applyAlignment="1" applyProtection="1">
      <alignment horizontal="center"/>
      <protection locked="0" hidden="1"/>
    </xf>
    <xf numFmtId="0" fontId="0" fillId="0" borderId="10" xfId="0" applyFill="1" applyBorder="1" applyAlignment="1" applyProtection="1">
      <alignment horizontal="center"/>
      <protection locked="0" hidden="1"/>
    </xf>
    <xf numFmtId="0" fontId="0" fillId="0" borderId="0" xfId="0" applyAlignment="1" applyProtection="1">
      <alignment wrapText="1"/>
      <protection hidden="1"/>
    </xf>
    <xf numFmtId="0" fontId="58" fillId="0" borderId="0" xfId="0" applyFont="1" applyAlignment="1" applyProtection="1">
      <protection hidden="1"/>
    </xf>
    <xf numFmtId="0" fontId="24" fillId="0" borderId="0" xfId="0" applyFont="1" applyAlignment="1">
      <alignment horizontal="center" wrapText="1"/>
    </xf>
    <xf numFmtId="169" fontId="0" fillId="0" borderId="0" xfId="0" applyNumberFormat="1" applyAlignment="1" applyProtection="1">
      <protection hidden="1"/>
    </xf>
    <xf numFmtId="0" fontId="54" fillId="0" borderId="17" xfId="0" applyFont="1" applyFill="1" applyBorder="1" applyAlignment="1">
      <alignment horizontal="center"/>
    </xf>
    <xf numFmtId="0" fontId="54" fillId="0" borderId="18" xfId="0" applyFont="1" applyFill="1" applyBorder="1" applyAlignment="1">
      <alignment horizontal="center"/>
    </xf>
    <xf numFmtId="0" fontId="14" fillId="0" borderId="10" xfId="0" applyFont="1" applyFill="1" applyBorder="1" applyAlignment="1" applyProtection="1">
      <alignment horizontal="center"/>
      <protection locked="0"/>
    </xf>
    <xf numFmtId="0" fontId="5" fillId="0" borderId="10" xfId="0" applyFont="1" applyFill="1" applyBorder="1" applyAlignment="1" applyProtection="1">
      <alignment horizontal="left"/>
      <protection locked="0" hidden="1"/>
    </xf>
    <xf numFmtId="0" fontId="22" fillId="0" borderId="0" xfId="0" applyFont="1" applyAlignment="1" applyProtection="1">
      <alignment horizontal="right"/>
      <protection hidden="1"/>
    </xf>
    <xf numFmtId="0" fontId="0" fillId="0" borderId="0" xfId="0" applyAlignment="1" applyProtection="1">
      <alignment horizontal="right"/>
      <protection hidden="1"/>
    </xf>
    <xf numFmtId="0" fontId="55" fillId="0" borderId="0" xfId="0" applyFont="1" applyAlignment="1" applyProtection="1">
      <alignment horizontal="right"/>
      <protection hidden="1"/>
    </xf>
    <xf numFmtId="0" fontId="55" fillId="0" borderId="0" xfId="0" applyFont="1" applyBorder="1" applyAlignment="1" applyProtection="1">
      <alignment horizontal="right"/>
      <protection hidden="1"/>
    </xf>
    <xf numFmtId="0" fontId="19" fillId="0" borderId="0" xfId="0" applyFont="1" applyAlignment="1" applyProtection="1">
      <alignment horizontal="center"/>
      <protection hidden="1"/>
    </xf>
    <xf numFmtId="0" fontId="57" fillId="0" borderId="0" xfId="0" applyFont="1" applyAlignment="1" applyProtection="1">
      <alignment horizontal="right"/>
      <protection hidden="1"/>
    </xf>
    <xf numFmtId="0" fontId="51" fillId="0" borderId="0" xfId="0" applyFont="1" applyFill="1" applyBorder="1"/>
    <xf numFmtId="0" fontId="51" fillId="0" borderId="19" xfId="0" applyFont="1" applyFill="1" applyBorder="1"/>
    <xf numFmtId="0" fontId="49" fillId="0" borderId="0" xfId="0" applyFont="1" applyFill="1" applyBorder="1" applyAlignment="1">
      <alignment horizontal="center"/>
    </xf>
    <xf numFmtId="0" fontId="40" fillId="0" borderId="19" xfId="0" applyFont="1" applyFill="1" applyBorder="1"/>
    <xf numFmtId="0" fontId="58" fillId="0" borderId="0" xfId="0" applyNumberFormat="1" applyFont="1" applyAlignment="1" applyProtection="1">
      <protection hidden="1"/>
    </xf>
    <xf numFmtId="0" fontId="21" fillId="0" borderId="0" xfId="0" applyFont="1" applyFill="1" applyBorder="1" applyAlignment="1" applyProtection="1">
      <alignment horizontal="left"/>
    </xf>
    <xf numFmtId="0" fontId="45" fillId="0" borderId="14" xfId="0" applyFont="1" applyFill="1" applyBorder="1" applyAlignment="1">
      <alignment horizontal="center" vertical="center" wrapText="1"/>
    </xf>
    <xf numFmtId="0" fontId="0" fillId="0" borderId="20" xfId="0" applyBorder="1" applyAlignment="1">
      <alignment horizontal="center" vertical="center" wrapText="1"/>
    </xf>
    <xf numFmtId="0" fontId="23" fillId="0" borderId="21" xfId="0" applyFont="1" applyFill="1" applyBorder="1" applyAlignment="1">
      <alignment horizontal="center" vertical="center" wrapText="1"/>
    </xf>
    <xf numFmtId="0" fontId="0" fillId="0" borderId="14" xfId="0" applyBorder="1" applyAlignment="1">
      <alignment wrapText="1"/>
    </xf>
    <xf numFmtId="0" fontId="37" fillId="0" borderId="14" xfId="0" applyFont="1" applyFill="1" applyBorder="1" applyAlignment="1">
      <alignment wrapText="1"/>
    </xf>
    <xf numFmtId="0" fontId="37" fillId="0" borderId="14" xfId="0" applyFont="1" applyBorder="1" applyAlignment="1">
      <alignment horizontal="center" vertical="center" wrapText="1"/>
    </xf>
    <xf numFmtId="0" fontId="44" fillId="0" borderId="11" xfId="0" applyFont="1" applyFill="1" applyBorder="1"/>
    <xf numFmtId="0" fontId="45" fillId="0" borderId="14" xfId="0" applyFont="1" applyFill="1" applyBorder="1"/>
    <xf numFmtId="0" fontId="38" fillId="0" borderId="22" xfId="0" applyFont="1" applyFill="1" applyBorder="1"/>
    <xf numFmtId="0" fontId="38" fillId="0" borderId="0" xfId="0" applyFont="1" applyFill="1" applyBorder="1"/>
    <xf numFmtId="0" fontId="40" fillId="0" borderId="0" xfId="0" applyFont="1" applyFill="1" applyBorder="1"/>
    <xf numFmtId="0" fontId="16" fillId="0" borderId="11" xfId="0" applyFont="1" applyFill="1" applyBorder="1"/>
    <xf numFmtId="0" fontId="17" fillId="0" borderId="11" xfId="0" applyFont="1" applyFill="1" applyBorder="1"/>
    <xf numFmtId="0" fontId="54" fillId="0" borderId="22" xfId="0" applyFont="1" applyFill="1" applyBorder="1" applyAlignment="1">
      <alignment horizontal="center"/>
    </xf>
    <xf numFmtId="0" fontId="54" fillId="0" borderId="11" xfId="0" applyFont="1" applyFill="1" applyBorder="1" applyAlignment="1">
      <alignment horizontal="center"/>
    </xf>
    <xf numFmtId="0" fontId="54" fillId="0" borderId="20" xfId="0" applyFont="1" applyFill="1" applyBorder="1" applyAlignment="1">
      <alignment horizontal="center"/>
    </xf>
    <xf numFmtId="0" fontId="54" fillId="0" borderId="0" xfId="0" applyFont="1" applyFill="1" applyBorder="1" applyAlignment="1">
      <alignment horizontal="center"/>
    </xf>
    <xf numFmtId="0" fontId="56" fillId="0" borderId="11" xfId="0" applyFont="1" applyFill="1" applyBorder="1" applyAlignment="1">
      <alignment horizontal="center"/>
    </xf>
    <xf numFmtId="0" fontId="56" fillId="0" borderId="0" xfId="0" applyFont="1" applyFill="1" applyBorder="1" applyAlignment="1">
      <alignment horizontal="center"/>
    </xf>
    <xf numFmtId="0" fontId="45" fillId="0" borderId="11" xfId="0" applyFont="1" applyFill="1" applyBorder="1" applyAlignment="1">
      <alignment horizontal="center"/>
    </xf>
    <xf numFmtId="0" fontId="54" fillId="0" borderId="23" xfId="0" applyFont="1" applyFill="1" applyBorder="1" applyAlignment="1">
      <alignment horizontal="center"/>
    </xf>
    <xf numFmtId="0" fontId="54" fillId="0" borderId="24" xfId="0" applyFont="1" applyFill="1" applyBorder="1" applyAlignment="1">
      <alignment horizontal="center"/>
    </xf>
    <xf numFmtId="0" fontId="54" fillId="0" borderId="25" xfId="0" applyFont="1" applyFill="1" applyBorder="1" applyAlignment="1">
      <alignment horizontal="center"/>
    </xf>
    <xf numFmtId="0" fontId="54" fillId="0" borderId="26" xfId="0" applyFont="1" applyFill="1" applyBorder="1" applyAlignment="1">
      <alignment horizontal="center"/>
    </xf>
    <xf numFmtId="0" fontId="0" fillId="0" borderId="23" xfId="0" applyBorder="1"/>
    <xf numFmtId="0" fontId="0" fillId="0" borderId="27" xfId="0" applyBorder="1"/>
    <xf numFmtId="0" fontId="54" fillId="0" borderId="21" xfId="0" applyFont="1" applyFill="1" applyBorder="1" applyAlignment="1">
      <alignment horizontal="center"/>
    </xf>
    <xf numFmtId="0" fontId="54" fillId="0" borderId="28" xfId="0" applyFont="1" applyFill="1" applyBorder="1" applyAlignment="1">
      <alignment horizontal="center"/>
    </xf>
    <xf numFmtId="0" fontId="54" fillId="0" borderId="29" xfId="0" applyFont="1" applyFill="1" applyBorder="1" applyAlignment="1">
      <alignment horizontal="center"/>
    </xf>
    <xf numFmtId="0" fontId="45" fillId="0" borderId="13" xfId="0" applyFont="1" applyFill="1" applyBorder="1"/>
    <xf numFmtId="0" fontId="47" fillId="0" borderId="27" xfId="0" applyFont="1" applyFill="1" applyBorder="1" applyAlignment="1">
      <alignment horizontal="center"/>
    </xf>
    <xf numFmtId="0" fontId="54" fillId="0" borderId="13" xfId="0" applyFont="1" applyFill="1" applyBorder="1" applyAlignment="1">
      <alignment horizontal="right"/>
    </xf>
    <xf numFmtId="0" fontId="54" fillId="0" borderId="15" xfId="0" applyFont="1" applyFill="1" applyBorder="1" applyAlignment="1">
      <alignment horizontal="right"/>
    </xf>
    <xf numFmtId="0" fontId="54" fillId="0" borderId="26" xfId="0" applyFont="1" applyFill="1" applyBorder="1" applyAlignment="1">
      <alignment horizontal="right"/>
    </xf>
    <xf numFmtId="0" fontId="54" fillId="0" borderId="29" xfId="0" applyFont="1" applyFill="1" applyBorder="1" applyAlignment="1">
      <alignment horizontal="right"/>
    </xf>
    <xf numFmtId="0" fontId="0" fillId="0" borderId="30" xfId="0" applyBorder="1"/>
    <xf numFmtId="0" fontId="54" fillId="0" borderId="21" xfId="0" applyFont="1" applyBorder="1" applyAlignment="1">
      <alignment horizontal="center"/>
    </xf>
    <xf numFmtId="0" fontId="60" fillId="0" borderId="21" xfId="0" applyFont="1" applyBorder="1" applyAlignment="1">
      <alignment horizontal="center"/>
    </xf>
    <xf numFmtId="0" fontId="0" fillId="0" borderId="31" xfId="0" applyBorder="1"/>
    <xf numFmtId="0" fontId="0" fillId="0" borderId="32" xfId="0" applyBorder="1" applyAlignment="1"/>
    <xf numFmtId="0" fontId="0" fillId="0" borderId="33" xfId="0" applyBorder="1" applyAlignment="1"/>
    <xf numFmtId="0" fontId="0" fillId="0" borderId="2" xfId="0" applyBorder="1" applyAlignment="1"/>
    <xf numFmtId="0" fontId="0" fillId="0" borderId="9" xfId="0" applyBorder="1" applyAlignment="1"/>
    <xf numFmtId="0" fontId="62" fillId="0" borderId="33" xfId="0" applyFont="1" applyFill="1" applyBorder="1" applyAlignment="1">
      <alignment horizontal="center"/>
    </xf>
    <xf numFmtId="0" fontId="62" fillId="0" borderId="20" xfId="0" applyFont="1" applyFill="1" applyBorder="1" applyAlignment="1">
      <alignment horizontal="center"/>
    </xf>
    <xf numFmtId="0" fontId="47" fillId="0" borderId="24" xfId="0" applyFont="1" applyFill="1" applyBorder="1" applyAlignment="1">
      <alignment horizontal="center"/>
    </xf>
    <xf numFmtId="0" fontId="45" fillId="0" borderId="24" xfId="0" applyFont="1" applyFill="1" applyBorder="1"/>
    <xf numFmtId="0" fontId="11" fillId="0" borderId="0" xfId="0" applyFont="1" applyBorder="1" applyAlignment="1" applyProtection="1"/>
    <xf numFmtId="0" fontId="53" fillId="0" borderId="0" xfId="0" applyFont="1" applyFill="1" applyBorder="1"/>
    <xf numFmtId="0" fontId="42" fillId="0" borderId="34" xfId="0" applyFont="1" applyFill="1" applyBorder="1" applyAlignment="1">
      <alignment horizontal="center"/>
    </xf>
    <xf numFmtId="0" fontId="42" fillId="0" borderId="24" xfId="0" applyFont="1" applyFill="1" applyBorder="1" applyAlignment="1">
      <alignment horizontal="center"/>
    </xf>
    <xf numFmtId="0" fontId="46" fillId="0" borderId="34" xfId="0" applyFont="1" applyFill="1" applyBorder="1" applyAlignment="1">
      <alignment horizontal="center"/>
    </xf>
    <xf numFmtId="0" fontId="46" fillId="0" borderId="24" xfId="0" applyFont="1" applyFill="1" applyBorder="1" applyAlignment="1">
      <alignment horizontal="center"/>
    </xf>
    <xf numFmtId="0" fontId="38" fillId="0" borderId="25" xfId="0" applyFont="1" applyFill="1" applyBorder="1"/>
    <xf numFmtId="0" fontId="60" fillId="0" borderId="21" xfId="0" applyFont="1" applyFill="1" applyBorder="1"/>
    <xf numFmtId="0" fontId="37" fillId="0" borderId="0" xfId="0" applyFont="1" applyBorder="1" applyAlignment="1">
      <alignment horizontal="center" vertical="center" wrapText="1"/>
    </xf>
    <xf numFmtId="0" fontId="0" fillId="0" borderId="0" xfId="0" applyBorder="1" applyProtection="1"/>
    <xf numFmtId="0" fontId="11" fillId="0" borderId="0" xfId="0" applyFont="1" applyBorder="1" applyProtection="1"/>
    <xf numFmtId="0" fontId="0" fillId="0" borderId="0" xfId="0" applyProtection="1"/>
    <xf numFmtId="0" fontId="3" fillId="2" borderId="0" xfId="0" applyFont="1" applyFill="1" applyBorder="1" applyProtection="1"/>
    <xf numFmtId="0" fontId="0" fillId="0" borderId="0" xfId="0" applyFill="1" applyProtection="1"/>
    <xf numFmtId="167" fontId="0" fillId="0" borderId="0" xfId="0" quotePrefix="1" applyNumberFormat="1" applyAlignment="1" applyProtection="1">
      <alignment horizontal="center"/>
      <protection hidden="1"/>
    </xf>
    <xf numFmtId="0" fontId="32" fillId="0" borderId="0" xfId="0" applyFont="1" applyAlignment="1" applyProtection="1">
      <alignment horizontal="center"/>
      <protection hidden="1"/>
    </xf>
    <xf numFmtId="0" fontId="34" fillId="0" borderId="0" xfId="0" applyFont="1" applyProtection="1">
      <protection hidden="1"/>
    </xf>
    <xf numFmtId="0" fontId="13" fillId="0" borderId="0" xfId="0" applyFont="1" applyBorder="1" applyAlignment="1" applyProtection="1">
      <alignment horizontal="center"/>
      <protection hidden="1"/>
    </xf>
    <xf numFmtId="0" fontId="35" fillId="0" borderId="0" xfId="0" applyFont="1" applyProtection="1">
      <protection hidden="1"/>
    </xf>
    <xf numFmtId="0" fontId="12" fillId="0" borderId="0" xfId="0" applyFont="1" applyProtection="1">
      <protection hidden="1"/>
    </xf>
    <xf numFmtId="0" fontId="34" fillId="0" borderId="0" xfId="0" applyFont="1" applyAlignment="1" applyProtection="1">
      <alignment horizontal="center"/>
      <protection hidden="1"/>
    </xf>
    <xf numFmtId="0" fontId="0" fillId="0" borderId="0" xfId="0" applyAlignment="1" applyProtection="1">
      <alignment horizontal="center" textRotation="90"/>
      <protection hidden="1"/>
    </xf>
    <xf numFmtId="0" fontId="34" fillId="0" borderId="34" xfId="0" applyFont="1" applyBorder="1" applyProtection="1">
      <protection hidden="1"/>
    </xf>
    <xf numFmtId="0" fontId="34" fillId="0" borderId="24" xfId="0" applyFont="1" applyBorder="1" applyProtection="1">
      <protection hidden="1"/>
    </xf>
    <xf numFmtId="0" fontId="34" fillId="0" borderId="25" xfId="0" applyFont="1" applyBorder="1" applyProtection="1">
      <protection hidden="1"/>
    </xf>
    <xf numFmtId="0" fontId="0" fillId="0" borderId="0" xfId="0" applyFill="1" applyProtection="1">
      <protection hidden="1"/>
    </xf>
    <xf numFmtId="165" fontId="6" fillId="0" borderId="0" xfId="0" applyNumberFormat="1" applyFont="1" applyBorder="1" applyAlignment="1" applyProtection="1">
      <alignment horizontal="left"/>
    </xf>
    <xf numFmtId="0" fontId="19" fillId="0" borderId="0" xfId="0" applyFont="1" applyAlignment="1" applyProtection="1">
      <alignment horizontal="center"/>
    </xf>
    <xf numFmtId="0" fontId="21" fillId="0" borderId="0" xfId="0" applyFont="1" applyProtection="1"/>
    <xf numFmtId="165" fontId="0" fillId="0" borderId="0" xfId="0" applyNumberFormat="1" applyProtection="1"/>
    <xf numFmtId="165" fontId="6" fillId="0" borderId="0" xfId="0" applyNumberFormat="1" applyFont="1" applyBorder="1" applyProtection="1"/>
    <xf numFmtId="165" fontId="6" fillId="0" borderId="0" xfId="0" applyNumberFormat="1" applyFont="1" applyProtection="1"/>
    <xf numFmtId="0" fontId="21" fillId="0" borderId="0" xfId="0" applyFont="1" applyBorder="1" applyProtection="1"/>
    <xf numFmtId="0" fontId="21" fillId="0" borderId="0" xfId="0" applyFont="1" applyFill="1" applyBorder="1" applyAlignment="1" applyProtection="1">
      <alignment horizontal="center"/>
      <protection hidden="1"/>
    </xf>
    <xf numFmtId="0" fontId="0" fillId="0" borderId="0" xfId="0" applyAlignment="1" applyProtection="1">
      <alignment horizontal="center"/>
    </xf>
    <xf numFmtId="0" fontId="21" fillId="0" borderId="0" xfId="0" applyFont="1" applyFill="1" applyBorder="1" applyAlignment="1" applyProtection="1">
      <alignment horizontal="center"/>
    </xf>
    <xf numFmtId="0" fontId="14" fillId="0" borderId="0" xfId="0" applyFont="1" applyProtection="1"/>
    <xf numFmtId="16" fontId="0" fillId="0" borderId="0" xfId="0" applyNumberFormat="1" applyProtection="1"/>
    <xf numFmtId="0" fontId="21" fillId="0" borderId="0" xfId="0" applyFont="1" applyFill="1" applyProtection="1"/>
    <xf numFmtId="0" fontId="0" fillId="0" borderId="0" xfId="0" applyAlignment="1" applyProtection="1">
      <alignment horizontal="right"/>
    </xf>
    <xf numFmtId="0" fontId="56" fillId="0" borderId="10" xfId="0" applyFont="1" applyBorder="1" applyAlignment="1" applyProtection="1">
      <alignment horizontal="center"/>
    </xf>
    <xf numFmtId="0" fontId="14" fillId="0" borderId="0" xfId="0" applyFont="1" applyBorder="1" applyAlignment="1" applyProtection="1">
      <alignment horizontal="center"/>
    </xf>
    <xf numFmtId="0" fontId="25" fillId="0" borderId="0" xfId="0" applyFont="1" applyProtection="1"/>
    <xf numFmtId="0" fontId="0" fillId="0" borderId="0" xfId="0" applyBorder="1" applyAlignment="1" applyProtection="1">
      <alignment horizontal="center"/>
    </xf>
    <xf numFmtId="0" fontId="0" fillId="0" borderId="0" xfId="0" applyBorder="1" applyAlignment="1" applyProtection="1">
      <alignment horizontal="center"/>
      <protection hidden="1"/>
    </xf>
    <xf numFmtId="0" fontId="3" fillId="3" borderId="0" xfId="0" applyFont="1" applyFill="1" applyBorder="1" applyAlignment="1" applyProtection="1">
      <alignment horizontal="center"/>
      <protection hidden="1"/>
    </xf>
    <xf numFmtId="0" fontId="10" fillId="0" borderId="0" xfId="0" applyFont="1" applyBorder="1" applyAlignment="1" applyProtection="1">
      <alignment horizontal="center"/>
      <protection hidden="1"/>
    </xf>
    <xf numFmtId="0" fontId="29" fillId="0" borderId="0" xfId="0" applyFont="1" applyBorder="1" applyAlignment="1" applyProtection="1">
      <alignment horizontal="center" vertical="top" wrapText="1"/>
      <protection hidden="1"/>
    </xf>
    <xf numFmtId="0" fontId="3" fillId="2" borderId="0" xfId="0" applyFont="1" applyFill="1" applyBorder="1" applyAlignment="1" applyProtection="1">
      <alignment horizontal="center"/>
      <protection hidden="1"/>
    </xf>
    <xf numFmtId="0" fontId="19" fillId="0" borderId="0" xfId="0" applyFont="1" applyAlignment="1">
      <alignment horizontal="center"/>
    </xf>
    <xf numFmtId="0" fontId="13" fillId="0" borderId="0" xfId="0" applyFont="1" applyBorder="1" applyAlignment="1">
      <alignment horizontal="center"/>
    </xf>
    <xf numFmtId="0" fontId="38" fillId="0" borderId="0" xfId="0" applyFont="1" applyBorder="1" applyAlignment="1">
      <alignment horizontal="center"/>
    </xf>
    <xf numFmtId="0" fontId="54" fillId="0" borderId="0" xfId="0" applyFont="1" applyBorder="1" applyAlignment="1">
      <alignment horizontal="center"/>
    </xf>
    <xf numFmtId="0" fontId="60" fillId="0" borderId="0" xfId="0" applyFont="1" applyBorder="1" applyAlignment="1">
      <alignment horizontal="center"/>
    </xf>
    <xf numFmtId="0" fontId="25" fillId="0" borderId="0" xfId="0" applyFont="1" applyAlignment="1" applyProtection="1">
      <protection hidden="1"/>
    </xf>
    <xf numFmtId="0" fontId="21" fillId="0" borderId="35" xfId="0" applyFont="1" applyFill="1" applyBorder="1" applyAlignment="1" applyProtection="1">
      <alignment horizontal="left"/>
      <protection locked="0"/>
    </xf>
    <xf numFmtId="0" fontId="21" fillId="0" borderId="35" xfId="0" applyFont="1" applyFill="1" applyBorder="1" applyAlignment="1" applyProtection="1">
      <alignment horizontal="center"/>
      <protection locked="0" hidden="1"/>
    </xf>
    <xf numFmtId="0" fontId="21" fillId="0" borderId="35" xfId="0" applyFont="1" applyBorder="1" applyAlignment="1" applyProtection="1">
      <alignment horizontal="center"/>
      <protection locked="0" hidden="1"/>
    </xf>
    <xf numFmtId="0" fontId="31" fillId="0" borderId="0" xfId="0" applyFont="1" applyAlignment="1" applyProtection="1">
      <alignment horizontal="right"/>
      <protection hidden="1"/>
    </xf>
    <xf numFmtId="0" fontId="27" fillId="0" borderId="0" xfId="0" applyFont="1" applyAlignment="1" applyProtection="1">
      <alignment horizontal="center"/>
    </xf>
    <xf numFmtId="0" fontId="63" fillId="0" borderId="0" xfId="0" applyFont="1" applyAlignment="1" applyProtection="1">
      <alignment horizontal="center"/>
    </xf>
    <xf numFmtId="14" fontId="0" fillId="0" borderId="0" xfId="0" applyNumberFormat="1" applyFill="1" applyBorder="1" applyAlignment="1" applyProtection="1">
      <alignment horizontal="center"/>
    </xf>
    <xf numFmtId="165" fontId="0" fillId="0" borderId="0" xfId="0" applyNumberFormat="1" applyBorder="1" applyProtection="1"/>
    <xf numFmtId="0" fontId="39" fillId="0" borderId="0" xfId="0" applyFont="1" applyProtection="1"/>
    <xf numFmtId="0" fontId="4" fillId="0" borderId="0" xfId="0" applyFont="1" applyAlignment="1" applyProtection="1">
      <alignment horizontal="center"/>
    </xf>
    <xf numFmtId="0" fontId="4" fillId="0" borderId="0" xfId="0" applyFont="1" applyProtection="1"/>
    <xf numFmtId="0" fontId="26" fillId="0" borderId="0" xfId="0" applyFont="1" applyProtection="1">
      <protection hidden="1"/>
    </xf>
    <xf numFmtId="14" fontId="21" fillId="0" borderId="0" xfId="0" applyNumberFormat="1" applyFont="1" applyFill="1" applyBorder="1" applyAlignment="1" applyProtection="1">
      <protection hidden="1"/>
    </xf>
    <xf numFmtId="0" fontId="26" fillId="0" borderId="0" xfId="0" applyFont="1" applyProtection="1"/>
    <xf numFmtId="0" fontId="28" fillId="4" borderId="0" xfId="0" applyFont="1" applyFill="1" applyAlignment="1" applyProtection="1">
      <alignment horizontal="center"/>
      <protection locked="0" hidden="1"/>
    </xf>
    <xf numFmtId="0" fontId="64" fillId="0" borderId="0" xfId="0" applyFont="1" applyAlignment="1" applyProtection="1">
      <alignment horizontal="right"/>
      <protection hidden="1"/>
    </xf>
    <xf numFmtId="0" fontId="21" fillId="0" borderId="35" xfId="0" applyFont="1" applyBorder="1" applyAlignment="1" applyProtection="1">
      <alignment horizontal="left"/>
      <protection locked="0" hidden="1"/>
    </xf>
    <xf numFmtId="0" fontId="28" fillId="4" borderId="0" xfId="0" applyFont="1" applyFill="1" applyAlignment="1" applyProtection="1">
      <alignment horizontal="center"/>
      <protection hidden="1"/>
    </xf>
    <xf numFmtId="0" fontId="21" fillId="0" borderId="0" xfId="0" applyFont="1" applyAlignment="1" applyProtection="1">
      <alignment horizontal="center"/>
    </xf>
    <xf numFmtId="0" fontId="22" fillId="0" borderId="0" xfId="0" applyFont="1" applyFill="1" applyAlignment="1" applyProtection="1">
      <alignment horizontal="right"/>
      <protection hidden="1"/>
    </xf>
    <xf numFmtId="0" fontId="21" fillId="0" borderId="0" xfId="0" applyFont="1" applyBorder="1" applyProtection="1">
      <protection hidden="1"/>
    </xf>
    <xf numFmtId="0" fontId="21" fillId="0" borderId="0" xfId="0" applyFont="1" applyFill="1" applyBorder="1" applyAlignment="1" applyProtection="1">
      <protection hidden="1"/>
    </xf>
    <xf numFmtId="0" fontId="31" fillId="0" borderId="0" xfId="0" quotePrefix="1" applyFont="1" applyAlignment="1" applyProtection="1">
      <alignment horizontal="right"/>
      <protection hidden="1"/>
    </xf>
    <xf numFmtId="14" fontId="21" fillId="0" borderId="0" xfId="0" applyNumberFormat="1" applyFont="1" applyFill="1" applyBorder="1" applyAlignment="1" applyProtection="1">
      <alignment horizontal="center"/>
      <protection hidden="1"/>
    </xf>
    <xf numFmtId="0" fontId="4" fillId="0" borderId="0" xfId="0" applyFont="1" applyAlignment="1" applyProtection="1">
      <alignment horizontal="right"/>
    </xf>
    <xf numFmtId="0" fontId="4" fillId="0" borderId="0" xfId="0" applyFont="1" applyAlignment="1" applyProtection="1">
      <alignment horizontal="left"/>
    </xf>
    <xf numFmtId="0" fontId="4" fillId="0" borderId="0" xfId="0" applyFont="1" applyBorder="1" applyProtection="1"/>
    <xf numFmtId="0" fontId="0" fillId="0" borderId="36" xfId="0" applyBorder="1" applyProtection="1"/>
    <xf numFmtId="0" fontId="0" fillId="0" borderId="37" xfId="0" applyBorder="1" applyProtection="1"/>
    <xf numFmtId="0" fontId="0" fillId="0" borderId="38" xfId="0" applyBorder="1" applyProtection="1">
      <protection hidden="1"/>
    </xf>
    <xf numFmtId="0" fontId="31" fillId="0" borderId="0" xfId="0" applyFont="1" applyBorder="1" applyAlignment="1" applyProtection="1">
      <alignment horizontal="right"/>
    </xf>
    <xf numFmtId="14" fontId="21" fillId="0" borderId="0" xfId="0" applyNumberFormat="1" applyFont="1" applyFill="1" applyBorder="1" applyAlignment="1" applyProtection="1">
      <alignment horizontal="center"/>
    </xf>
    <xf numFmtId="0" fontId="21" fillId="0" borderId="39" xfId="0" applyFont="1" applyBorder="1" applyProtection="1">
      <protection hidden="1"/>
    </xf>
    <xf numFmtId="0" fontId="55" fillId="0" borderId="0" xfId="0" applyFont="1" applyBorder="1" applyProtection="1">
      <protection hidden="1"/>
    </xf>
    <xf numFmtId="0" fontId="57" fillId="0" borderId="0" xfId="0" applyFont="1" applyBorder="1" applyProtection="1"/>
    <xf numFmtId="0" fontId="57" fillId="0" borderId="0" xfId="0" applyFont="1" applyBorder="1" applyProtection="1">
      <protection hidden="1"/>
    </xf>
    <xf numFmtId="0" fontId="21" fillId="0" borderId="6" xfId="0" applyFont="1" applyBorder="1" applyProtection="1">
      <protection hidden="1"/>
    </xf>
    <xf numFmtId="1" fontId="21" fillId="0" borderId="0" xfId="0" applyNumberFormat="1" applyFont="1" applyFill="1" applyBorder="1" applyAlignment="1" applyProtection="1">
      <alignment horizontal="center"/>
      <protection hidden="1"/>
    </xf>
    <xf numFmtId="0" fontId="0" fillId="0" borderId="39" xfId="0" applyBorder="1" applyProtection="1"/>
    <xf numFmtId="0" fontId="25" fillId="0" borderId="0" xfId="0" applyFont="1" applyBorder="1" applyProtection="1"/>
    <xf numFmtId="0" fontId="21" fillId="0" borderId="35" xfId="0" applyFont="1" applyFill="1" applyBorder="1" applyAlignment="1" applyProtection="1">
      <protection locked="0"/>
    </xf>
    <xf numFmtId="0" fontId="21" fillId="0" borderId="0" xfId="0" applyFont="1" applyFill="1" applyBorder="1" applyAlignment="1" applyProtection="1"/>
    <xf numFmtId="0" fontId="14" fillId="0" borderId="0" xfId="0" applyFont="1" applyBorder="1" applyAlignment="1" applyProtection="1">
      <alignment horizontal="center"/>
      <protection hidden="1"/>
    </xf>
    <xf numFmtId="0" fontId="22" fillId="0" borderId="0" xfId="0" applyFont="1" applyBorder="1" applyProtection="1">
      <protection hidden="1"/>
    </xf>
    <xf numFmtId="0" fontId="21" fillId="0" borderId="6" xfId="0" applyFont="1" applyBorder="1" applyAlignment="1" applyProtection="1">
      <alignment horizontal="right"/>
      <protection hidden="1"/>
    </xf>
    <xf numFmtId="0" fontId="5" fillId="0" borderId="0" xfId="0" applyFont="1" applyBorder="1" applyAlignment="1" applyProtection="1">
      <alignment horizontal="center"/>
      <protection hidden="1"/>
    </xf>
    <xf numFmtId="0" fontId="0" fillId="0" borderId="40" xfId="0" applyBorder="1" applyAlignment="1" applyProtection="1">
      <alignment horizontal="center"/>
    </xf>
    <xf numFmtId="0" fontId="0" fillId="0" borderId="40" xfId="0" applyBorder="1" applyProtection="1"/>
    <xf numFmtId="0" fontId="31" fillId="0" borderId="0" xfId="0" applyFont="1" applyBorder="1" applyAlignment="1" applyProtection="1">
      <alignment horizontal="right"/>
      <protection hidden="1"/>
    </xf>
    <xf numFmtId="0" fontId="65" fillId="0" borderId="10" xfId="0" applyFont="1" applyFill="1" applyBorder="1" applyAlignment="1" applyProtection="1">
      <alignment horizontal="right"/>
    </xf>
    <xf numFmtId="0" fontId="65" fillId="0" borderId="10" xfId="0" applyFont="1" applyBorder="1" applyAlignment="1" applyProtection="1">
      <alignment horizontal="center"/>
    </xf>
    <xf numFmtId="0" fontId="14" fillId="0" borderId="10" xfId="0" applyFont="1" applyFill="1" applyBorder="1" applyAlignment="1" applyProtection="1">
      <alignment horizontal="center"/>
      <protection locked="0" hidden="1"/>
    </xf>
    <xf numFmtId="0" fontId="56" fillId="0" borderId="0" xfId="0" applyFont="1" applyFill="1" applyBorder="1" applyAlignment="1" applyProtection="1">
      <alignment horizontal="right"/>
    </xf>
    <xf numFmtId="9" fontId="14" fillId="0" borderId="0" xfId="3" applyFont="1" applyFill="1" applyBorder="1" applyAlignment="1" applyProtection="1">
      <alignment horizontal="center"/>
    </xf>
    <xf numFmtId="1" fontId="14" fillId="0" borderId="0" xfId="0" applyNumberFormat="1" applyFont="1" applyBorder="1" applyAlignment="1" applyProtection="1">
      <alignment horizontal="center"/>
      <protection hidden="1"/>
    </xf>
    <xf numFmtId="0" fontId="25" fillId="0" borderId="0" xfId="0" applyFont="1" applyAlignment="1" applyProtection="1">
      <alignment horizontal="right"/>
    </xf>
    <xf numFmtId="0" fontId="7" fillId="0" borderId="0" xfId="0" applyFont="1" applyAlignment="1" applyProtection="1">
      <alignment horizontal="right"/>
    </xf>
    <xf numFmtId="165" fontId="7" fillId="0" borderId="41" xfId="0" applyNumberFormat="1" applyFont="1" applyFill="1" applyBorder="1" applyAlignment="1" applyProtection="1">
      <alignment horizontal="center"/>
    </xf>
    <xf numFmtId="0" fontId="0" fillId="0" borderId="0" xfId="0" applyBorder="1" applyAlignment="1" applyProtection="1">
      <alignment horizontal="center" vertical="center"/>
    </xf>
    <xf numFmtId="0" fontId="5" fillId="0" borderId="0" xfId="0" applyFont="1" applyAlignment="1" applyProtection="1">
      <alignment horizontal="center"/>
    </xf>
    <xf numFmtId="0" fontId="6" fillId="0" borderId="42" xfId="0" applyFont="1" applyBorder="1" applyAlignment="1" applyProtection="1">
      <alignment horizontal="center" vertical="center" wrapText="1"/>
    </xf>
    <xf numFmtId="165" fontId="6" fillId="0" borderId="42" xfId="0" applyNumberFormat="1" applyFont="1" applyFill="1" applyBorder="1" applyAlignment="1" applyProtection="1">
      <alignment horizontal="center" vertical="center" wrapText="1"/>
    </xf>
    <xf numFmtId="0" fontId="60" fillId="0" borderId="42" xfId="0" applyFont="1" applyFill="1" applyBorder="1" applyAlignment="1" applyProtection="1">
      <alignment horizontal="center" vertical="center" wrapText="1"/>
    </xf>
    <xf numFmtId="0" fontId="60" fillId="0" borderId="10" xfId="0" applyFont="1" applyFill="1" applyBorder="1" applyAlignment="1" applyProtection="1">
      <alignment horizontal="center" vertical="center" wrapText="1"/>
    </xf>
    <xf numFmtId="0" fontId="66" fillId="0" borderId="42" xfId="0" applyFont="1" applyFill="1" applyBorder="1" applyAlignment="1" applyProtection="1">
      <alignment horizontal="center" vertical="center" wrapText="1"/>
    </xf>
    <xf numFmtId="0" fontId="67" fillId="0" borderId="42" xfId="0" applyFont="1" applyFill="1" applyBorder="1" applyAlignment="1" applyProtection="1">
      <alignment horizontal="center" vertical="center" wrapText="1"/>
    </xf>
    <xf numFmtId="0" fontId="67" fillId="0" borderId="10" xfId="0" applyFont="1" applyFill="1" applyBorder="1" applyAlignment="1" applyProtection="1">
      <alignment horizontal="center" vertical="center" wrapText="1"/>
    </xf>
    <xf numFmtId="0" fontId="6" fillId="0" borderId="0" xfId="0" applyFont="1" applyAlignment="1" applyProtection="1">
      <alignment horizontal="center" vertical="center" wrapText="1"/>
      <protection hidden="1"/>
    </xf>
    <xf numFmtId="44" fontId="23" fillId="0" borderId="10" xfId="2" applyFont="1" applyFill="1" applyBorder="1" applyProtection="1">
      <protection locked="0" hidden="1"/>
    </xf>
    <xf numFmtId="3" fontId="0" fillId="0" borderId="10" xfId="0" quotePrefix="1" applyNumberFormat="1" applyFill="1" applyBorder="1" applyAlignment="1" applyProtection="1">
      <alignment horizontal="center"/>
      <protection locked="0" hidden="1"/>
    </xf>
    <xf numFmtId="4" fontId="0" fillId="0" borderId="43" xfId="0" quotePrefix="1" applyNumberFormat="1" applyFill="1" applyBorder="1" applyAlignment="1" applyProtection="1">
      <alignment horizontal="center"/>
      <protection locked="0" hidden="1"/>
    </xf>
    <xf numFmtId="3" fontId="0" fillId="0" borderId="10" xfId="0" applyNumberFormat="1" applyFill="1" applyBorder="1" applyAlignment="1" applyProtection="1">
      <alignment horizontal="center"/>
      <protection locked="0" hidden="1"/>
    </xf>
    <xf numFmtId="164" fontId="23" fillId="0" borderId="10" xfId="1" applyNumberFormat="1" applyFont="1" applyFill="1" applyBorder="1" applyAlignment="1" applyProtection="1">
      <alignment horizontal="center"/>
      <protection locked="0" hidden="1"/>
    </xf>
    <xf numFmtId="2" fontId="0" fillId="0" borderId="10" xfId="0" quotePrefix="1" applyNumberFormat="1" applyFill="1" applyBorder="1" applyAlignment="1" applyProtection="1">
      <alignment horizontal="center"/>
      <protection locked="0" hidden="1"/>
    </xf>
    <xf numFmtId="9" fontId="0" fillId="5" borderId="10" xfId="0" quotePrefix="1" applyNumberFormat="1" applyFill="1" applyBorder="1" applyAlignment="1" applyProtection="1">
      <alignment horizontal="center"/>
      <protection hidden="1"/>
    </xf>
    <xf numFmtId="3" fontId="0" fillId="6" borderId="10" xfId="0" quotePrefix="1" applyNumberFormat="1" applyFill="1" applyBorder="1" applyAlignment="1" applyProtection="1">
      <alignment horizontal="center"/>
      <protection hidden="1"/>
    </xf>
    <xf numFmtId="2" fontId="0" fillId="6" borderId="10" xfId="0" quotePrefix="1" applyNumberFormat="1" applyFill="1" applyBorder="1" applyAlignment="1" applyProtection="1">
      <alignment horizontal="center"/>
    </xf>
    <xf numFmtId="165" fontId="0" fillId="0" borderId="10" xfId="0" applyNumberFormat="1" applyFill="1" applyBorder="1" applyProtection="1">
      <protection hidden="1"/>
    </xf>
    <xf numFmtId="164" fontId="23" fillId="5" borderId="10" xfId="1" applyNumberFormat="1" applyFont="1" applyFill="1" applyBorder="1" applyProtection="1">
      <protection hidden="1"/>
    </xf>
    <xf numFmtId="0" fontId="0" fillId="5" borderId="10" xfId="0" applyFill="1" applyBorder="1" applyAlignment="1" applyProtection="1">
      <alignment horizontal="center"/>
      <protection locked="0" hidden="1"/>
    </xf>
    <xf numFmtId="0" fontId="4" fillId="0" borderId="0" xfId="0" applyFont="1" applyAlignment="1" applyProtection="1">
      <protection hidden="1"/>
    </xf>
    <xf numFmtId="0" fontId="68" fillId="0" borderId="25" xfId="0" applyFont="1" applyFill="1" applyBorder="1" applyAlignment="1">
      <alignment horizontal="center"/>
    </xf>
    <xf numFmtId="0" fontId="69" fillId="0" borderId="0" xfId="0" applyFont="1" applyAlignment="1">
      <alignment wrapText="1"/>
    </xf>
    <xf numFmtId="0" fontId="0" fillId="0" borderId="0" xfId="0" applyAlignment="1" applyProtection="1">
      <protection locked="0" hidden="1"/>
    </xf>
    <xf numFmtId="49" fontId="25" fillId="0" borderId="0" xfId="0" applyNumberFormat="1" applyFont="1" applyAlignment="1" applyProtection="1">
      <protection locked="0" hidden="1"/>
    </xf>
    <xf numFmtId="0" fontId="69" fillId="0" borderId="0" xfId="0" applyFont="1" applyAlignment="1" applyProtection="1">
      <alignment wrapText="1"/>
      <protection locked="0"/>
    </xf>
    <xf numFmtId="0" fontId="52" fillId="0" borderId="44" xfId="0" applyFont="1" applyFill="1" applyBorder="1" applyAlignment="1">
      <alignment horizontal="center"/>
    </xf>
    <xf numFmtId="0" fontId="23" fillId="0" borderId="0" xfId="0" applyFont="1" applyProtection="1">
      <protection hidden="1"/>
    </xf>
    <xf numFmtId="0" fontId="21" fillId="0" borderId="0" xfId="0" applyFont="1" applyAlignment="1" applyProtection="1">
      <alignment horizontal="center"/>
      <protection hidden="1"/>
    </xf>
    <xf numFmtId="0" fontId="56" fillId="0" borderId="13" xfId="0" applyFont="1" applyFill="1" applyBorder="1" applyAlignment="1">
      <alignment horizontal="center"/>
    </xf>
    <xf numFmtId="0" fontId="0" fillId="0" borderId="13" xfId="0" applyBorder="1" applyProtection="1">
      <protection hidden="1"/>
    </xf>
    <xf numFmtId="2" fontId="58" fillId="0" borderId="0" xfId="0" applyNumberFormat="1" applyFont="1" applyAlignment="1" applyProtection="1">
      <protection hidden="1"/>
    </xf>
    <xf numFmtId="0" fontId="4" fillId="0" borderId="0" xfId="0" applyFont="1" applyAlignment="1" applyProtection="1">
      <protection locked="0" hidden="1"/>
    </xf>
    <xf numFmtId="169" fontId="0" fillId="0" borderId="0" xfId="0" quotePrefix="1" applyNumberFormat="1" applyAlignment="1" applyProtection="1">
      <protection hidden="1"/>
    </xf>
    <xf numFmtId="0" fontId="4" fillId="0" borderId="0" xfId="0" applyFont="1" applyAlignment="1" applyProtection="1">
      <alignment horizontal="center"/>
      <protection locked="0" hidden="1"/>
    </xf>
    <xf numFmtId="0" fontId="71" fillId="0" borderId="0" xfId="0" applyFont="1" applyAlignment="1" applyProtection="1">
      <alignment horizontal="center"/>
    </xf>
    <xf numFmtId="14" fontId="25" fillId="0" borderId="0" xfId="0" applyNumberFormat="1" applyFont="1" applyAlignment="1" applyProtection="1">
      <alignment horizontal="center"/>
      <protection hidden="1"/>
    </xf>
    <xf numFmtId="49" fontId="25" fillId="0" borderId="0" xfId="0" applyNumberFormat="1" applyFont="1" applyAlignment="1" applyProtection="1">
      <alignment horizontal="center"/>
      <protection hidden="1"/>
    </xf>
    <xf numFmtId="14" fontId="0" fillId="0" borderId="0" xfId="0" applyNumberFormat="1" applyAlignment="1" applyProtection="1">
      <alignment horizontal="center"/>
      <protection hidden="1"/>
    </xf>
    <xf numFmtId="16" fontId="0" fillId="0" borderId="0" xfId="0" applyNumberFormat="1" applyAlignment="1" applyProtection="1">
      <alignment horizontal="center"/>
      <protection hidden="1"/>
    </xf>
    <xf numFmtId="169" fontId="5" fillId="0" borderId="0" xfId="0" applyNumberFormat="1" applyFont="1" applyAlignment="1" applyProtection="1">
      <protection hidden="1"/>
    </xf>
    <xf numFmtId="0" fontId="5" fillId="0" borderId="0" xfId="0" applyFont="1" applyAlignment="1" applyProtection="1">
      <protection hidden="1"/>
    </xf>
    <xf numFmtId="0" fontId="60" fillId="0" borderId="17" xfId="0" applyFont="1" applyFill="1" applyBorder="1" applyAlignment="1">
      <alignment horizontal="center"/>
    </xf>
    <xf numFmtId="0" fontId="60" fillId="0" borderId="14" xfId="0" applyFont="1" applyFill="1" applyBorder="1" applyAlignment="1">
      <alignment horizontal="center"/>
    </xf>
    <xf numFmtId="0" fontId="3" fillId="2" borderId="9" xfId="0" applyFont="1" applyFill="1" applyBorder="1"/>
    <xf numFmtId="0" fontId="6" fillId="0" borderId="0" xfId="0" applyFont="1" applyProtection="1"/>
    <xf numFmtId="0" fontId="6" fillId="0" borderId="0" xfId="0" applyFont="1" applyFill="1" applyProtection="1"/>
    <xf numFmtId="0" fontId="65" fillId="0" borderId="0" xfId="0" applyFont="1" applyProtection="1"/>
    <xf numFmtId="0" fontId="6" fillId="0" borderId="0" xfId="0" applyFont="1"/>
    <xf numFmtId="0" fontId="6" fillId="3" borderId="19" xfId="0" applyFont="1" applyFill="1" applyBorder="1"/>
    <xf numFmtId="0" fontId="67" fillId="3" borderId="19" xfId="0" applyFont="1" applyFill="1" applyBorder="1"/>
    <xf numFmtId="0" fontId="67" fillId="3" borderId="0" xfId="0" applyFont="1" applyFill="1" applyBorder="1" applyProtection="1"/>
    <xf numFmtId="0" fontId="6" fillId="0" borderId="1" xfId="0" applyFont="1" applyBorder="1" applyProtection="1">
      <protection locked="0"/>
    </xf>
    <xf numFmtId="0" fontId="14" fillId="0" borderId="45" xfId="0" applyFont="1" applyBorder="1" applyAlignment="1">
      <alignment horizontal="left" indent="1"/>
    </xf>
    <xf numFmtId="0" fontId="67" fillId="2" borderId="46" xfId="0" applyFont="1" applyFill="1" applyBorder="1"/>
    <xf numFmtId="0" fontId="67" fillId="0" borderId="46" xfId="0" applyFont="1" applyFill="1" applyBorder="1"/>
    <xf numFmtId="0" fontId="13" fillId="2" borderId="46" xfId="0" applyFont="1" applyFill="1" applyBorder="1"/>
    <xf numFmtId="0" fontId="14" fillId="0" borderId="46" xfId="0" applyFont="1" applyBorder="1" applyAlignment="1">
      <alignment horizontal="left" indent="1"/>
    </xf>
    <xf numFmtId="0" fontId="6" fillId="0" borderId="46" xfId="0" applyFont="1" applyBorder="1"/>
    <xf numFmtId="0" fontId="6" fillId="0" borderId="47" xfId="0" applyFont="1" applyBorder="1"/>
    <xf numFmtId="0" fontId="6" fillId="0" borderId="0" xfId="0" applyFont="1" applyBorder="1" applyProtection="1"/>
    <xf numFmtId="0" fontId="9" fillId="0" borderId="0" xfId="0" applyFont="1" applyFill="1" applyBorder="1" applyAlignment="1" applyProtection="1">
      <alignment horizontal="center"/>
      <protection locked="0"/>
    </xf>
    <xf numFmtId="0" fontId="60" fillId="0" borderId="0" xfId="0" applyFont="1" applyAlignment="1">
      <alignment horizontal="right"/>
    </xf>
    <xf numFmtId="0" fontId="72" fillId="0" borderId="44" xfId="0" applyFont="1" applyFill="1" applyBorder="1" applyAlignment="1">
      <alignment horizontal="right"/>
    </xf>
    <xf numFmtId="0" fontId="6" fillId="0" borderId="44" xfId="0" applyFont="1" applyFill="1" applyBorder="1" applyAlignment="1" applyProtection="1">
      <alignment horizontal="center"/>
      <protection locked="0"/>
    </xf>
    <xf numFmtId="0" fontId="6" fillId="0" borderId="44" xfId="0" applyFont="1" applyFill="1" applyBorder="1" applyAlignment="1" applyProtection="1">
      <alignment horizontal="left"/>
    </xf>
    <xf numFmtId="0" fontId="6" fillId="0" borderId="44" xfId="0" applyFont="1" applyBorder="1"/>
    <xf numFmtId="0" fontId="6" fillId="0" borderId="33" xfId="0" applyFont="1" applyBorder="1"/>
    <xf numFmtId="0" fontId="67" fillId="0" borderId="48" xfId="0" applyFont="1" applyBorder="1"/>
    <xf numFmtId="0" fontId="60" fillId="0" borderId="0" xfId="0" applyFont="1" applyFill="1" applyBorder="1" applyAlignment="1"/>
    <xf numFmtId="0" fontId="6" fillId="0" borderId="0" xfId="0" applyFont="1" applyBorder="1"/>
    <xf numFmtId="0" fontId="6" fillId="0" borderId="0" xfId="0" applyFont="1" applyBorder="1" applyAlignment="1">
      <alignment horizontal="center"/>
    </xf>
    <xf numFmtId="0" fontId="14" fillId="0" borderId="0" xfId="0" applyFont="1" applyBorder="1"/>
    <xf numFmtId="0" fontId="11" fillId="0" borderId="20" xfId="0" applyFont="1" applyBorder="1"/>
    <xf numFmtId="0" fontId="14" fillId="0" borderId="49" xfId="0" quotePrefix="1" applyFont="1" applyBorder="1" applyProtection="1">
      <protection locked="0" hidden="1"/>
    </xf>
    <xf numFmtId="14" fontId="6" fillId="0" borderId="50" xfId="0" applyNumberFormat="1" applyFont="1" applyBorder="1" applyAlignment="1" applyProtection="1">
      <alignment horizontal="left"/>
      <protection locked="0"/>
    </xf>
    <xf numFmtId="0" fontId="72" fillId="0" borderId="0" xfId="0" applyFont="1" applyFill="1" applyBorder="1" applyAlignment="1">
      <alignment horizontal="right" shrinkToFit="1"/>
    </xf>
    <xf numFmtId="0" fontId="6" fillId="0" borderId="0" xfId="0" applyFont="1" applyFill="1" applyBorder="1" applyAlignment="1" applyProtection="1">
      <alignment horizontal="center"/>
      <protection locked="0"/>
    </xf>
    <xf numFmtId="0" fontId="6" fillId="0" borderId="0" xfId="0" applyFont="1" applyFill="1" applyBorder="1" applyAlignment="1" applyProtection="1">
      <alignment horizontal="left"/>
    </xf>
    <xf numFmtId="0" fontId="67" fillId="0" borderId="0" xfId="0" applyFont="1" applyFill="1" applyBorder="1" applyAlignment="1" applyProtection="1">
      <alignment horizontal="left"/>
    </xf>
    <xf numFmtId="0" fontId="67" fillId="0" borderId="48" xfId="0" applyFont="1" applyFill="1" applyBorder="1" applyAlignment="1" applyProtection="1">
      <alignment horizontal="right"/>
    </xf>
    <xf numFmtId="0" fontId="67" fillId="0" borderId="0" xfId="0" applyFont="1" applyFill="1" applyBorder="1" applyAlignment="1" applyProtection="1">
      <alignment horizontal="right"/>
    </xf>
    <xf numFmtId="0" fontId="67" fillId="0" borderId="1" xfId="0" applyFont="1" applyBorder="1" applyAlignment="1">
      <alignment horizontal="center"/>
    </xf>
    <xf numFmtId="0" fontId="67" fillId="0" borderId="20" xfId="0" applyFont="1" applyBorder="1" applyAlignment="1">
      <alignment horizontal="center"/>
    </xf>
    <xf numFmtId="0" fontId="6" fillId="0" borderId="51" xfId="0" applyFont="1" applyBorder="1" applyAlignment="1" applyProtection="1">
      <alignment horizontal="left" vertical="top" wrapText="1"/>
      <protection locked="0"/>
    </xf>
    <xf numFmtId="0" fontId="6" fillId="0" borderId="0" xfId="0" applyFont="1" applyBorder="1" applyAlignment="1" applyProtection="1">
      <alignment horizontal="left" vertical="top" wrapText="1"/>
      <protection locked="0"/>
    </xf>
    <xf numFmtId="0" fontId="67" fillId="0" borderId="0" xfId="0" applyFont="1" applyBorder="1" applyAlignment="1" applyProtection="1">
      <alignment horizontal="left" vertical="top" wrapText="1"/>
      <protection locked="0"/>
    </xf>
    <xf numFmtId="0" fontId="67" fillId="0" borderId="0" xfId="0" applyFont="1" applyBorder="1" applyAlignment="1" applyProtection="1">
      <alignment horizontal="left" vertical="top" wrapText="1"/>
    </xf>
    <xf numFmtId="0" fontId="60" fillId="0" borderId="0" xfId="0" applyFont="1" applyFill="1" applyBorder="1" applyAlignment="1" applyProtection="1"/>
    <xf numFmtId="0" fontId="6" fillId="0" borderId="0" xfId="0" applyFont="1" applyFill="1" applyBorder="1" applyAlignment="1" applyProtection="1"/>
    <xf numFmtId="0" fontId="14" fillId="0" borderId="52" xfId="0" quotePrefix="1" applyFont="1" applyBorder="1" applyProtection="1">
      <protection locked="0" hidden="1"/>
    </xf>
    <xf numFmtId="0" fontId="6" fillId="0" borderId="33" xfId="0" applyFont="1" applyBorder="1" applyAlignment="1" applyProtection="1"/>
    <xf numFmtId="0" fontId="72" fillId="0" borderId="0" xfId="0" applyFont="1" applyFill="1" applyBorder="1" applyAlignment="1">
      <alignment horizontal="right"/>
    </xf>
    <xf numFmtId="0" fontId="67" fillId="0" borderId="0" xfId="0" applyFont="1" applyFill="1" applyBorder="1" applyAlignment="1" applyProtection="1">
      <alignment horizontal="center"/>
      <protection locked="0"/>
    </xf>
    <xf numFmtId="0" fontId="6" fillId="0" borderId="9" xfId="0" applyFont="1" applyBorder="1" applyAlignment="1" applyProtection="1"/>
    <xf numFmtId="0" fontId="67" fillId="0" borderId="0" xfId="0" quotePrefix="1" applyFont="1" applyFill="1" applyBorder="1" applyAlignment="1" applyProtection="1">
      <alignment horizontal="left"/>
    </xf>
    <xf numFmtId="0" fontId="67" fillId="0" borderId="0" xfId="0" applyFont="1" applyBorder="1" applyProtection="1"/>
    <xf numFmtId="0" fontId="67" fillId="0" borderId="20" xfId="0" applyFont="1" applyBorder="1" applyProtection="1"/>
    <xf numFmtId="0" fontId="14" fillId="0" borderId="1" xfId="0" quotePrefix="1" applyFont="1" applyBorder="1" applyProtection="1">
      <protection locked="0" hidden="1"/>
    </xf>
    <xf numFmtId="0" fontId="66" fillId="0" borderId="33" xfId="0" applyFont="1" applyBorder="1" applyAlignment="1">
      <alignment horizontal="right"/>
    </xf>
    <xf numFmtId="0" fontId="56" fillId="0" borderId="20" xfId="0" applyFont="1" applyFill="1" applyBorder="1" applyAlignment="1">
      <alignment horizontal="center"/>
    </xf>
    <xf numFmtId="0" fontId="72" fillId="0" borderId="0" xfId="0" applyFont="1" applyFill="1" applyAlignment="1">
      <alignment horizontal="right"/>
    </xf>
    <xf numFmtId="0" fontId="75" fillId="0" borderId="0" xfId="0" applyFont="1" applyFill="1" applyBorder="1" applyAlignment="1" applyProtection="1">
      <alignment horizontal="center"/>
      <protection locked="0"/>
    </xf>
    <xf numFmtId="165" fontId="13" fillId="0" borderId="0" xfId="0" applyNumberFormat="1" applyFont="1" applyBorder="1" applyAlignment="1" applyProtection="1">
      <alignment horizontal="center"/>
      <protection locked="0"/>
    </xf>
    <xf numFmtId="165" fontId="67" fillId="0" borderId="20" xfId="0" applyNumberFormat="1" applyFont="1" applyBorder="1" applyAlignment="1">
      <alignment horizontal="center"/>
    </xf>
    <xf numFmtId="0" fontId="14" fillId="0" borderId="53" xfId="0" quotePrefix="1" applyFont="1" applyBorder="1" applyProtection="1">
      <protection locked="0" hidden="1"/>
    </xf>
    <xf numFmtId="0" fontId="6" fillId="0" borderId="1" xfId="0" applyFont="1" applyFill="1" applyBorder="1" applyAlignment="1" applyProtection="1">
      <alignment horizontal="center"/>
      <protection locked="0"/>
    </xf>
    <xf numFmtId="0" fontId="6" fillId="0" borderId="9" xfId="0" applyFont="1" applyFill="1" applyBorder="1" applyAlignment="1" applyProtection="1">
      <alignment horizontal="center"/>
      <protection locked="0"/>
    </xf>
    <xf numFmtId="168" fontId="6" fillId="0" borderId="0" xfId="0" applyNumberFormat="1" applyFont="1" applyFill="1" applyBorder="1" applyAlignment="1" applyProtection="1"/>
    <xf numFmtId="0" fontId="56" fillId="0" borderId="0" xfId="0" applyFont="1" applyFill="1" applyAlignment="1">
      <alignment horizontal="right"/>
    </xf>
    <xf numFmtId="0" fontId="6" fillId="0" borderId="54" xfId="0" applyFont="1" applyFill="1" applyBorder="1" applyAlignment="1" applyProtection="1">
      <alignment horizontal="center"/>
      <protection locked="0"/>
    </xf>
    <xf numFmtId="0" fontId="60" fillId="0" borderId="0" xfId="0" applyFont="1" applyFill="1" applyBorder="1" applyAlignment="1">
      <alignment horizontal="right"/>
    </xf>
    <xf numFmtId="49" fontId="67" fillId="0" borderId="0" xfId="0" applyNumberFormat="1" applyFont="1" applyFill="1" applyBorder="1" applyAlignment="1" applyProtection="1">
      <alignment horizontal="center"/>
      <protection locked="0"/>
    </xf>
    <xf numFmtId="0" fontId="6" fillId="0" borderId="20" xfId="0" applyFont="1" applyBorder="1" applyProtection="1"/>
    <xf numFmtId="0" fontId="67" fillId="0" borderId="48" xfId="0" applyFont="1" applyBorder="1" applyProtection="1"/>
    <xf numFmtId="0" fontId="6" fillId="0" borderId="0" xfId="0" applyFont="1" applyBorder="1" applyAlignment="1" applyProtection="1"/>
    <xf numFmtId="0" fontId="6" fillId="0" borderId="20" xfId="0" applyFont="1" applyBorder="1" applyAlignment="1" applyProtection="1"/>
    <xf numFmtId="0" fontId="56" fillId="0" borderId="33" xfId="0" applyFont="1" applyFill="1" applyBorder="1" applyAlignment="1">
      <alignment horizontal="right"/>
    </xf>
    <xf numFmtId="0" fontId="77" fillId="2" borderId="20" xfId="0" applyFont="1" applyFill="1" applyBorder="1" applyAlignment="1">
      <alignment horizontal="center"/>
    </xf>
    <xf numFmtId="0" fontId="6" fillId="0" borderId="20" xfId="0" applyFont="1" applyBorder="1"/>
    <xf numFmtId="0" fontId="60" fillId="0" borderId="0" xfId="0" applyFont="1" applyFill="1" applyBorder="1" applyAlignment="1" applyProtection="1">
      <alignment horizontal="center"/>
    </xf>
    <xf numFmtId="0" fontId="11" fillId="0" borderId="1" xfId="0" applyFont="1" applyFill="1" applyBorder="1" applyAlignment="1" applyProtection="1">
      <alignment horizontal="center"/>
      <protection locked="0"/>
    </xf>
    <xf numFmtId="0" fontId="6" fillId="0" borderId="9" xfId="0" applyFont="1" applyBorder="1" applyAlignment="1" applyProtection="1">
      <protection locked="0"/>
    </xf>
    <xf numFmtId="0" fontId="6" fillId="0" borderId="48" xfId="0" applyFont="1" applyBorder="1"/>
    <xf numFmtId="0" fontId="78" fillId="0" borderId="0" xfId="0" applyFont="1" applyBorder="1"/>
    <xf numFmtId="0" fontId="6" fillId="0" borderId="0" xfId="0" applyFont="1" applyFill="1" applyBorder="1"/>
    <xf numFmtId="0" fontId="67" fillId="0" borderId="0" xfId="0" applyFont="1" applyBorder="1"/>
    <xf numFmtId="0" fontId="11" fillId="0" borderId="0" xfId="0" applyFont="1" applyBorder="1" applyAlignment="1">
      <alignment horizontal="right"/>
    </xf>
    <xf numFmtId="0" fontId="5" fillId="0" borderId="10" xfId="0" applyFont="1" applyFill="1" applyBorder="1" applyAlignment="1" applyProtection="1">
      <alignment horizontal="center"/>
      <protection locked="0"/>
    </xf>
    <xf numFmtId="0" fontId="5" fillId="0" borderId="10" xfId="0" applyFont="1" applyBorder="1" applyAlignment="1" applyProtection="1">
      <alignment horizontal="center"/>
      <protection locked="0"/>
    </xf>
    <xf numFmtId="171" fontId="4" fillId="7" borderId="10" xfId="0" applyNumberFormat="1" applyFont="1" applyFill="1" applyBorder="1" applyAlignment="1" applyProtection="1">
      <alignment horizontal="center"/>
      <protection locked="0"/>
    </xf>
    <xf numFmtId="49" fontId="5" fillId="0" borderId="10" xfId="0" applyNumberFormat="1" applyFont="1" applyFill="1" applyBorder="1" applyAlignment="1" applyProtection="1">
      <protection locked="0"/>
    </xf>
    <xf numFmtId="0" fontId="5" fillId="0" borderId="10" xfId="0" applyFont="1" applyFill="1" applyBorder="1" applyAlignment="1" applyProtection="1">
      <alignment horizontal="left"/>
      <protection locked="0"/>
    </xf>
    <xf numFmtId="0" fontId="5" fillId="0" borderId="10" xfId="0" applyFont="1" applyBorder="1" applyAlignment="1" applyProtection="1">
      <alignment horizontal="center"/>
      <protection locked="0" hidden="1"/>
    </xf>
    <xf numFmtId="0" fontId="4" fillId="0" borderId="10" xfId="0" applyFont="1" applyFill="1" applyBorder="1" applyAlignment="1" applyProtection="1">
      <alignment horizontal="center"/>
      <protection locked="0"/>
    </xf>
    <xf numFmtId="170" fontId="5" fillId="0" borderId="10" xfId="0" applyNumberFormat="1" applyFont="1" applyBorder="1" applyAlignment="1" applyProtection="1">
      <alignment horizontal="center"/>
      <protection locked="0"/>
    </xf>
    <xf numFmtId="0" fontId="5" fillId="0" borderId="10" xfId="0" applyNumberFormat="1" applyFont="1" applyFill="1" applyBorder="1" applyAlignment="1" applyProtection="1">
      <alignment horizontal="center"/>
      <protection locked="0"/>
    </xf>
    <xf numFmtId="49" fontId="5" fillId="0" borderId="10" xfId="0" applyNumberFormat="1" applyFont="1" applyFill="1" applyBorder="1" applyAlignment="1" applyProtection="1">
      <alignment horizontal="center"/>
      <protection locked="0"/>
    </xf>
    <xf numFmtId="167" fontId="5" fillId="0" borderId="10" xfId="0" quotePrefix="1" applyNumberFormat="1" applyFont="1" applyFill="1" applyBorder="1" applyAlignment="1" applyProtection="1">
      <alignment horizontal="center"/>
      <protection locked="0"/>
    </xf>
    <xf numFmtId="167" fontId="5" fillId="0" borderId="10" xfId="0" quotePrefix="1" applyNumberFormat="1" applyFont="1" applyFill="1" applyBorder="1" applyAlignment="1" applyProtection="1">
      <alignment horizontal="center"/>
      <protection hidden="1"/>
    </xf>
    <xf numFmtId="167" fontId="5" fillId="0" borderId="10" xfId="0" quotePrefix="1" applyNumberFormat="1" applyFont="1" applyFill="1" applyBorder="1" applyAlignment="1" applyProtection="1">
      <alignment horizontal="center"/>
      <protection locked="0" hidden="1"/>
    </xf>
    <xf numFmtId="165" fontId="5" fillId="0" borderId="10" xfId="0" applyNumberFormat="1" applyFont="1" applyFill="1" applyBorder="1" applyAlignment="1" applyProtection="1">
      <alignment horizontal="center"/>
      <protection locked="0"/>
    </xf>
    <xf numFmtId="165" fontId="5" fillId="2" borderId="10" xfId="0" applyNumberFormat="1" applyFont="1" applyFill="1" applyBorder="1" applyAlignment="1" applyProtection="1">
      <alignment horizontal="center"/>
      <protection locked="0"/>
    </xf>
    <xf numFmtId="2" fontId="5" fillId="0" borderId="10" xfId="0" applyNumberFormat="1" applyFont="1" applyFill="1" applyBorder="1" applyAlignment="1" applyProtection="1">
      <alignment horizontal="center"/>
      <protection locked="0"/>
    </xf>
    <xf numFmtId="166" fontId="5" fillId="2" borderId="10" xfId="0" applyNumberFormat="1" applyFont="1" applyFill="1" applyBorder="1" applyAlignment="1" applyProtection="1">
      <alignment horizontal="left"/>
      <protection locked="0"/>
    </xf>
    <xf numFmtId="0" fontId="5" fillId="2" borderId="10" xfId="0" applyFont="1" applyFill="1" applyBorder="1" applyAlignment="1" applyProtection="1">
      <alignment horizontal="center"/>
      <protection locked="0"/>
    </xf>
    <xf numFmtId="0" fontId="5" fillId="2" borderId="10" xfId="0" applyNumberFormat="1" applyFont="1" applyFill="1" applyBorder="1" applyAlignment="1" applyProtection="1">
      <alignment horizontal="center"/>
      <protection locked="0"/>
    </xf>
    <xf numFmtId="3" fontId="5" fillId="2" borderId="10" xfId="0" applyNumberFormat="1" applyFont="1" applyFill="1" applyBorder="1" applyAlignment="1" applyProtection="1">
      <alignment horizontal="center"/>
      <protection locked="0"/>
    </xf>
    <xf numFmtId="0" fontId="5" fillId="0" borderId="10" xfId="0" applyFont="1" applyFill="1" applyBorder="1" applyAlignment="1" applyProtection="1">
      <protection locked="0"/>
    </xf>
    <xf numFmtId="168" fontId="5" fillId="0" borderId="10" xfId="0" applyNumberFormat="1" applyFont="1" applyFill="1" applyBorder="1" applyAlignment="1" applyProtection="1">
      <protection locked="0"/>
    </xf>
    <xf numFmtId="0" fontId="5" fillId="0" borderId="10" xfId="0" applyFont="1" applyBorder="1" applyProtection="1">
      <protection locked="0"/>
    </xf>
    <xf numFmtId="0" fontId="5" fillId="0" borderId="10" xfId="0" applyFont="1" applyFill="1" applyBorder="1" applyProtection="1">
      <protection locked="0"/>
    </xf>
    <xf numFmtId="166" fontId="5" fillId="2" borderId="10" xfId="0" applyNumberFormat="1" applyFont="1" applyFill="1" applyBorder="1" applyAlignment="1" applyProtection="1">
      <alignment horizontal="center"/>
      <protection locked="0"/>
    </xf>
    <xf numFmtId="0" fontId="25" fillId="0" borderId="0" xfId="0" applyFont="1" applyAlignment="1" applyProtection="1">
      <protection hidden="1"/>
    </xf>
    <xf numFmtId="0" fontId="25" fillId="0" borderId="0" xfId="0" applyFont="1" applyAlignment="1" applyProtection="1">
      <alignment horizontal="center"/>
      <protection hidden="1"/>
    </xf>
    <xf numFmtId="0" fontId="60" fillId="0" borderId="0" xfId="0" applyFont="1" applyFill="1" applyBorder="1" applyAlignment="1">
      <alignment horizontal="right"/>
    </xf>
    <xf numFmtId="0" fontId="60" fillId="0" borderId="0" xfId="0" applyFont="1" applyFill="1" applyBorder="1" applyAlignment="1"/>
    <xf numFmtId="166" fontId="5" fillId="2" borderId="10" xfId="0" applyNumberFormat="1" applyFont="1" applyFill="1" applyBorder="1" applyAlignment="1" applyProtection="1">
      <alignment horizontal="center"/>
      <protection hidden="1"/>
    </xf>
    <xf numFmtId="0" fontId="67" fillId="3" borderId="0" xfId="0" applyFont="1" applyFill="1" applyBorder="1"/>
    <xf numFmtId="0" fontId="6" fillId="0" borderId="0" xfId="0" applyFont="1" applyBorder="1" applyAlignment="1">
      <alignment horizontal="right"/>
    </xf>
    <xf numFmtId="0" fontId="0" fillId="0" borderId="0" xfId="0" applyBorder="1" applyProtection="1">
      <protection hidden="1"/>
    </xf>
    <xf numFmtId="0" fontId="60" fillId="0" borderId="20" xfId="0" applyFont="1" applyFill="1" applyBorder="1" applyAlignment="1"/>
    <xf numFmtId="0" fontId="6" fillId="0" borderId="20" xfId="0" applyFont="1" applyBorder="1" applyAlignment="1" applyProtection="1">
      <alignment horizontal="left" vertical="top" wrapText="1"/>
      <protection locked="0"/>
    </xf>
    <xf numFmtId="0" fontId="25" fillId="0" borderId="0" xfId="0" applyFont="1" applyAlignment="1" applyProtection="1">
      <alignment horizontal="center"/>
      <protection hidden="1"/>
    </xf>
    <xf numFmtId="0" fontId="60" fillId="0" borderId="0" xfId="0" applyFont="1" applyFill="1" applyBorder="1" applyAlignment="1"/>
    <xf numFmtId="169" fontId="0" fillId="0" borderId="0" xfId="0" applyNumberFormat="1" applyAlignment="1" applyProtection="1">
      <alignment horizontal="center"/>
      <protection hidden="1"/>
    </xf>
    <xf numFmtId="0" fontId="4" fillId="0" borderId="0" xfId="0" quotePrefix="1" applyFont="1" applyAlignment="1" applyProtection="1">
      <alignment horizontal="left"/>
      <protection hidden="1"/>
    </xf>
    <xf numFmtId="0" fontId="4" fillId="0" borderId="0" xfId="0" applyFont="1" applyAlignment="1">
      <alignment horizontal="left"/>
    </xf>
    <xf numFmtId="169" fontId="5" fillId="0" borderId="0" xfId="0" applyNumberFormat="1" applyFont="1" applyAlignment="1" applyProtection="1">
      <alignment horizontal="center"/>
      <protection hidden="1"/>
    </xf>
    <xf numFmtId="0" fontId="60" fillId="0" borderId="23" xfId="0" applyFont="1" applyFill="1" applyBorder="1" applyAlignment="1">
      <alignment horizontal="center"/>
    </xf>
    <xf numFmtId="0" fontId="24" fillId="0" borderId="0" xfId="0" applyFont="1" applyAlignment="1" applyProtection="1">
      <alignment horizontal="center"/>
      <protection hidden="1"/>
    </xf>
    <xf numFmtId="0" fontId="25" fillId="0" borderId="0" xfId="0" applyFont="1" applyAlignment="1" applyProtection="1">
      <protection hidden="1"/>
    </xf>
    <xf numFmtId="0" fontId="25" fillId="0" borderId="0" xfId="0" applyFont="1" applyAlignment="1" applyProtection="1">
      <alignment horizontal="center"/>
      <protection hidden="1"/>
    </xf>
    <xf numFmtId="0" fontId="5" fillId="0" borderId="0" xfId="0" applyFont="1" applyAlignment="1" applyProtection="1">
      <alignment horizontal="center"/>
      <protection hidden="1"/>
    </xf>
    <xf numFmtId="166" fontId="5" fillId="2" borderId="10" xfId="0" applyNumberFormat="1" applyFont="1" applyFill="1" applyBorder="1" applyAlignment="1" applyProtection="1">
      <alignment horizontal="left"/>
    </xf>
    <xf numFmtId="0" fontId="80" fillId="0" borderId="0" xfId="0" applyFont="1" applyAlignment="1" applyProtection="1">
      <alignment horizontal="center"/>
      <protection hidden="1"/>
    </xf>
    <xf numFmtId="0" fontId="6" fillId="0" borderId="24" xfId="0" applyFont="1" applyFill="1" applyBorder="1" applyAlignment="1">
      <alignment horizontal="center"/>
    </xf>
    <xf numFmtId="0" fontId="5" fillId="0" borderId="0" xfId="0" applyFont="1" applyBorder="1" applyProtection="1"/>
    <xf numFmtId="49" fontId="0" fillId="0" borderId="0" xfId="0" applyNumberFormat="1" applyAlignment="1" applyProtection="1">
      <alignment horizontal="center"/>
      <protection hidden="1"/>
    </xf>
    <xf numFmtId="49" fontId="12" fillId="0" borderId="0" xfId="0" applyNumberFormat="1" applyFont="1" applyAlignment="1" applyProtection="1">
      <alignment horizontal="center"/>
      <protection hidden="1"/>
    </xf>
    <xf numFmtId="0" fontId="12" fillId="0" borderId="0" xfId="0" applyFont="1" applyAlignment="1" applyProtection="1">
      <alignment horizontal="center"/>
      <protection hidden="1"/>
    </xf>
    <xf numFmtId="0" fontId="13" fillId="0" borderId="0" xfId="0" applyFont="1" applyBorder="1" applyAlignment="1" applyProtection="1">
      <alignment horizontal="center"/>
    </xf>
    <xf numFmtId="0" fontId="38" fillId="0" borderId="0" xfId="0" applyFont="1" applyBorder="1" applyAlignment="1" applyProtection="1">
      <alignment horizontal="center"/>
    </xf>
    <xf numFmtId="0" fontId="54" fillId="0" borderId="0" xfId="0" applyFont="1" applyBorder="1" applyAlignment="1" applyProtection="1">
      <alignment horizontal="center"/>
    </xf>
    <xf numFmtId="0" fontId="60" fillId="0" borderId="0" xfId="0" applyFont="1" applyBorder="1" applyAlignment="1" applyProtection="1">
      <alignment horizontal="center"/>
    </xf>
    <xf numFmtId="0" fontId="54" fillId="0" borderId="0" xfId="0" applyFont="1" applyFill="1" applyBorder="1" applyAlignment="1" applyProtection="1">
      <alignment horizontal="center"/>
    </xf>
    <xf numFmtId="0" fontId="4" fillId="0" borderId="10" xfId="0" applyFont="1" applyBorder="1" applyAlignment="1" applyProtection="1">
      <alignment horizontal="center"/>
    </xf>
    <xf numFmtId="166" fontId="5" fillId="2" borderId="10" xfId="0" applyNumberFormat="1" applyFont="1" applyFill="1" applyBorder="1" applyAlignment="1" applyProtection="1">
      <alignment horizontal="center"/>
    </xf>
    <xf numFmtId="0" fontId="5" fillId="0" borderId="10" xfId="0" applyFont="1" applyBorder="1" applyAlignment="1" applyProtection="1">
      <alignment horizontal="left"/>
      <protection locked="0"/>
    </xf>
    <xf numFmtId="3" fontId="5" fillId="0" borderId="10" xfId="0" applyNumberFormat="1" applyFont="1" applyBorder="1" applyAlignment="1" applyProtection="1">
      <alignment horizontal="left"/>
      <protection locked="0"/>
    </xf>
    <xf numFmtId="0" fontId="25" fillId="0" borderId="0" xfId="0" applyFont="1" applyAlignment="1" applyProtection="1">
      <protection hidden="1"/>
    </xf>
    <xf numFmtId="0" fontId="25" fillId="0" borderId="0" xfId="0" applyFont="1" applyAlignment="1" applyProtection="1">
      <alignment horizontal="center"/>
      <protection hidden="1"/>
    </xf>
    <xf numFmtId="0" fontId="81" fillId="0" borderId="23" xfId="0" applyFont="1" applyFill="1" applyBorder="1" applyAlignment="1">
      <alignment horizontal="center"/>
    </xf>
    <xf numFmtId="0" fontId="81" fillId="0" borderId="24" xfId="0" applyFont="1" applyFill="1" applyBorder="1" applyAlignment="1">
      <alignment horizontal="center"/>
    </xf>
    <xf numFmtId="0" fontId="81" fillId="0" borderId="25" xfId="0" applyFont="1" applyFill="1" applyBorder="1" applyAlignment="1">
      <alignment horizontal="center"/>
    </xf>
    <xf numFmtId="0" fontId="0" fillId="0" borderId="32" xfId="0" applyBorder="1"/>
    <xf numFmtId="0" fontId="25" fillId="0" borderId="0" xfId="0" applyFont="1" applyAlignment="1" applyProtection="1">
      <protection hidden="1"/>
    </xf>
    <xf numFmtId="0" fontId="25" fillId="0" borderId="0" xfId="0" applyFont="1" applyAlignment="1" applyProtection="1">
      <alignment horizontal="center"/>
      <protection hidden="1"/>
    </xf>
    <xf numFmtId="0" fontId="82" fillId="0" borderId="32" xfId="0" applyFont="1" applyFill="1" applyBorder="1" applyAlignment="1">
      <alignment horizontal="center" vertical="center"/>
    </xf>
    <xf numFmtId="0" fontId="21" fillId="0" borderId="44" xfId="0" applyFont="1" applyBorder="1" applyAlignment="1">
      <alignment horizontal="center" vertical="center"/>
    </xf>
    <xf numFmtId="0" fontId="21" fillId="0" borderId="33" xfId="0" applyFont="1" applyBorder="1" applyAlignment="1">
      <alignment horizontal="center" vertical="center"/>
    </xf>
    <xf numFmtId="0" fontId="21" fillId="0" borderId="2" xfId="0" applyFont="1" applyBorder="1" applyAlignment="1">
      <alignment horizontal="center" vertical="center"/>
    </xf>
    <xf numFmtId="0" fontId="21" fillId="0" borderId="1" xfId="0" applyFont="1" applyBorder="1" applyAlignment="1">
      <alignment horizontal="center" vertical="center"/>
    </xf>
    <xf numFmtId="0" fontId="21" fillId="0" borderId="9" xfId="0" applyFont="1" applyBorder="1" applyAlignment="1">
      <alignment horizontal="center" vertical="center"/>
    </xf>
    <xf numFmtId="0" fontId="24" fillId="0" borderId="0" xfId="0" applyFont="1" applyAlignment="1" applyProtection="1">
      <alignment horizontal="center" wrapText="1"/>
      <protection hidden="1"/>
    </xf>
    <xf numFmtId="0" fontId="0" fillId="0" borderId="0" xfId="0" applyAlignment="1">
      <alignment horizontal="center" wrapText="1"/>
    </xf>
    <xf numFmtId="0" fontId="77" fillId="2" borderId="48" xfId="0" applyFont="1" applyFill="1" applyBorder="1" applyAlignment="1">
      <alignment horizontal="center"/>
    </xf>
    <xf numFmtId="0" fontId="77" fillId="2" borderId="0" xfId="0" applyFont="1" applyFill="1" applyBorder="1" applyAlignment="1">
      <alignment horizontal="center"/>
    </xf>
    <xf numFmtId="0" fontId="54" fillId="0" borderId="55" xfId="0" applyFont="1" applyFill="1" applyBorder="1" applyAlignment="1">
      <alignment horizontal="center" textRotation="90"/>
    </xf>
    <xf numFmtId="0" fontId="0" fillId="0" borderId="17" xfId="0" applyBorder="1" applyAlignment="1">
      <alignment horizontal="center" textRotation="90"/>
    </xf>
    <xf numFmtId="0" fontId="0" fillId="0" borderId="18" xfId="0" applyBorder="1" applyAlignment="1">
      <alignment horizontal="center" textRotation="90"/>
    </xf>
    <xf numFmtId="0" fontId="1" fillId="0" borderId="30" xfId="0" applyFont="1" applyBorder="1" applyAlignment="1">
      <alignment horizontal="center" vertical="center" textRotation="90" wrapText="1"/>
    </xf>
    <xf numFmtId="0" fontId="1" fillId="0" borderId="21" xfId="0" applyFont="1" applyBorder="1" applyAlignment="1">
      <alignment horizontal="center" vertical="center" textRotation="90" wrapText="1"/>
    </xf>
    <xf numFmtId="0" fontId="1" fillId="0" borderId="31" xfId="0" applyFont="1" applyBorder="1" applyAlignment="1">
      <alignment horizontal="center" vertical="center" textRotation="90" wrapText="1"/>
    </xf>
    <xf numFmtId="0" fontId="38" fillId="0" borderId="16" xfId="0" applyFont="1" applyFill="1" applyBorder="1" applyAlignment="1">
      <alignment horizontal="center"/>
    </xf>
    <xf numFmtId="0" fontId="38" fillId="0" borderId="44" xfId="0" applyFont="1" applyFill="1" applyBorder="1" applyAlignment="1">
      <alignment horizontal="center"/>
    </xf>
    <xf numFmtId="0" fontId="38" fillId="0" borderId="56" xfId="0" applyFont="1" applyFill="1" applyBorder="1" applyAlignment="1">
      <alignment horizontal="center"/>
    </xf>
    <xf numFmtId="0" fontId="38" fillId="0" borderId="1" xfId="0" applyFont="1" applyFill="1" applyBorder="1" applyAlignment="1">
      <alignment horizontal="center"/>
    </xf>
    <xf numFmtId="0" fontId="38" fillId="0" borderId="32" xfId="0" applyFont="1" applyFill="1" applyBorder="1" applyAlignment="1">
      <alignment horizontal="center"/>
    </xf>
    <xf numFmtId="0" fontId="38" fillId="0" borderId="2" xfId="0" applyFont="1" applyFill="1" applyBorder="1" applyAlignment="1">
      <alignment horizontal="center"/>
    </xf>
    <xf numFmtId="0" fontId="14" fillId="0" borderId="5" xfId="0" applyFont="1" applyBorder="1" applyAlignment="1">
      <alignment horizontal="center"/>
    </xf>
    <xf numFmtId="0" fontId="0" fillId="0" borderId="52" xfId="0" applyBorder="1" applyAlignment="1">
      <alignment horizontal="center"/>
    </xf>
    <xf numFmtId="0" fontId="0" fillId="0" borderId="4" xfId="0" applyBorder="1" applyAlignment="1">
      <alignment horizontal="center"/>
    </xf>
    <xf numFmtId="0" fontId="59" fillId="0" borderId="5" xfId="0" applyFont="1" applyBorder="1" applyAlignment="1">
      <alignment horizontal="center"/>
    </xf>
    <xf numFmtId="0" fontId="59" fillId="0" borderId="52" xfId="0" applyFont="1" applyBorder="1" applyAlignment="1">
      <alignment horizontal="center"/>
    </xf>
    <xf numFmtId="0" fontId="61" fillId="0" borderId="14" xfId="0" applyFont="1" applyBorder="1" applyAlignment="1">
      <alignment horizontal="center" vertical="center" textRotation="90" wrapText="1"/>
    </xf>
    <xf numFmtId="0" fontId="61" fillId="0" borderId="15" xfId="0" applyFont="1" applyBorder="1" applyAlignment="1">
      <alignment horizontal="center" vertical="center" textRotation="90" wrapText="1"/>
    </xf>
    <xf numFmtId="0" fontId="52" fillId="0" borderId="16" xfId="0" applyFont="1" applyFill="1" applyBorder="1" applyAlignment="1">
      <alignment horizontal="center"/>
    </xf>
    <xf numFmtId="0" fontId="52" fillId="0" borderId="44" xfId="0" applyFont="1" applyFill="1" applyBorder="1" applyAlignment="1">
      <alignment horizontal="center"/>
    </xf>
    <xf numFmtId="0" fontId="52" fillId="0" borderId="26" xfId="0" applyFont="1" applyFill="1" applyBorder="1" applyAlignment="1">
      <alignment horizontal="center"/>
    </xf>
    <xf numFmtId="0" fontId="56" fillId="0" borderId="16" xfId="0" applyFont="1" applyFill="1" applyBorder="1" applyAlignment="1">
      <alignment horizontal="center" textRotation="90"/>
    </xf>
    <xf numFmtId="0" fontId="6" fillId="0" borderId="11" xfId="0" applyFont="1" applyBorder="1" applyAlignment="1">
      <alignment textRotation="90"/>
    </xf>
    <xf numFmtId="0" fontId="6" fillId="0" borderId="12" xfId="0" applyFont="1" applyBorder="1" applyAlignment="1">
      <alignment textRotation="90"/>
    </xf>
    <xf numFmtId="0" fontId="56" fillId="0" borderId="13" xfId="0" applyFont="1" applyFill="1" applyBorder="1" applyAlignment="1">
      <alignment horizontal="center" textRotation="90"/>
    </xf>
    <xf numFmtId="0" fontId="6" fillId="0" borderId="14" xfId="0" applyFont="1" applyBorder="1" applyAlignment="1">
      <alignment textRotation="90"/>
    </xf>
    <xf numFmtId="0" fontId="6" fillId="0" borderId="15" xfId="0" applyFont="1" applyBorder="1" applyAlignment="1">
      <alignment textRotation="90"/>
    </xf>
    <xf numFmtId="0" fontId="30" fillId="0" borderId="0" xfId="0" applyFont="1" applyAlignment="1" applyProtection="1">
      <alignment horizontal="center" wrapText="1"/>
      <protection hidden="1"/>
    </xf>
    <xf numFmtId="0" fontId="15" fillId="0" borderId="0" xfId="0" applyFont="1" applyAlignment="1">
      <alignment horizontal="center" wrapText="1"/>
    </xf>
    <xf numFmtId="0" fontId="81" fillId="0" borderId="23" xfId="0" applyFont="1" applyFill="1" applyBorder="1" applyAlignment="1">
      <alignment horizontal="center" vertical="center" wrapText="1" shrinkToFit="1"/>
    </xf>
    <xf numFmtId="0" fontId="6" fillId="0" borderId="27" xfId="0" applyFont="1" applyBorder="1" applyAlignment="1">
      <alignment horizontal="center" vertical="center" wrapText="1" shrinkToFit="1"/>
    </xf>
    <xf numFmtId="0" fontId="74" fillId="0" borderId="48" xfId="0" applyFont="1" applyBorder="1" applyAlignment="1">
      <alignment horizontal="right"/>
    </xf>
    <xf numFmtId="0" fontId="74" fillId="0" borderId="0" xfId="0" applyFont="1" applyBorder="1" applyAlignment="1">
      <alignment horizontal="right"/>
    </xf>
    <xf numFmtId="0" fontId="41" fillId="0" borderId="16" xfId="0" applyFont="1" applyFill="1" applyBorder="1" applyAlignment="1">
      <alignment horizontal="center"/>
    </xf>
    <xf numFmtId="0" fontId="41" fillId="0" borderId="44" xfId="0" applyFont="1" applyFill="1" applyBorder="1" applyAlignment="1">
      <alignment horizontal="center"/>
    </xf>
    <xf numFmtId="0" fontId="0" fillId="0" borderId="44" xfId="0" applyBorder="1" applyAlignment="1">
      <alignment horizontal="center"/>
    </xf>
    <xf numFmtId="0" fontId="18" fillId="0" borderId="57" xfId="0" applyFont="1" applyFill="1" applyBorder="1" applyAlignment="1">
      <alignment horizontal="center"/>
    </xf>
    <xf numFmtId="0" fontId="18" fillId="0" borderId="58" xfId="0" applyFont="1" applyFill="1" applyBorder="1" applyAlignment="1">
      <alignment horizontal="center"/>
    </xf>
    <xf numFmtId="0" fontId="0" fillId="0" borderId="58" xfId="0" applyBorder="1" applyAlignment="1">
      <alignment horizontal="center"/>
    </xf>
    <xf numFmtId="0" fontId="45" fillId="0" borderId="13" xfId="0" applyFont="1" applyFill="1" applyBorder="1" applyAlignment="1">
      <alignment horizontal="center" vertical="center" wrapText="1"/>
    </xf>
    <xf numFmtId="0" fontId="45" fillId="0" borderId="14" xfId="0" applyFont="1" applyFill="1" applyBorder="1" applyAlignment="1">
      <alignment horizontal="center" vertical="center" wrapText="1"/>
    </xf>
    <xf numFmtId="0" fontId="45" fillId="0" borderId="15" xfId="0" applyFont="1" applyFill="1" applyBorder="1" applyAlignment="1">
      <alignment horizontal="center" vertical="center" wrapText="1"/>
    </xf>
    <xf numFmtId="0" fontId="36" fillId="0" borderId="13" xfId="0" applyFont="1" applyFill="1" applyBorder="1" applyAlignment="1">
      <alignment horizontal="center" wrapText="1"/>
    </xf>
    <xf numFmtId="0" fontId="37" fillId="0" borderId="14" xfId="0" applyFont="1" applyFill="1" applyBorder="1" applyAlignment="1">
      <alignment wrapText="1"/>
    </xf>
    <xf numFmtId="0" fontId="37" fillId="0" borderId="15" xfId="0" applyFont="1" applyFill="1" applyBorder="1" applyAlignment="1">
      <alignment wrapText="1"/>
    </xf>
    <xf numFmtId="0" fontId="66" fillId="0" borderId="0" xfId="0" applyFont="1" applyBorder="1" applyAlignment="1">
      <alignment horizontal="right"/>
    </xf>
    <xf numFmtId="0" fontId="72" fillId="0" borderId="48" xfId="0" applyFont="1" applyFill="1" applyBorder="1" applyAlignment="1">
      <alignment horizontal="right"/>
    </xf>
    <xf numFmtId="0" fontId="72" fillId="0" borderId="0" xfId="0" applyFont="1" applyFill="1" applyAlignment="1">
      <alignment horizontal="right"/>
    </xf>
    <xf numFmtId="0" fontId="72" fillId="0" borderId="0" xfId="0" applyFont="1" applyFill="1" applyBorder="1" applyAlignment="1">
      <alignment horizontal="right"/>
    </xf>
    <xf numFmtId="0" fontId="14" fillId="0" borderId="20" xfId="0" applyFont="1" applyBorder="1" applyAlignment="1">
      <alignment horizontal="center" wrapText="1"/>
    </xf>
    <xf numFmtId="0" fontId="72" fillId="0" borderId="48" xfId="0" applyFont="1" applyFill="1" applyBorder="1" applyAlignment="1">
      <alignment horizontal="right" shrinkToFit="1"/>
    </xf>
    <xf numFmtId="0" fontId="72" fillId="0" borderId="0" xfId="0" applyFont="1" applyFill="1" applyBorder="1" applyAlignment="1">
      <alignment horizontal="right" shrinkToFit="1"/>
    </xf>
    <xf numFmtId="0" fontId="0" fillId="0" borderId="14" xfId="0" applyBorder="1" applyAlignment="1">
      <alignment wrapText="1"/>
    </xf>
    <xf numFmtId="0" fontId="0" fillId="0" borderId="15" xfId="0" applyBorder="1" applyAlignment="1">
      <alignment wrapText="1"/>
    </xf>
    <xf numFmtId="0" fontId="6" fillId="0" borderId="0" xfId="0" applyFont="1" applyFill="1" applyAlignment="1"/>
    <xf numFmtId="0" fontId="60" fillId="0" borderId="0" xfId="0" applyFont="1" applyFill="1" applyAlignment="1">
      <alignment horizontal="right"/>
    </xf>
    <xf numFmtId="0" fontId="60" fillId="0" borderId="0" xfId="0" applyFont="1" applyFill="1" applyBorder="1" applyAlignment="1">
      <alignment horizontal="right"/>
    </xf>
    <xf numFmtId="0" fontId="6" fillId="0" borderId="70" xfId="0" applyFont="1" applyFill="1" applyBorder="1" applyAlignment="1" applyProtection="1">
      <protection locked="0"/>
    </xf>
    <xf numFmtId="0" fontId="6" fillId="0" borderId="71" xfId="0" applyFont="1" applyFill="1" applyBorder="1" applyAlignment="1" applyProtection="1">
      <protection locked="0"/>
    </xf>
    <xf numFmtId="0" fontId="74" fillId="0" borderId="45" xfId="0" applyFont="1" applyBorder="1" applyAlignment="1">
      <alignment horizontal="right"/>
    </xf>
    <xf numFmtId="0" fontId="74" fillId="0" borderId="46" xfId="0" applyFont="1" applyBorder="1" applyAlignment="1">
      <alignment horizontal="right"/>
    </xf>
    <xf numFmtId="14" fontId="6" fillId="0" borderId="0" xfId="0" applyNumberFormat="1" applyFont="1" applyFill="1" applyBorder="1" applyAlignment="1" applyProtection="1">
      <alignment horizontal="center"/>
      <protection locked="0"/>
    </xf>
    <xf numFmtId="0" fontId="6" fillId="0" borderId="0" xfId="0" applyFont="1" applyFill="1" applyBorder="1" applyAlignment="1" applyProtection="1">
      <protection locked="0"/>
    </xf>
    <xf numFmtId="0" fontId="66" fillId="0" borderId="46" xfId="0" applyFont="1" applyBorder="1" applyAlignment="1">
      <alignment horizontal="right"/>
    </xf>
    <xf numFmtId="0" fontId="14" fillId="0" borderId="19" xfId="0" applyFont="1" applyFill="1" applyBorder="1" applyAlignment="1" applyProtection="1">
      <protection locked="0"/>
    </xf>
    <xf numFmtId="0" fontId="6" fillId="0" borderId="19" xfId="0" applyFont="1" applyBorder="1" applyAlignment="1" applyProtection="1">
      <protection locked="0"/>
    </xf>
    <xf numFmtId="0" fontId="56" fillId="0" borderId="0" xfId="0" applyFont="1" applyFill="1" applyAlignment="1">
      <alignment horizontal="right"/>
    </xf>
    <xf numFmtId="0" fontId="56" fillId="0" borderId="0" xfId="0" applyFont="1" applyFill="1" applyAlignment="1"/>
    <xf numFmtId="0" fontId="76" fillId="0" borderId="0" xfId="0" applyFont="1" applyFill="1" applyAlignment="1">
      <alignment horizontal="right"/>
    </xf>
    <xf numFmtId="0" fontId="56" fillId="0" borderId="0" xfId="0" applyFont="1" applyFill="1" applyBorder="1" applyAlignment="1">
      <alignment horizontal="right"/>
    </xf>
    <xf numFmtId="0" fontId="56" fillId="0" borderId="0" xfId="0" applyFont="1" applyFill="1" applyBorder="1" applyAlignment="1"/>
    <xf numFmtId="0" fontId="47" fillId="0" borderId="0" xfId="0" applyFont="1" applyFill="1" applyAlignment="1">
      <alignment horizontal="right"/>
    </xf>
    <xf numFmtId="0" fontId="76" fillId="0" borderId="19" xfId="0" applyFont="1" applyFill="1" applyBorder="1" applyAlignment="1" applyProtection="1">
      <protection locked="0"/>
    </xf>
    <xf numFmtId="0" fontId="72" fillId="0" borderId="19" xfId="0" applyFont="1" applyFill="1" applyBorder="1" applyAlignment="1" applyProtection="1">
      <protection locked="0"/>
    </xf>
    <xf numFmtId="0" fontId="72" fillId="0" borderId="28" xfId="0" applyFont="1" applyFill="1" applyBorder="1" applyAlignment="1" applyProtection="1">
      <protection locked="0"/>
    </xf>
    <xf numFmtId="0" fontId="36" fillId="0" borderId="0" xfId="0" applyFont="1" applyFill="1" applyBorder="1" applyAlignment="1">
      <alignment horizontal="left"/>
    </xf>
    <xf numFmtId="0" fontId="72" fillId="0" borderId="0" xfId="0" applyFont="1" applyFill="1" applyBorder="1" applyAlignment="1"/>
    <xf numFmtId="0" fontId="72" fillId="0" borderId="20" xfId="0" applyFont="1" applyFill="1" applyBorder="1" applyAlignment="1"/>
    <xf numFmtId="0" fontId="74" fillId="0" borderId="59" xfId="0" applyFont="1" applyBorder="1" applyAlignment="1">
      <alignment horizontal="right"/>
    </xf>
    <xf numFmtId="0" fontId="74" fillId="0" borderId="19" xfId="0" applyFont="1" applyBorder="1" applyAlignment="1">
      <alignment horizontal="right"/>
    </xf>
    <xf numFmtId="0" fontId="72" fillId="0" borderId="32" xfId="0" applyFont="1" applyFill="1" applyBorder="1" applyAlignment="1">
      <alignment horizontal="right"/>
    </xf>
    <xf numFmtId="0" fontId="72" fillId="0" borderId="44" xfId="0" applyFont="1" applyFill="1" applyBorder="1" applyAlignment="1">
      <alignment horizontal="right"/>
    </xf>
    <xf numFmtId="0" fontId="60" fillId="0" borderId="48" xfId="0" applyFont="1" applyFill="1" applyBorder="1" applyAlignment="1">
      <alignment horizontal="right"/>
    </xf>
    <xf numFmtId="49" fontId="67" fillId="0" borderId="52" xfId="0" applyNumberFormat="1" applyFont="1" applyFill="1" applyBorder="1" applyAlignment="1" applyProtection="1">
      <alignment horizontal="center"/>
      <protection locked="0"/>
    </xf>
    <xf numFmtId="0" fontId="75" fillId="0" borderId="52" xfId="0" applyFont="1" applyFill="1" applyBorder="1" applyAlignment="1" applyProtection="1">
      <alignment horizontal="center"/>
      <protection locked="0"/>
    </xf>
    <xf numFmtId="0" fontId="67" fillId="0" borderId="52" xfId="0" applyFont="1" applyFill="1" applyBorder="1" applyAlignment="1" applyProtection="1">
      <alignment horizontal="center"/>
      <protection locked="0"/>
    </xf>
    <xf numFmtId="0" fontId="67" fillId="0" borderId="1" xfId="0" applyFont="1" applyFill="1" applyBorder="1" applyAlignment="1" applyProtection="1">
      <alignment horizontal="center"/>
      <protection locked="0"/>
    </xf>
    <xf numFmtId="0" fontId="6" fillId="0" borderId="52" xfId="0" applyFont="1" applyFill="1" applyBorder="1" applyAlignment="1" applyProtection="1">
      <alignment horizontal="center"/>
      <protection locked="0"/>
    </xf>
    <xf numFmtId="0" fontId="73" fillId="0" borderId="0" xfId="0" applyFont="1" applyFill="1" applyBorder="1" applyAlignment="1"/>
    <xf numFmtId="0" fontId="60" fillId="0" borderId="0" xfId="0" applyFont="1" applyFill="1" applyBorder="1" applyAlignment="1"/>
    <xf numFmtId="0" fontId="1" fillId="0" borderId="30" xfId="0" applyFont="1" applyFill="1" applyBorder="1" applyAlignment="1">
      <alignment horizontal="center" vertical="center" textRotation="90" wrapText="1"/>
    </xf>
    <xf numFmtId="0" fontId="1" fillId="0" borderId="21" xfId="0" applyFont="1" applyFill="1" applyBorder="1" applyAlignment="1">
      <alignment horizontal="center" vertical="center" textRotation="90" wrapText="1"/>
    </xf>
    <xf numFmtId="0" fontId="1" fillId="0" borderId="31" xfId="0" applyFont="1" applyFill="1" applyBorder="1" applyAlignment="1">
      <alignment horizontal="center" vertical="center" textRotation="90" wrapText="1"/>
    </xf>
    <xf numFmtId="0" fontId="6" fillId="0" borderId="1" xfId="0" applyFont="1" applyBorder="1" applyAlignment="1" applyProtection="1">
      <alignment horizontal="left"/>
      <protection locked="0"/>
    </xf>
    <xf numFmtId="0" fontId="0" fillId="0" borderId="1" xfId="0" applyBorder="1" applyAlignment="1">
      <alignment horizontal="left"/>
    </xf>
    <xf numFmtId="0" fontId="24" fillId="0" borderId="0" xfId="0" applyFont="1" applyAlignment="1" applyProtection="1">
      <alignment horizontal="center" textRotation="90"/>
      <protection hidden="1"/>
    </xf>
    <xf numFmtId="0" fontId="79" fillId="0" borderId="60" xfId="0" applyFont="1" applyBorder="1" applyAlignment="1" applyProtection="1">
      <alignment horizontal="left" vertical="top" wrapText="1"/>
      <protection locked="0"/>
    </xf>
    <xf numFmtId="0" fontId="27" fillId="0" borderId="61" xfId="0" applyFont="1" applyBorder="1" applyAlignment="1" applyProtection="1">
      <alignment horizontal="left" vertical="top" wrapText="1"/>
      <protection locked="0"/>
    </xf>
    <xf numFmtId="0" fontId="27" fillId="0" borderId="62" xfId="0" applyFont="1" applyBorder="1" applyAlignment="1" applyProtection="1">
      <alignment horizontal="left" vertical="top" wrapText="1"/>
      <protection locked="0"/>
    </xf>
    <xf numFmtId="0" fontId="27" fillId="0" borderId="51" xfId="0" applyFont="1" applyBorder="1" applyAlignment="1" applyProtection="1">
      <alignment horizontal="left" vertical="top" wrapText="1"/>
      <protection locked="0"/>
    </xf>
    <xf numFmtId="0" fontId="27" fillId="0" borderId="0" xfId="0" applyFont="1" applyBorder="1" applyAlignment="1" applyProtection="1">
      <alignment horizontal="left" vertical="top" wrapText="1"/>
      <protection locked="0"/>
    </xf>
    <xf numFmtId="0" fontId="27" fillId="0" borderId="63" xfId="0" applyFont="1" applyBorder="1" applyAlignment="1" applyProtection="1">
      <alignment horizontal="left" vertical="top" wrapText="1"/>
      <protection locked="0"/>
    </xf>
    <xf numFmtId="0" fontId="27" fillId="0" borderId="64" xfId="0" applyFont="1" applyBorder="1" applyAlignment="1" applyProtection="1">
      <alignment horizontal="left" vertical="top" wrapText="1"/>
      <protection locked="0"/>
    </xf>
    <xf numFmtId="0" fontId="27" fillId="0" borderId="65" xfId="0" applyFont="1" applyBorder="1" applyAlignment="1" applyProtection="1">
      <alignment horizontal="left" vertical="top" wrapText="1"/>
      <protection locked="0"/>
    </xf>
    <xf numFmtId="0" fontId="27" fillId="0" borderId="66" xfId="0" applyFont="1" applyBorder="1" applyAlignment="1" applyProtection="1">
      <alignment horizontal="left" vertical="top" wrapText="1"/>
      <protection locked="0"/>
    </xf>
    <xf numFmtId="0" fontId="40" fillId="0" borderId="1" xfId="0" applyFont="1" applyBorder="1" applyAlignment="1">
      <alignment horizontal="center"/>
    </xf>
    <xf numFmtId="0" fontId="38" fillId="0" borderId="1" xfId="0" applyFont="1" applyBorder="1" applyAlignment="1">
      <alignment horizontal="center"/>
    </xf>
    <xf numFmtId="0" fontId="38" fillId="0" borderId="9" xfId="0" applyFont="1" applyBorder="1" applyAlignment="1">
      <alignment horizontal="center"/>
    </xf>
    <xf numFmtId="0" fontId="38" fillId="0" borderId="44" xfId="0" applyFont="1" applyBorder="1" applyAlignment="1">
      <alignment horizontal="center"/>
    </xf>
    <xf numFmtId="0" fontId="38" fillId="0" borderId="33" xfId="0" applyFont="1" applyBorder="1" applyAlignment="1">
      <alignment horizontal="center"/>
    </xf>
    <xf numFmtId="0" fontId="40" fillId="0" borderId="32" xfId="0" applyFont="1" applyFill="1" applyBorder="1" applyAlignment="1">
      <alignment horizontal="center"/>
    </xf>
    <xf numFmtId="0" fontId="38" fillId="0" borderId="33" xfId="0" applyFont="1" applyFill="1" applyBorder="1" applyAlignment="1">
      <alignment horizontal="center"/>
    </xf>
    <xf numFmtId="0" fontId="40" fillId="0" borderId="2" xfId="0" applyFont="1" applyFill="1" applyBorder="1" applyAlignment="1">
      <alignment horizontal="center"/>
    </xf>
    <xf numFmtId="0" fontId="38" fillId="0" borderId="9" xfId="0" applyFont="1" applyFill="1" applyBorder="1" applyAlignment="1">
      <alignment horizontal="center"/>
    </xf>
    <xf numFmtId="0" fontId="45" fillId="0" borderId="23" xfId="0" applyFont="1" applyFill="1" applyBorder="1" applyAlignment="1">
      <alignment horizontal="center" textRotation="90"/>
    </xf>
    <xf numFmtId="0" fontId="0" fillId="0" borderId="24" xfId="0" applyBorder="1" applyAlignment="1">
      <alignment textRotation="90"/>
    </xf>
    <xf numFmtId="0" fontId="0" fillId="0" borderId="25" xfId="0" applyBorder="1" applyAlignment="1">
      <alignment textRotation="90"/>
    </xf>
    <xf numFmtId="0" fontId="21" fillId="0" borderId="35" xfId="0" applyFont="1" applyFill="1" applyBorder="1" applyAlignment="1" applyProtection="1">
      <protection locked="0"/>
    </xf>
    <xf numFmtId="0" fontId="0" fillId="0" borderId="35" xfId="0" applyBorder="1" applyAlignment="1"/>
    <xf numFmtId="0" fontId="22" fillId="0" borderId="0" xfId="0" applyFont="1" applyAlignment="1" applyProtection="1">
      <alignment horizontal="right"/>
      <protection hidden="1"/>
    </xf>
    <xf numFmtId="0" fontId="0" fillId="0" borderId="0" xfId="0" applyAlignment="1" applyProtection="1">
      <alignment horizontal="right"/>
      <protection hidden="1"/>
    </xf>
    <xf numFmtId="14" fontId="21" fillId="0" borderId="35" xfId="0" applyNumberFormat="1" applyFont="1" applyFill="1" applyBorder="1" applyAlignment="1" applyProtection="1">
      <alignment horizontal="center"/>
      <protection locked="0" hidden="1"/>
    </xf>
    <xf numFmtId="14" fontId="21" fillId="0" borderId="0" xfId="0" applyNumberFormat="1" applyFont="1" applyFill="1" applyBorder="1" applyAlignment="1" applyProtection="1">
      <alignment horizontal="center"/>
      <protection hidden="1"/>
    </xf>
    <xf numFmtId="0" fontId="19" fillId="0" borderId="0" xfId="0" applyFont="1" applyAlignment="1" applyProtection="1">
      <alignment horizontal="center"/>
      <protection hidden="1"/>
    </xf>
    <xf numFmtId="14" fontId="0" fillId="0" borderId="35" xfId="0" applyNumberFormat="1" applyFill="1" applyBorder="1" applyAlignment="1" applyProtection="1">
      <alignment horizontal="center"/>
      <protection locked="0"/>
    </xf>
    <xf numFmtId="14" fontId="0" fillId="0" borderId="35" xfId="0" applyNumberFormat="1" applyBorder="1" applyAlignment="1" applyProtection="1">
      <alignment horizontal="center"/>
      <protection locked="0" hidden="1"/>
    </xf>
    <xf numFmtId="14" fontId="5" fillId="0" borderId="35" xfId="0" applyNumberFormat="1" applyFont="1" applyFill="1" applyBorder="1" applyAlignment="1" applyProtection="1">
      <alignment horizontal="center"/>
      <protection locked="0"/>
    </xf>
    <xf numFmtId="14" fontId="0" fillId="0" borderId="35" xfId="0" quotePrefix="1" applyNumberFormat="1" applyFill="1" applyBorder="1" applyAlignment="1" applyProtection="1">
      <alignment horizontal="center"/>
      <protection locked="0"/>
    </xf>
    <xf numFmtId="0" fontId="14" fillId="0" borderId="67" xfId="0" applyFont="1" applyBorder="1" applyAlignment="1" applyProtection="1">
      <alignment horizontal="center"/>
    </xf>
    <xf numFmtId="0" fontId="14" fillId="0" borderId="68" xfId="0" applyFont="1" applyBorder="1" applyAlignment="1" applyProtection="1">
      <alignment horizontal="center"/>
    </xf>
    <xf numFmtId="0" fontId="0" fillId="0" borderId="68" xfId="0" applyBorder="1" applyAlignment="1" applyProtection="1">
      <alignment horizontal="center"/>
    </xf>
    <xf numFmtId="0" fontId="0" fillId="0" borderId="69" xfId="0" applyBorder="1" applyAlignment="1" applyProtection="1">
      <alignment horizontal="center"/>
    </xf>
    <xf numFmtId="0" fontId="14" fillId="0" borderId="67" xfId="0" applyFont="1" applyBorder="1" applyAlignment="1" applyProtection="1">
      <alignment horizontal="center" vertical="center"/>
    </xf>
    <xf numFmtId="0" fontId="14" fillId="0" borderId="68" xfId="0" applyFont="1" applyBorder="1" applyAlignment="1" applyProtection="1">
      <alignment horizontal="center" vertical="center"/>
    </xf>
    <xf numFmtId="0" fontId="0" fillId="0" borderId="69" xfId="0" applyBorder="1" applyAlignment="1" applyProtection="1">
      <alignment horizontal="center" vertical="center"/>
    </xf>
    <xf numFmtId="0" fontId="22" fillId="0" borderId="0" xfId="0" applyFont="1" applyAlignment="1" applyProtection="1">
      <alignment horizontal="right"/>
    </xf>
    <xf numFmtId="0" fontId="0" fillId="0" borderId="0" xfId="0" applyAlignment="1" applyProtection="1">
      <alignment horizontal="right"/>
    </xf>
    <xf numFmtId="0" fontId="21" fillId="0" borderId="0" xfId="0" quotePrefix="1" applyFont="1" applyAlignment="1" applyProtection="1">
      <alignment horizontal="right"/>
      <protection hidden="1"/>
    </xf>
  </cellXfs>
  <cellStyles count="4">
    <cellStyle name="Comma" xfId="1" builtinId="3"/>
    <cellStyle name="Currency" xfId="2" builtinId="4"/>
    <cellStyle name="Normal" xfId="0" builtinId="0"/>
    <cellStyle name="Percent" xfId="3" builtinId="5"/>
  </cellStyles>
  <dxfs count="148">
    <dxf>
      <fill>
        <patternFill>
          <bgColor indexed="14"/>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ont>
        <b/>
        <i val="0"/>
        <color theme="1"/>
      </font>
      <fill>
        <patternFill>
          <bgColor rgb="FFFFFF00"/>
        </patternFill>
      </fill>
    </dxf>
    <dxf>
      <fill>
        <patternFill>
          <bgColor theme="0" tint="-4.9989318521683403E-2"/>
        </patternFill>
      </fill>
    </dxf>
    <dxf>
      <font>
        <b/>
        <i val="0"/>
        <color theme="1"/>
      </font>
      <fill>
        <patternFill>
          <bgColor rgb="FFFFFF00"/>
        </patternFill>
      </fill>
    </dxf>
    <dxf>
      <fill>
        <patternFill>
          <bgColor theme="0" tint="-4.9989318521683403E-2"/>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ont>
        <b/>
        <i val="0"/>
        <color theme="1"/>
      </font>
      <fill>
        <patternFill>
          <bgColor rgb="FFFFFF00"/>
        </patternFill>
      </fill>
    </dxf>
    <dxf>
      <fill>
        <patternFill patternType="none">
          <bgColor auto="1"/>
        </patternFill>
      </fill>
    </dxf>
    <dxf>
      <font>
        <b/>
        <i val="0"/>
        <color theme="1"/>
      </font>
      <fill>
        <patternFill>
          <bgColor rgb="FFFFFF00"/>
        </patternFill>
      </fill>
    </dxf>
    <dxf>
      <fill>
        <patternFill patternType="none">
          <bgColor auto="1"/>
        </patternFill>
      </fill>
    </dxf>
    <dxf>
      <font>
        <b/>
        <i val="0"/>
        <color theme="1"/>
      </font>
      <fill>
        <patternFill>
          <bgColor rgb="FFFFFF00"/>
        </patternFill>
      </fill>
    </dxf>
    <dxf>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ont>
        <b/>
        <i val="0"/>
        <color theme="1"/>
      </font>
      <fill>
        <patternFill>
          <bgColor rgb="FFFFFF00"/>
        </patternFill>
      </fill>
    </dxf>
    <dxf>
      <fill>
        <patternFill patternType="none">
          <bgColor auto="1"/>
        </patternFill>
      </fill>
    </dxf>
    <dxf>
      <font>
        <b/>
        <i val="0"/>
        <color theme="1"/>
      </font>
      <fill>
        <patternFill>
          <bgColor rgb="FFFFFF00"/>
        </patternFill>
      </fill>
    </dxf>
    <dxf>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ill>
        <patternFill>
          <bgColor rgb="FFFFFF00"/>
        </patternFill>
      </fill>
    </dxf>
    <dxf>
      <font>
        <color theme="1"/>
      </font>
      <fill>
        <patternFill patternType="none">
          <bgColor auto="1"/>
        </patternFill>
      </fill>
    </dxf>
    <dxf>
      <font>
        <b val="0"/>
        <i val="0"/>
        <color theme="1"/>
      </font>
      <fill>
        <patternFill patternType="none">
          <bgColor auto="1"/>
        </patternFill>
      </fill>
    </dxf>
    <dxf>
      <font>
        <b/>
        <i val="0"/>
        <color theme="1"/>
      </font>
      <fill>
        <patternFill>
          <bgColor rgb="FFFFFF00"/>
        </patternFill>
      </fill>
    </dxf>
    <dxf>
      <fill>
        <patternFill patternType="none">
          <bgColor auto="1"/>
        </patternFill>
      </fill>
    </dxf>
    <dxf>
      <font>
        <b/>
        <i val="0"/>
        <color theme="1"/>
      </font>
      <fill>
        <patternFill>
          <bgColor rgb="FFFFFF00"/>
        </patternFill>
      </fill>
    </dxf>
    <dxf>
      <fill>
        <patternFill patternType="none">
          <bgColor auto="1"/>
        </patternFill>
      </fill>
    </dxf>
    <dxf>
      <font>
        <b/>
        <i val="0"/>
        <color theme="1"/>
      </font>
      <fill>
        <patternFill>
          <bgColor rgb="FFFFFF00"/>
        </patternFill>
      </fill>
    </dxf>
    <dxf>
      <fill>
        <patternFill patternType="none">
          <bgColor auto="1"/>
        </patternFill>
      </fill>
    </dxf>
    <dxf>
      <font>
        <b/>
        <i val="0"/>
        <color theme="1"/>
      </font>
      <fill>
        <patternFill>
          <bgColor rgb="FFFFFF00"/>
        </patternFill>
      </fill>
    </dxf>
    <dxf>
      <fill>
        <patternFill patternType="none">
          <bgColor auto="1"/>
        </patternFill>
      </fill>
    </dxf>
    <dxf>
      <font>
        <b/>
        <i val="0"/>
        <color theme="1"/>
      </font>
      <fill>
        <patternFill>
          <bgColor rgb="FFFFFF00"/>
        </patternFill>
      </fill>
    </dxf>
    <dxf>
      <fill>
        <patternFill patternType="none">
          <bgColor auto="1"/>
        </patternFill>
      </fill>
    </dxf>
    <dxf>
      <font>
        <b/>
        <i val="0"/>
        <color theme="1"/>
      </font>
      <fill>
        <patternFill>
          <bgColor rgb="FFFFFF00"/>
        </patternFill>
      </fill>
    </dxf>
    <dxf>
      <fill>
        <patternFill>
          <bgColor theme="0" tint="-4.9989318521683403E-2"/>
        </patternFill>
      </fill>
    </dxf>
    <dxf>
      <font>
        <b/>
        <i val="0"/>
        <color theme="1"/>
      </font>
      <fill>
        <patternFill>
          <bgColor rgb="FFFFFF00"/>
        </patternFill>
      </fill>
    </dxf>
    <dxf>
      <fill>
        <patternFill>
          <bgColor theme="0" tint="-4.9989318521683403E-2"/>
        </patternFill>
      </fill>
    </dxf>
    <dxf>
      <font>
        <b/>
        <i val="0"/>
        <color theme="1"/>
      </font>
      <fill>
        <patternFill>
          <bgColor rgb="FFFFFF00"/>
        </patternFill>
      </fill>
    </dxf>
    <dxf>
      <fill>
        <patternFill>
          <bgColor theme="0" tint="-4.9989318521683403E-2"/>
        </patternFill>
      </fill>
    </dxf>
    <dxf>
      <font>
        <b/>
        <i val="0"/>
        <color theme="1"/>
      </font>
      <fill>
        <patternFill>
          <bgColor rgb="FFFFFF00"/>
        </patternFill>
      </fill>
    </dxf>
    <dxf>
      <fill>
        <patternFill patternType="none">
          <bgColor auto="1"/>
        </patternFill>
      </fill>
    </dxf>
    <dxf>
      <font>
        <b/>
        <i val="0"/>
        <color theme="1"/>
      </font>
      <fill>
        <patternFill>
          <bgColor rgb="FFFFFF00"/>
        </patternFill>
      </fill>
    </dxf>
    <dxf>
      <fill>
        <patternFill patternType="none">
          <bgColor auto="1"/>
        </patternFill>
      </fill>
    </dxf>
    <dxf>
      <fill>
        <patternFill>
          <bgColor indexed="8"/>
        </patternFill>
      </fill>
    </dxf>
    <dxf>
      <fill>
        <patternFill>
          <bgColor indexed="8"/>
        </patternFill>
      </fill>
    </dxf>
    <dxf>
      <fill>
        <patternFill>
          <bgColor indexed="8"/>
        </patternFill>
      </fill>
    </dxf>
    <dxf>
      <fill>
        <patternFill>
          <bgColor indexed="8"/>
        </patternFill>
      </fill>
    </dxf>
    <dxf>
      <fill>
        <patternFill patternType="solid">
          <bgColor indexed="8"/>
        </patternFill>
      </fill>
    </dxf>
    <dxf>
      <fill>
        <patternFill patternType="solid">
          <bgColor indexed="8"/>
        </patternFill>
      </fill>
    </dxf>
    <dxf>
      <fill>
        <patternFill patternType="solid">
          <bgColor indexed="8"/>
        </patternFill>
      </fill>
    </dxf>
    <dxf>
      <fill>
        <patternFill>
          <bgColor indexed="8"/>
        </patternFill>
      </fill>
    </dxf>
    <dxf>
      <fill>
        <patternFill>
          <bgColor indexed="8"/>
        </patternFill>
      </fill>
    </dxf>
    <dxf>
      <fill>
        <patternFill>
          <bgColor indexed="8"/>
        </patternFill>
      </fill>
    </dxf>
    <dxf>
      <fill>
        <patternFill>
          <bgColor indexed="8"/>
        </patternFill>
      </fill>
    </dxf>
    <dxf>
      <font>
        <color theme="1"/>
      </font>
      <fill>
        <patternFill>
          <bgColor theme="1"/>
        </patternFill>
      </fill>
    </dxf>
    <dxf>
      <fill>
        <patternFill>
          <bgColor indexed="13"/>
        </patternFill>
      </fill>
    </dxf>
    <dxf>
      <fill>
        <patternFill>
          <bgColor indexed="9"/>
        </patternFill>
      </fill>
    </dxf>
    <dxf>
      <border>
        <bottom style="thin">
          <color indexed="8"/>
        </bottom>
      </border>
    </dxf>
    <dxf>
      <fill>
        <patternFill>
          <bgColor indexed="13"/>
        </patternFill>
      </fill>
    </dxf>
    <dxf>
      <fill>
        <patternFill>
          <bgColor indexed="13"/>
        </patternFill>
      </fill>
    </dxf>
    <dxf>
      <fill>
        <patternFill>
          <bgColor indexed="9"/>
        </patternFill>
      </fill>
    </dxf>
    <dxf>
      <font>
        <b/>
        <i val="0"/>
        <condense val="0"/>
        <extend val="0"/>
      </font>
      <fill>
        <patternFill>
          <bgColor indexed="13"/>
        </patternFill>
      </fill>
    </dxf>
    <dxf>
      <font>
        <b val="0"/>
        <i val="0"/>
        <condense val="0"/>
        <extend val="0"/>
      </font>
      <fill>
        <patternFill>
          <bgColor indexed="9"/>
        </patternFill>
      </fill>
    </dxf>
    <dxf>
      <font>
        <b val="0"/>
        <i val="0"/>
        <condense val="0"/>
        <extend val="0"/>
        <color indexed="20"/>
      </font>
    </dxf>
    <dxf>
      <font>
        <condense val="0"/>
        <extend val="0"/>
        <color indexed="9"/>
      </font>
    </dxf>
    <dxf>
      <font>
        <b val="0"/>
        <i val="0"/>
        <condense val="0"/>
        <extend val="0"/>
        <color indexed="20"/>
      </font>
      <fill>
        <patternFill>
          <bgColor indexed="9"/>
        </patternFill>
      </fill>
    </dxf>
    <dxf>
      <font>
        <condense val="0"/>
        <extend val="0"/>
        <color indexed="9"/>
      </font>
    </dxf>
    <dxf>
      <border>
        <bottom style="thin">
          <color indexed="8"/>
        </bottom>
      </border>
    </dxf>
    <dxf>
      <border>
        <bottom/>
      </border>
    </dxf>
    <dxf>
      <border>
        <bottom style="thin">
          <color indexed="8"/>
        </bottom>
      </border>
    </dxf>
    <dxf>
      <border>
        <bottom style="thin">
          <color indexed="9"/>
        </bottom>
      </border>
    </dxf>
    <dxf>
      <font>
        <b/>
        <i val="0"/>
        <condense val="0"/>
        <extend val="0"/>
        <color indexed="20"/>
      </font>
    </dxf>
    <dxf>
      <font>
        <condense val="0"/>
        <extend val="0"/>
        <color indexed="9"/>
      </font>
    </dxf>
    <dxf>
      <font>
        <b/>
        <i val="0"/>
        <condense val="0"/>
        <extend val="0"/>
        <color indexed="20"/>
      </font>
      <fill>
        <patternFill>
          <bgColor indexed="9"/>
        </patternFill>
      </fill>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Drop" dropLines="3" dropStyle="combo" dx="15" fmlaLink="$AK$3" fmlaRange="$AM$4:$AM$6"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238125</xdr:colOff>
      <xdr:row>2</xdr:row>
      <xdr:rowOff>95250</xdr:rowOff>
    </xdr:from>
    <xdr:to>
      <xdr:col>8</xdr:col>
      <xdr:colOff>2962275</xdr:colOff>
      <xdr:row>4</xdr:row>
      <xdr:rowOff>99047</xdr:rowOff>
    </xdr:to>
    <xdr:pic>
      <xdr:nvPicPr>
        <xdr:cNvPr id="1199" name="Picture 4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05525" y="495300"/>
          <a:ext cx="2724150" cy="7086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409575</xdr:colOff>
          <xdr:row>3</xdr:row>
          <xdr:rowOff>142875</xdr:rowOff>
        </xdr:from>
        <xdr:to>
          <xdr:col>7</xdr:col>
          <xdr:colOff>762000</xdr:colOff>
          <xdr:row>4</xdr:row>
          <xdr:rowOff>171450</xdr:rowOff>
        </xdr:to>
        <xdr:sp macro="" textlink="">
          <xdr:nvSpPr>
            <xdr:cNvPr id="17412" name="calculate_options" hidden="1">
              <a:extLst>
                <a:ext uri="{63B3BB69-23CF-44E3-9099-C40C66FF867C}">
                  <a14:compatExt spid="_x0000_s17412"/>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triangl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triangl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
  <dimension ref="A1:B11"/>
  <sheetViews>
    <sheetView tabSelected="1" topLeftCell="B1" workbookViewId="0">
      <selection activeCell="B1" sqref="B1"/>
    </sheetView>
  </sheetViews>
  <sheetFormatPr defaultColWidth="0" defaultRowHeight="15" zeroHeight="1"/>
  <cols>
    <col min="1" max="1" width="1.77734375" hidden="1" customWidth="1"/>
    <col min="2" max="2" width="57" customWidth="1"/>
  </cols>
  <sheetData>
    <row r="1" spans="2:2" ht="105" customHeight="1">
      <c r="B1" s="267" t="s">
        <v>606</v>
      </c>
    </row>
    <row r="2" spans="2:2" ht="220.5" customHeight="1">
      <c r="B2" s="270" t="s">
        <v>607</v>
      </c>
    </row>
    <row r="3" spans="2:2" ht="18">
      <c r="B3" s="280" t="str">
        <f>'Add Change'!D1</f>
        <v>14.75 Version</v>
      </c>
    </row>
    <row r="4" spans="2:2" hidden="1"/>
    <row r="5" spans="2:2" hidden="1"/>
    <row r="6" spans="2:2" hidden="1"/>
    <row r="7" spans="2:2" hidden="1"/>
    <row r="8" spans="2:2" hidden="1"/>
    <row r="9" spans="2:2" hidden="1"/>
    <row r="10" spans="2:2" hidden="1"/>
    <row r="11" spans="2:2" hidden="1"/>
  </sheetData>
  <sheetProtection password="E6A8" sheet="1" objects="1" scenarios="1"/>
  <phoneticPr fontId="33" type="noConversion"/>
  <pageMargins left="0.75" right="0.75" top="1" bottom="1" header="0.5" footer="0.5"/>
  <pageSetup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AK407"/>
  <sheetViews>
    <sheetView topLeftCell="G1" zoomScaleNormal="75" zoomScaleSheetLayoutView="75" workbookViewId="0">
      <pane ySplit="2" topLeftCell="A3" activePane="bottomLeft" state="frozen"/>
      <selection activeCell="K3" sqref="K3"/>
      <selection pane="bottomLeft" activeCell="G15" sqref="G15"/>
    </sheetView>
  </sheetViews>
  <sheetFormatPr defaultRowHeight="18" customHeight="1"/>
  <cols>
    <col min="1" max="1" width="16.44140625" style="268" bestFit="1" customWidth="1"/>
    <col min="2" max="2" width="8.88671875" style="268"/>
    <col min="3" max="3" width="17" style="268" customWidth="1"/>
    <col min="4" max="6" width="8.88671875" style="33"/>
    <col min="7" max="7" width="12.5546875" style="276" customWidth="1"/>
    <col min="8" max="8" width="4" style="64" customWidth="1"/>
    <col min="9" max="9" width="9.109375" style="33" bestFit="1" customWidth="1"/>
    <col min="10" max="10" width="18.44140625" style="33" customWidth="1"/>
    <col min="11" max="11" width="8.33203125" style="23" customWidth="1"/>
    <col min="12" max="12" width="107.21875" style="33" customWidth="1"/>
    <col min="13" max="13" width="15.21875" style="33" bestFit="1" customWidth="1"/>
    <col min="14" max="14" width="15.21875" style="33" customWidth="1"/>
    <col min="15" max="15" width="8.88671875" style="33"/>
    <col min="16" max="16" width="18.6640625" style="23" customWidth="1"/>
    <col min="17" max="16384" width="8.88671875" style="33"/>
  </cols>
  <sheetData>
    <row r="1" spans="1:16" ht="17.25" customHeight="1">
      <c r="A1" s="33"/>
      <c r="B1" s="33"/>
      <c r="C1" s="33"/>
      <c r="H1" s="64" t="s">
        <v>723</v>
      </c>
      <c r="I1" s="441">
        <v>41157</v>
      </c>
      <c r="J1" s="441" t="s">
        <v>27</v>
      </c>
      <c r="K1" s="408"/>
      <c r="L1" s="441" t="s">
        <v>881</v>
      </c>
      <c r="M1" s="441" t="s">
        <v>343</v>
      </c>
      <c r="N1" s="184"/>
      <c r="O1" s="441" t="s">
        <v>295</v>
      </c>
      <c r="P1" s="442" t="s">
        <v>374</v>
      </c>
    </row>
    <row r="2" spans="1:16" ht="15" customHeight="1">
      <c r="A2" s="265" t="s">
        <v>143</v>
      </c>
      <c r="B2" s="265" t="s">
        <v>582</v>
      </c>
      <c r="C2" s="265" t="s">
        <v>583</v>
      </c>
      <c r="G2" s="276" t="str">
        <f>MAX(G$3:G65454) &amp;" Version"</f>
        <v>14.75 Version</v>
      </c>
      <c r="H2" s="64" t="s">
        <v>722</v>
      </c>
      <c r="I2" s="441"/>
      <c r="J2" s="441"/>
      <c r="K2" s="408" t="s">
        <v>714</v>
      </c>
      <c r="L2" s="441"/>
      <c r="M2" s="441"/>
      <c r="N2" s="184" t="s">
        <v>579</v>
      </c>
      <c r="O2" s="441"/>
      <c r="P2" s="442"/>
    </row>
    <row r="3" spans="1:16" ht="18" customHeight="1">
      <c r="A3" s="277" t="s">
        <v>910</v>
      </c>
      <c r="B3" s="277" t="s">
        <v>584</v>
      </c>
      <c r="C3" s="279" t="s">
        <v>390</v>
      </c>
      <c r="I3" s="66"/>
      <c r="J3" s="66"/>
      <c r="K3" s="410"/>
      <c r="L3" s="66"/>
      <c r="M3" s="66"/>
      <c r="O3" s="184"/>
      <c r="P3" s="29"/>
    </row>
    <row r="4" spans="1:16" ht="18" customHeight="1">
      <c r="A4" s="277"/>
      <c r="B4" s="277"/>
      <c r="C4" s="279"/>
      <c r="I4" s="66"/>
      <c r="J4" s="66"/>
      <c r="K4" s="410"/>
      <c r="L4" s="66"/>
      <c r="M4" s="66"/>
      <c r="O4" s="435"/>
      <c r="P4" s="436"/>
    </row>
    <row r="5" spans="1:16" ht="18" customHeight="1">
      <c r="A5" s="277"/>
      <c r="B5" s="277"/>
      <c r="C5" s="279"/>
      <c r="I5" s="66"/>
      <c r="J5" s="66"/>
      <c r="K5" s="410"/>
      <c r="L5" s="66"/>
      <c r="M5" s="66"/>
      <c r="O5" s="435"/>
      <c r="P5" s="436"/>
    </row>
    <row r="6" spans="1:16" ht="18" customHeight="1">
      <c r="A6" s="277"/>
      <c r="B6" s="277"/>
      <c r="C6" s="279"/>
      <c r="I6" s="66"/>
      <c r="J6" s="66"/>
      <c r="K6" s="410"/>
      <c r="L6" s="66"/>
      <c r="M6" s="66"/>
      <c r="O6" s="435"/>
      <c r="P6" s="436"/>
    </row>
    <row r="7" spans="1:16" ht="18" customHeight="1">
      <c r="A7" s="277"/>
      <c r="B7" s="277"/>
      <c r="C7" s="279"/>
      <c r="I7" s="66"/>
      <c r="J7" s="66"/>
      <c r="K7" s="410"/>
      <c r="L7" s="66"/>
      <c r="M7" s="66"/>
      <c r="O7" s="435"/>
      <c r="P7" s="436"/>
    </row>
    <row r="8" spans="1:16" ht="18" customHeight="1">
      <c r="A8" s="277"/>
      <c r="B8" s="277"/>
      <c r="C8" s="279"/>
      <c r="I8" s="66"/>
      <c r="J8" s="66"/>
      <c r="K8" s="410"/>
      <c r="L8" s="66"/>
      <c r="M8" s="66"/>
      <c r="O8" s="435"/>
      <c r="P8" s="436"/>
    </row>
    <row r="9" spans="1:16" ht="18" customHeight="1">
      <c r="A9" s="277"/>
      <c r="B9" s="277"/>
      <c r="C9" s="279"/>
      <c r="I9" s="66"/>
      <c r="J9" s="66"/>
      <c r="K9" s="410"/>
      <c r="L9" s="66"/>
      <c r="M9" s="66"/>
      <c r="O9" s="435"/>
      <c r="P9" s="436"/>
    </row>
    <row r="10" spans="1:16" ht="18" customHeight="1">
      <c r="A10" s="277"/>
      <c r="B10" s="277"/>
      <c r="C10" s="279"/>
      <c r="I10" s="66"/>
      <c r="J10" s="66"/>
      <c r="K10" s="410"/>
      <c r="L10" s="66"/>
      <c r="M10" s="66"/>
      <c r="O10" s="435"/>
      <c r="P10" s="436"/>
    </row>
    <row r="11" spans="1:16" ht="18" customHeight="1">
      <c r="A11" s="277"/>
      <c r="B11" s="277"/>
      <c r="C11" s="279"/>
      <c r="I11" s="66"/>
      <c r="J11" s="66"/>
      <c r="K11" s="410"/>
      <c r="L11" s="66"/>
      <c r="M11" s="66"/>
      <c r="O11" s="435"/>
      <c r="P11" s="436"/>
    </row>
    <row r="12" spans="1:16" ht="18" customHeight="1">
      <c r="A12" s="277"/>
      <c r="B12" s="277"/>
      <c r="C12" s="279"/>
      <c r="I12" s="66"/>
      <c r="J12" s="66"/>
      <c r="K12" s="410"/>
      <c r="L12" s="66"/>
      <c r="M12" s="66"/>
      <c r="O12" s="435"/>
      <c r="P12" s="436"/>
    </row>
    <row r="13" spans="1:16" ht="18" customHeight="1">
      <c r="A13" s="277"/>
      <c r="B13" s="277"/>
      <c r="C13" s="279"/>
      <c r="I13" s="66"/>
      <c r="J13" s="66"/>
      <c r="K13" s="410"/>
      <c r="L13" s="66"/>
      <c r="M13" s="66"/>
      <c r="O13" s="435"/>
      <c r="P13" s="436"/>
    </row>
    <row r="14" spans="1:16" ht="18" customHeight="1">
      <c r="A14" s="277"/>
      <c r="B14" s="277"/>
      <c r="C14" s="279"/>
      <c r="I14" s="66"/>
      <c r="J14" s="66"/>
      <c r="K14" s="410"/>
      <c r="L14" s="66"/>
      <c r="M14" s="66"/>
      <c r="O14" s="435"/>
      <c r="P14" s="436"/>
    </row>
    <row r="15" spans="1:16" ht="18" customHeight="1">
      <c r="A15" s="277"/>
      <c r="B15" s="277"/>
      <c r="C15" s="279"/>
      <c r="I15" s="66"/>
      <c r="J15" s="66"/>
      <c r="K15" s="410"/>
      <c r="L15" s="66"/>
      <c r="M15" s="66"/>
      <c r="O15" s="435"/>
      <c r="P15" s="436"/>
    </row>
    <row r="16" spans="1:16" ht="18" customHeight="1">
      <c r="A16" s="277"/>
      <c r="B16" s="277"/>
      <c r="C16" s="279"/>
      <c r="G16" s="276">
        <v>14.75</v>
      </c>
      <c r="I16" s="66">
        <v>41178</v>
      </c>
      <c r="J16" s="66" t="s">
        <v>338</v>
      </c>
      <c r="K16" s="413" t="s">
        <v>926</v>
      </c>
      <c r="L16" s="66" t="s">
        <v>935</v>
      </c>
      <c r="M16" s="286" t="s">
        <v>936</v>
      </c>
      <c r="O16" s="435"/>
      <c r="P16" s="436"/>
    </row>
    <row r="17" spans="1:16" ht="18" customHeight="1">
      <c r="A17" s="277"/>
      <c r="B17" s="277"/>
      <c r="C17" s="279"/>
      <c r="G17" s="276">
        <v>14.74</v>
      </c>
      <c r="I17" s="66">
        <v>41178</v>
      </c>
      <c r="J17" s="66" t="s">
        <v>338</v>
      </c>
      <c r="K17" s="413" t="s">
        <v>925</v>
      </c>
      <c r="L17" s="66" t="s">
        <v>935</v>
      </c>
      <c r="M17" s="286" t="s">
        <v>936</v>
      </c>
      <c r="O17" s="435"/>
      <c r="P17" s="436"/>
    </row>
    <row r="18" spans="1:16" ht="18" customHeight="1">
      <c r="A18" s="277"/>
      <c r="B18" s="277"/>
      <c r="C18" s="279"/>
      <c r="G18" s="276">
        <v>14.73</v>
      </c>
      <c r="I18" s="66">
        <v>41178</v>
      </c>
      <c r="J18" s="66" t="s">
        <v>338</v>
      </c>
      <c r="K18" s="413" t="s">
        <v>924</v>
      </c>
      <c r="L18" s="66" t="s">
        <v>935</v>
      </c>
      <c r="M18" s="286" t="s">
        <v>936</v>
      </c>
      <c r="O18" s="435"/>
      <c r="P18" s="436"/>
    </row>
    <row r="19" spans="1:16" ht="18" customHeight="1">
      <c r="A19" s="277"/>
      <c r="B19" s="277"/>
      <c r="C19" s="279"/>
      <c r="G19" s="276">
        <v>14.7</v>
      </c>
      <c r="I19" s="66">
        <v>41177</v>
      </c>
      <c r="J19" s="66" t="s">
        <v>338</v>
      </c>
      <c r="K19" s="413" t="s">
        <v>926</v>
      </c>
      <c r="L19" s="285" t="s">
        <v>927</v>
      </c>
      <c r="M19" s="286" t="s">
        <v>921</v>
      </c>
      <c r="O19" s="435"/>
      <c r="P19" s="436"/>
    </row>
    <row r="20" spans="1:16" ht="18" customHeight="1">
      <c r="A20" s="277"/>
      <c r="B20" s="277"/>
      <c r="C20" s="279"/>
      <c r="G20" s="276">
        <v>14.69</v>
      </c>
      <c r="I20" s="66">
        <v>41177</v>
      </c>
      <c r="J20" s="66" t="s">
        <v>338</v>
      </c>
      <c r="K20" s="413" t="s">
        <v>925</v>
      </c>
      <c r="L20" s="285" t="s">
        <v>927</v>
      </c>
      <c r="M20" s="286" t="s">
        <v>921</v>
      </c>
      <c r="O20" s="435"/>
      <c r="P20" s="436"/>
    </row>
    <row r="21" spans="1:16" ht="18" customHeight="1">
      <c r="A21" s="277"/>
      <c r="B21" s="277"/>
      <c r="C21" s="279"/>
      <c r="G21" s="276">
        <v>14.68</v>
      </c>
      <c r="I21" s="66">
        <v>41177</v>
      </c>
      <c r="J21" s="66" t="s">
        <v>338</v>
      </c>
      <c r="K21" s="413" t="s">
        <v>924</v>
      </c>
      <c r="L21" s="285" t="s">
        <v>927</v>
      </c>
      <c r="M21" s="286" t="s">
        <v>921</v>
      </c>
      <c r="O21" s="435"/>
      <c r="P21" s="436"/>
    </row>
    <row r="22" spans="1:16" ht="18" customHeight="1">
      <c r="A22" s="277"/>
      <c r="B22" s="277"/>
      <c r="C22" s="279"/>
      <c r="G22" s="276">
        <v>14.67</v>
      </c>
      <c r="I22" s="66">
        <v>41177</v>
      </c>
      <c r="J22" s="66" t="s">
        <v>338</v>
      </c>
      <c r="K22" s="413" t="s">
        <v>776</v>
      </c>
      <c r="L22" s="285" t="s">
        <v>923</v>
      </c>
      <c r="M22" s="286" t="s">
        <v>921</v>
      </c>
      <c r="O22" s="435"/>
      <c r="P22" s="436"/>
    </row>
    <row r="23" spans="1:16" ht="18" customHeight="1">
      <c r="A23" s="277"/>
      <c r="B23" s="277"/>
      <c r="C23" s="279"/>
      <c r="G23" s="276">
        <v>14.66</v>
      </c>
      <c r="I23" s="66">
        <v>41177</v>
      </c>
      <c r="J23" s="66" t="s">
        <v>338</v>
      </c>
      <c r="K23" s="413" t="s">
        <v>773</v>
      </c>
      <c r="L23" s="285" t="s">
        <v>923</v>
      </c>
      <c r="M23" s="286" t="s">
        <v>921</v>
      </c>
      <c r="O23" s="435"/>
      <c r="P23" s="436"/>
    </row>
    <row r="24" spans="1:16" ht="18" customHeight="1">
      <c r="A24" s="277"/>
      <c r="B24" s="277"/>
      <c r="C24" s="279"/>
      <c r="G24" s="276">
        <v>14.63</v>
      </c>
      <c r="I24" s="66">
        <v>41177</v>
      </c>
      <c r="J24" s="66" t="s">
        <v>338</v>
      </c>
      <c r="K24" s="413" t="s">
        <v>769</v>
      </c>
      <c r="L24" s="285" t="s">
        <v>923</v>
      </c>
      <c r="M24" s="286" t="s">
        <v>921</v>
      </c>
      <c r="O24" s="435"/>
      <c r="P24" s="436"/>
    </row>
    <row r="25" spans="1:16" ht="15" customHeight="1">
      <c r="A25" s="277"/>
      <c r="B25" s="277"/>
      <c r="C25" s="279"/>
      <c r="G25" s="276">
        <v>14.62</v>
      </c>
      <c r="I25" s="66">
        <v>41177</v>
      </c>
      <c r="J25" s="66" t="s">
        <v>338</v>
      </c>
      <c r="K25" s="413" t="s">
        <v>770</v>
      </c>
      <c r="L25" s="285" t="s">
        <v>920</v>
      </c>
      <c r="M25" s="286" t="s">
        <v>921</v>
      </c>
      <c r="O25" s="184"/>
      <c r="P25" s="29"/>
    </row>
    <row r="26" spans="1:16" ht="15" customHeight="1">
      <c r="A26" s="277"/>
      <c r="B26" s="277"/>
      <c r="C26" s="279"/>
      <c r="G26" s="276">
        <v>14.6</v>
      </c>
      <c r="I26" s="36">
        <v>41170</v>
      </c>
      <c r="J26" s="66" t="s">
        <v>338</v>
      </c>
      <c r="K26" s="418" t="s">
        <v>917</v>
      </c>
      <c r="L26" s="286" t="s">
        <v>916</v>
      </c>
      <c r="M26" s="286" t="s">
        <v>918</v>
      </c>
    </row>
    <row r="27" spans="1:16" ht="15" customHeight="1">
      <c r="A27" s="277"/>
      <c r="B27" s="277"/>
      <c r="C27" s="279"/>
      <c r="G27" s="276">
        <v>14.59</v>
      </c>
      <c r="I27" s="36">
        <v>41170</v>
      </c>
      <c r="J27" s="66" t="s">
        <v>338</v>
      </c>
      <c r="K27" s="418" t="s">
        <v>914</v>
      </c>
      <c r="L27" s="286" t="s">
        <v>915</v>
      </c>
      <c r="M27" s="286" t="s">
        <v>918</v>
      </c>
    </row>
    <row r="28" spans="1:16" ht="15" customHeight="1">
      <c r="A28" s="277"/>
      <c r="B28" s="277"/>
      <c r="C28" s="279"/>
      <c r="G28" s="276">
        <v>14.58</v>
      </c>
      <c r="I28" s="36">
        <v>41170</v>
      </c>
      <c r="J28" s="66" t="s">
        <v>338</v>
      </c>
      <c r="K28" s="418" t="s">
        <v>776</v>
      </c>
      <c r="L28" s="286" t="s">
        <v>913</v>
      </c>
      <c r="M28" s="286" t="s">
        <v>918</v>
      </c>
    </row>
    <row r="29" spans="1:16" ht="15" customHeight="1">
      <c r="A29" s="277"/>
      <c r="B29" s="277"/>
      <c r="C29" s="279"/>
      <c r="G29" s="276">
        <v>14.57</v>
      </c>
      <c r="I29" s="36">
        <v>41170</v>
      </c>
      <c r="J29" s="66" t="s">
        <v>338</v>
      </c>
      <c r="K29" s="23" t="s">
        <v>772</v>
      </c>
      <c r="L29" s="286" t="s">
        <v>912</v>
      </c>
      <c r="M29" s="286" t="s">
        <v>919</v>
      </c>
    </row>
    <row r="30" spans="1:16" ht="18" customHeight="1">
      <c r="G30" s="276">
        <v>14.56</v>
      </c>
      <c r="I30" s="36">
        <v>41170</v>
      </c>
      <c r="J30" s="66" t="s">
        <v>338</v>
      </c>
      <c r="K30" s="23" t="s">
        <v>770</v>
      </c>
      <c r="L30" s="286" t="s">
        <v>911</v>
      </c>
      <c r="M30" s="286" t="s">
        <v>919</v>
      </c>
    </row>
    <row r="31" spans="1:16" ht="18" customHeight="1">
      <c r="G31" s="276">
        <v>14.55</v>
      </c>
      <c r="I31" s="36">
        <v>41157</v>
      </c>
      <c r="J31" s="66" t="s">
        <v>338</v>
      </c>
      <c r="K31" s="418" t="s">
        <v>720</v>
      </c>
      <c r="L31" s="286" t="s">
        <v>929</v>
      </c>
      <c r="M31" s="286" t="s">
        <v>919</v>
      </c>
    </row>
    <row r="32" spans="1:16" ht="18" customHeight="1">
      <c r="G32" s="276">
        <v>14.54</v>
      </c>
      <c r="I32" s="36">
        <v>41157</v>
      </c>
      <c r="J32" s="66" t="s">
        <v>338</v>
      </c>
      <c r="K32" s="418" t="s">
        <v>774</v>
      </c>
      <c r="L32" s="286" t="s">
        <v>930</v>
      </c>
      <c r="M32" s="286" t="s">
        <v>919</v>
      </c>
    </row>
    <row r="33" spans="7:13" ht="18" customHeight="1">
      <c r="G33" s="276">
        <v>14.52</v>
      </c>
      <c r="I33" s="36">
        <v>41157</v>
      </c>
      <c r="J33" s="66" t="s">
        <v>338</v>
      </c>
      <c r="K33" s="418" t="s">
        <v>775</v>
      </c>
      <c r="L33" s="286" t="s">
        <v>931</v>
      </c>
      <c r="M33" s="286" t="s">
        <v>919</v>
      </c>
    </row>
    <row r="34" spans="7:13" ht="18" customHeight="1">
      <c r="G34" s="276">
        <v>14.5</v>
      </c>
      <c r="I34" s="36">
        <v>41157</v>
      </c>
      <c r="J34" s="66" t="s">
        <v>338</v>
      </c>
      <c r="K34" s="418" t="s">
        <v>905</v>
      </c>
      <c r="L34" s="286" t="s">
        <v>932</v>
      </c>
      <c r="M34" s="286" t="s">
        <v>919</v>
      </c>
    </row>
    <row r="35" spans="7:13" ht="18" customHeight="1">
      <c r="G35" s="276">
        <v>14.49</v>
      </c>
      <c r="I35" s="36">
        <v>41157</v>
      </c>
      <c r="J35" s="66" t="s">
        <v>338</v>
      </c>
      <c r="K35" s="418" t="s">
        <v>906</v>
      </c>
      <c r="L35" s="286" t="s">
        <v>933</v>
      </c>
      <c r="M35" s="286" t="s">
        <v>919</v>
      </c>
    </row>
    <row r="36" spans="7:13" ht="18" customHeight="1">
      <c r="G36" s="276">
        <v>14.48</v>
      </c>
      <c r="I36" s="36">
        <v>41157</v>
      </c>
      <c r="J36" s="66" t="s">
        <v>338</v>
      </c>
      <c r="K36" s="418" t="s">
        <v>907</v>
      </c>
      <c r="L36" s="286" t="s">
        <v>934</v>
      </c>
      <c r="M36" s="286" t="s">
        <v>919</v>
      </c>
    </row>
    <row r="37" spans="7:13" ht="18" customHeight="1">
      <c r="G37" s="276">
        <f t="shared" ref="G37:G60" si="0">+G38+0.01</f>
        <v>14.469999999999976</v>
      </c>
      <c r="I37" s="36">
        <v>41157</v>
      </c>
      <c r="J37" s="66" t="s">
        <v>338</v>
      </c>
      <c r="K37" s="418" t="s">
        <v>908</v>
      </c>
      <c r="L37" s="286" t="s">
        <v>909</v>
      </c>
      <c r="M37" s="286" t="s">
        <v>919</v>
      </c>
    </row>
    <row r="38" spans="7:13" ht="18" customHeight="1">
      <c r="G38" s="276">
        <f t="shared" si="0"/>
        <v>14.459999999999976</v>
      </c>
      <c r="I38" s="36">
        <v>41157</v>
      </c>
      <c r="J38" s="66" t="s">
        <v>338</v>
      </c>
      <c r="K38" s="418" t="s">
        <v>907</v>
      </c>
      <c r="L38" s="286" t="s">
        <v>903</v>
      </c>
      <c r="M38" s="286" t="s">
        <v>919</v>
      </c>
    </row>
    <row r="39" spans="7:13" ht="18" customHeight="1">
      <c r="G39" s="276">
        <f t="shared" si="0"/>
        <v>14.449999999999976</v>
      </c>
      <c r="I39" s="36">
        <v>41157</v>
      </c>
      <c r="J39" s="66" t="s">
        <v>338</v>
      </c>
      <c r="K39" s="418" t="s">
        <v>907</v>
      </c>
      <c r="L39" s="286" t="s">
        <v>902</v>
      </c>
      <c r="M39" s="286" t="s">
        <v>919</v>
      </c>
    </row>
    <row r="40" spans="7:13" ht="18" customHeight="1">
      <c r="G40" s="276">
        <f t="shared" si="0"/>
        <v>14.439999999999976</v>
      </c>
      <c r="I40" s="36">
        <v>41157</v>
      </c>
      <c r="J40" s="66" t="s">
        <v>338</v>
      </c>
      <c r="K40" s="418" t="s">
        <v>906</v>
      </c>
      <c r="L40" s="286" t="s">
        <v>901</v>
      </c>
      <c r="M40" s="286" t="s">
        <v>919</v>
      </c>
    </row>
    <row r="41" spans="7:13" ht="18" customHeight="1">
      <c r="G41" s="276">
        <f t="shared" si="0"/>
        <v>14.429999999999977</v>
      </c>
      <c r="I41" s="36">
        <v>41157</v>
      </c>
      <c r="J41" s="66" t="s">
        <v>338</v>
      </c>
      <c r="K41" s="418" t="s">
        <v>906</v>
      </c>
      <c r="L41" s="286" t="s">
        <v>900</v>
      </c>
      <c r="M41" s="286" t="s">
        <v>919</v>
      </c>
    </row>
    <row r="42" spans="7:13" ht="18" customHeight="1">
      <c r="G42" s="276">
        <f t="shared" si="0"/>
        <v>14.419999999999977</v>
      </c>
      <c r="I42" s="36">
        <v>41157</v>
      </c>
      <c r="J42" s="66" t="s">
        <v>338</v>
      </c>
      <c r="K42" s="418" t="s">
        <v>906</v>
      </c>
      <c r="L42" s="286" t="s">
        <v>899</v>
      </c>
      <c r="M42" s="286" t="s">
        <v>919</v>
      </c>
    </row>
    <row r="43" spans="7:13" ht="18" customHeight="1">
      <c r="G43" s="276">
        <f t="shared" si="0"/>
        <v>14.409999999999977</v>
      </c>
      <c r="I43" s="36">
        <v>41157</v>
      </c>
      <c r="J43" s="66" t="s">
        <v>338</v>
      </c>
      <c r="K43" s="418" t="s">
        <v>905</v>
      </c>
      <c r="L43" s="286" t="s">
        <v>898</v>
      </c>
      <c r="M43" s="286" t="s">
        <v>919</v>
      </c>
    </row>
    <row r="44" spans="7:13" ht="18" customHeight="1">
      <c r="G44" s="276">
        <f t="shared" si="0"/>
        <v>14.399999999999977</v>
      </c>
      <c r="I44" s="36">
        <v>41157</v>
      </c>
      <c r="J44" s="66" t="s">
        <v>338</v>
      </c>
      <c r="K44" s="418" t="s">
        <v>905</v>
      </c>
      <c r="L44" s="286" t="s">
        <v>897</v>
      </c>
      <c r="M44" s="286" t="s">
        <v>919</v>
      </c>
    </row>
    <row r="45" spans="7:13" ht="18" customHeight="1">
      <c r="G45" s="276">
        <f t="shared" si="0"/>
        <v>14.389999999999977</v>
      </c>
      <c r="I45" s="36">
        <v>41157</v>
      </c>
      <c r="J45" s="66" t="s">
        <v>338</v>
      </c>
      <c r="K45" s="418" t="s">
        <v>905</v>
      </c>
      <c r="L45" s="286" t="s">
        <v>896</v>
      </c>
      <c r="M45" s="286" t="s">
        <v>919</v>
      </c>
    </row>
    <row r="46" spans="7:13" ht="18" customHeight="1">
      <c r="G46" s="276">
        <f t="shared" si="0"/>
        <v>14.379999999999978</v>
      </c>
      <c r="I46" s="36">
        <v>41157</v>
      </c>
      <c r="J46" s="66" t="s">
        <v>338</v>
      </c>
      <c r="K46" s="418" t="s">
        <v>776</v>
      </c>
      <c r="L46" s="286" t="s">
        <v>904</v>
      </c>
      <c r="M46" s="286" t="s">
        <v>919</v>
      </c>
    </row>
    <row r="47" spans="7:13" ht="18" customHeight="1">
      <c r="G47" s="276">
        <f t="shared" si="0"/>
        <v>14.369999999999978</v>
      </c>
      <c r="I47" s="36">
        <v>41157</v>
      </c>
      <c r="J47" s="66" t="s">
        <v>338</v>
      </c>
      <c r="K47" s="418" t="s">
        <v>775</v>
      </c>
      <c r="L47" s="286" t="s">
        <v>895</v>
      </c>
      <c r="M47" s="286" t="s">
        <v>919</v>
      </c>
    </row>
    <row r="48" spans="7:13" ht="18" customHeight="1">
      <c r="G48" s="276">
        <f t="shared" si="0"/>
        <v>14.359999999999978</v>
      </c>
      <c r="I48" s="36">
        <v>41157</v>
      </c>
      <c r="J48" s="66" t="s">
        <v>338</v>
      </c>
      <c r="K48" s="418" t="s">
        <v>775</v>
      </c>
      <c r="L48" s="286" t="s">
        <v>885</v>
      </c>
      <c r="M48" s="286" t="s">
        <v>919</v>
      </c>
    </row>
    <row r="49" spans="7:14" ht="18" customHeight="1">
      <c r="G49" s="276">
        <f t="shared" si="0"/>
        <v>14.349999999999978</v>
      </c>
      <c r="I49" s="36">
        <v>41157</v>
      </c>
      <c r="J49" s="66" t="s">
        <v>338</v>
      </c>
      <c r="K49" s="418" t="s">
        <v>774</v>
      </c>
      <c r="L49" s="286" t="s">
        <v>894</v>
      </c>
      <c r="M49" s="286" t="s">
        <v>919</v>
      </c>
    </row>
    <row r="50" spans="7:14" ht="18" customHeight="1">
      <c r="G50" s="276">
        <f t="shared" si="0"/>
        <v>14.339999999999979</v>
      </c>
      <c r="I50" s="36">
        <v>41157</v>
      </c>
      <c r="J50" s="66" t="s">
        <v>338</v>
      </c>
      <c r="K50" s="418" t="s">
        <v>774</v>
      </c>
      <c r="L50" s="286" t="s">
        <v>886</v>
      </c>
      <c r="M50" s="286" t="s">
        <v>919</v>
      </c>
    </row>
    <row r="51" spans="7:14" ht="18" customHeight="1">
      <c r="G51" s="276">
        <f t="shared" si="0"/>
        <v>14.329999999999979</v>
      </c>
      <c r="I51" s="36">
        <v>41157</v>
      </c>
      <c r="J51" s="66" t="s">
        <v>338</v>
      </c>
      <c r="K51" s="418" t="s">
        <v>774</v>
      </c>
      <c r="L51" s="286" t="s">
        <v>884</v>
      </c>
      <c r="M51" s="286" t="s">
        <v>919</v>
      </c>
    </row>
    <row r="52" spans="7:14" ht="18" customHeight="1">
      <c r="G52" s="276">
        <f t="shared" si="0"/>
        <v>14.319999999999979</v>
      </c>
      <c r="I52" s="36">
        <v>41157</v>
      </c>
      <c r="J52" s="66" t="s">
        <v>338</v>
      </c>
      <c r="K52" s="418" t="s">
        <v>720</v>
      </c>
      <c r="L52" s="286" t="s">
        <v>888</v>
      </c>
      <c r="M52" s="286" t="s">
        <v>919</v>
      </c>
    </row>
    <row r="53" spans="7:14" ht="18" customHeight="1">
      <c r="G53" s="276">
        <f t="shared" si="0"/>
        <v>14.309999999999979</v>
      </c>
      <c r="I53" s="36">
        <v>41157</v>
      </c>
      <c r="J53" s="66" t="s">
        <v>338</v>
      </c>
      <c r="K53" s="418" t="s">
        <v>720</v>
      </c>
      <c r="L53" s="286" t="s">
        <v>889</v>
      </c>
      <c r="M53" s="286" t="s">
        <v>919</v>
      </c>
    </row>
    <row r="54" spans="7:14" ht="18" customHeight="1">
      <c r="G54" s="276">
        <f t="shared" si="0"/>
        <v>14.299999999999979</v>
      </c>
      <c r="I54" s="36">
        <v>41157</v>
      </c>
      <c r="J54" s="66" t="s">
        <v>338</v>
      </c>
      <c r="K54" s="418" t="s">
        <v>720</v>
      </c>
      <c r="L54" s="286" t="s">
        <v>887</v>
      </c>
      <c r="M54" s="286" t="s">
        <v>919</v>
      </c>
    </row>
    <row r="55" spans="7:14" ht="18" customHeight="1">
      <c r="G55" s="276">
        <f t="shared" si="0"/>
        <v>14.28999999999998</v>
      </c>
      <c r="I55" s="36">
        <v>41157</v>
      </c>
      <c r="J55" s="66" t="s">
        <v>338</v>
      </c>
      <c r="K55" s="418" t="s">
        <v>773</v>
      </c>
      <c r="L55" s="286" t="s">
        <v>883</v>
      </c>
      <c r="M55" s="286" t="s">
        <v>919</v>
      </c>
    </row>
    <row r="56" spans="7:14" ht="18" customHeight="1">
      <c r="G56" s="276">
        <f t="shared" si="0"/>
        <v>14.27999999999998</v>
      </c>
      <c r="I56" s="36">
        <v>41157</v>
      </c>
      <c r="J56" s="66" t="s">
        <v>338</v>
      </c>
      <c r="K56" s="418" t="s">
        <v>772</v>
      </c>
      <c r="L56" s="286" t="s">
        <v>882</v>
      </c>
      <c r="M56" s="286" t="s">
        <v>919</v>
      </c>
    </row>
    <row r="57" spans="7:14" ht="18" customHeight="1">
      <c r="G57" s="276">
        <f t="shared" si="0"/>
        <v>14.26999999999998</v>
      </c>
      <c r="I57" s="36">
        <v>41157</v>
      </c>
      <c r="J57" s="66" t="s">
        <v>338</v>
      </c>
      <c r="K57" s="418" t="s">
        <v>771</v>
      </c>
      <c r="L57" s="286" t="s">
        <v>893</v>
      </c>
      <c r="M57" s="286" t="s">
        <v>919</v>
      </c>
    </row>
    <row r="58" spans="7:14" ht="18" customHeight="1">
      <c r="G58" s="276">
        <f t="shared" si="0"/>
        <v>14.25999999999998</v>
      </c>
      <c r="I58" s="36">
        <v>41157</v>
      </c>
      <c r="J58" s="66" t="s">
        <v>338</v>
      </c>
      <c r="K58" s="418" t="s">
        <v>771</v>
      </c>
      <c r="L58" s="286" t="s">
        <v>892</v>
      </c>
      <c r="M58" s="286" t="s">
        <v>919</v>
      </c>
    </row>
    <row r="59" spans="7:14" ht="18" customHeight="1">
      <c r="G59" s="276">
        <f t="shared" si="0"/>
        <v>14.24999999999998</v>
      </c>
      <c r="I59" s="36">
        <v>41157</v>
      </c>
      <c r="J59" s="66" t="s">
        <v>338</v>
      </c>
      <c r="K59" s="418" t="s">
        <v>771</v>
      </c>
      <c r="L59" s="286" t="s">
        <v>890</v>
      </c>
      <c r="M59" s="286" t="s">
        <v>919</v>
      </c>
    </row>
    <row r="60" spans="7:14" ht="18" customHeight="1">
      <c r="G60" s="276">
        <f t="shared" si="0"/>
        <v>14.239999999999981</v>
      </c>
      <c r="I60" s="36">
        <v>41157</v>
      </c>
      <c r="J60" s="66" t="s">
        <v>338</v>
      </c>
      <c r="K60" s="418" t="s">
        <v>770</v>
      </c>
      <c r="L60" s="286" t="s">
        <v>891</v>
      </c>
      <c r="M60" s="286" t="s">
        <v>919</v>
      </c>
    </row>
    <row r="61" spans="7:14" ht="18" customHeight="1">
      <c r="G61" s="276">
        <f>+G62+0.01</f>
        <v>14.229999999999981</v>
      </c>
      <c r="I61" s="36">
        <v>41157</v>
      </c>
      <c r="J61" s="66" t="s">
        <v>338</v>
      </c>
      <c r="K61" s="418" t="s">
        <v>769</v>
      </c>
      <c r="L61" s="286" t="s">
        <v>880</v>
      </c>
      <c r="M61" s="286" t="s">
        <v>919</v>
      </c>
    </row>
    <row r="62" spans="7:14" ht="18" customHeight="1">
      <c r="G62" s="276">
        <v>14.219999999999981</v>
      </c>
      <c r="I62" s="36">
        <v>41067</v>
      </c>
      <c r="J62" s="66" t="s">
        <v>338</v>
      </c>
      <c r="K62" s="418" t="s">
        <v>875</v>
      </c>
      <c r="L62" s="286" t="s">
        <v>826</v>
      </c>
      <c r="M62" s="285" t="s">
        <v>678</v>
      </c>
      <c r="N62" s="286" t="s">
        <v>358</v>
      </c>
    </row>
    <row r="63" spans="7:14" ht="18" customHeight="1">
      <c r="G63" s="276">
        <v>14.209999999999981</v>
      </c>
      <c r="I63" s="36">
        <v>41067</v>
      </c>
      <c r="J63" s="66" t="s">
        <v>338</v>
      </c>
      <c r="K63" s="418" t="s">
        <v>827</v>
      </c>
      <c r="L63" s="286" t="s">
        <v>826</v>
      </c>
      <c r="M63" s="285" t="s">
        <v>678</v>
      </c>
      <c r="N63" s="286" t="s">
        <v>358</v>
      </c>
    </row>
    <row r="64" spans="7:14" ht="18" customHeight="1">
      <c r="G64" s="276">
        <v>14.199999999999982</v>
      </c>
      <c r="I64" s="36">
        <v>41067</v>
      </c>
      <c r="J64" s="66" t="s">
        <v>338</v>
      </c>
      <c r="K64" s="418" t="s">
        <v>828</v>
      </c>
      <c r="L64" s="286" t="s">
        <v>826</v>
      </c>
      <c r="M64" s="285" t="s">
        <v>678</v>
      </c>
      <c r="N64" s="286" t="s">
        <v>358</v>
      </c>
    </row>
    <row r="65" spans="1:37" ht="18" customHeight="1">
      <c r="G65" s="276">
        <v>14.189999999999982</v>
      </c>
      <c r="I65" s="36">
        <v>41067</v>
      </c>
      <c r="J65" s="66" t="s">
        <v>338</v>
      </c>
      <c r="K65" s="418" t="s">
        <v>829</v>
      </c>
      <c r="L65" s="286" t="s">
        <v>826</v>
      </c>
      <c r="M65" s="285" t="s">
        <v>678</v>
      </c>
      <c r="N65" s="286" t="s">
        <v>358</v>
      </c>
    </row>
    <row r="66" spans="1:37" ht="18" customHeight="1">
      <c r="G66" s="276">
        <v>14.179999999999982</v>
      </c>
      <c r="I66" s="36">
        <v>41067</v>
      </c>
      <c r="J66" s="66" t="s">
        <v>338</v>
      </c>
      <c r="K66" s="418" t="s">
        <v>830</v>
      </c>
      <c r="L66" s="286" t="s">
        <v>826</v>
      </c>
      <c r="M66" s="285" t="s">
        <v>678</v>
      </c>
      <c r="N66" s="286" t="s">
        <v>358</v>
      </c>
    </row>
    <row r="67" spans="1:37" ht="18" customHeight="1">
      <c r="G67" s="276">
        <v>14.169999999999982</v>
      </c>
      <c r="I67" s="36">
        <v>41067</v>
      </c>
      <c r="J67" s="66" t="s">
        <v>338</v>
      </c>
      <c r="K67" s="418" t="s">
        <v>831</v>
      </c>
      <c r="L67" s="286" t="s">
        <v>826</v>
      </c>
      <c r="M67" s="285" t="s">
        <v>678</v>
      </c>
      <c r="N67" s="286" t="s">
        <v>358</v>
      </c>
    </row>
    <row r="68" spans="1:37" ht="18" customHeight="1">
      <c r="G68" s="276">
        <v>14.159999999999982</v>
      </c>
      <c r="I68" s="36">
        <v>41067</v>
      </c>
      <c r="J68" s="66" t="s">
        <v>338</v>
      </c>
      <c r="K68" s="418" t="s">
        <v>832</v>
      </c>
      <c r="L68" s="286" t="s">
        <v>826</v>
      </c>
      <c r="M68" s="285" t="s">
        <v>678</v>
      </c>
      <c r="N68" s="286" t="s">
        <v>358</v>
      </c>
    </row>
    <row r="69" spans="1:37" ht="18" customHeight="1">
      <c r="G69" s="276">
        <v>14.149999999999983</v>
      </c>
      <c r="I69" s="36">
        <v>41067</v>
      </c>
      <c r="J69" s="66" t="s">
        <v>338</v>
      </c>
      <c r="K69" s="418" t="s">
        <v>833</v>
      </c>
      <c r="L69" s="286" t="s">
        <v>826</v>
      </c>
      <c r="M69" s="285" t="s">
        <v>678</v>
      </c>
      <c r="N69" s="286" t="s">
        <v>358</v>
      </c>
    </row>
    <row r="70" spans="1:37" ht="18" customHeight="1">
      <c r="G70" s="276">
        <v>14.139999999999983</v>
      </c>
      <c r="I70" s="36">
        <v>41067</v>
      </c>
      <c r="J70" s="66" t="s">
        <v>338</v>
      </c>
      <c r="K70" s="418" t="s">
        <v>834</v>
      </c>
      <c r="L70" s="286" t="s">
        <v>826</v>
      </c>
      <c r="M70" s="285" t="s">
        <v>678</v>
      </c>
      <c r="N70" s="286" t="s">
        <v>358</v>
      </c>
    </row>
    <row r="71" spans="1:37" ht="18" customHeight="1">
      <c r="G71" s="276">
        <v>14.129999999999983</v>
      </c>
      <c r="I71" s="36">
        <v>41067</v>
      </c>
      <c r="J71" s="66" t="s">
        <v>338</v>
      </c>
      <c r="K71" s="418" t="s">
        <v>835</v>
      </c>
      <c r="L71" s="286" t="s">
        <v>826</v>
      </c>
      <c r="M71" s="285" t="s">
        <v>678</v>
      </c>
      <c r="N71" s="286" t="s">
        <v>358</v>
      </c>
    </row>
    <row r="72" spans="1:37" ht="18" customHeight="1">
      <c r="G72" s="276">
        <v>14.119999999999983</v>
      </c>
      <c r="I72" s="36">
        <v>41067</v>
      </c>
      <c r="J72" s="66" t="s">
        <v>338</v>
      </c>
      <c r="K72" s="418" t="s">
        <v>836</v>
      </c>
      <c r="L72" s="286" t="s">
        <v>826</v>
      </c>
      <c r="M72" s="285" t="s">
        <v>678</v>
      </c>
      <c r="N72" s="286" t="s">
        <v>358</v>
      </c>
    </row>
    <row r="73" spans="1:37" ht="18" customHeight="1">
      <c r="G73" s="276">
        <v>14.109999999999983</v>
      </c>
      <c r="I73" s="36">
        <v>41067</v>
      </c>
      <c r="J73" s="66" t="s">
        <v>338</v>
      </c>
      <c r="K73" s="418" t="s">
        <v>837</v>
      </c>
      <c r="L73" s="286" t="s">
        <v>826</v>
      </c>
      <c r="M73" s="285" t="s">
        <v>678</v>
      </c>
      <c r="N73" s="286" t="s">
        <v>358</v>
      </c>
    </row>
    <row r="74" spans="1:37" ht="18" customHeight="1">
      <c r="G74" s="276">
        <v>14.099999999999984</v>
      </c>
      <c r="I74" s="36">
        <v>41067</v>
      </c>
      <c r="J74" s="66" t="s">
        <v>338</v>
      </c>
      <c r="K74" s="418" t="s">
        <v>838</v>
      </c>
      <c r="L74" s="286" t="s">
        <v>826</v>
      </c>
      <c r="M74" s="285" t="s">
        <v>678</v>
      </c>
      <c r="N74" s="286" t="s">
        <v>358</v>
      </c>
    </row>
    <row r="75" spans="1:37" ht="18" customHeight="1">
      <c r="G75" s="276">
        <v>14.089999999999984</v>
      </c>
      <c r="I75" s="36">
        <v>41067</v>
      </c>
      <c r="J75" s="66" t="s">
        <v>338</v>
      </c>
      <c r="K75" s="418" t="s">
        <v>839</v>
      </c>
      <c r="L75" s="286" t="s">
        <v>826</v>
      </c>
      <c r="M75" s="285" t="s">
        <v>678</v>
      </c>
      <c r="N75" s="286" t="s">
        <v>358</v>
      </c>
    </row>
    <row r="76" spans="1:37" ht="18" customHeight="1">
      <c r="G76" s="276">
        <v>14.079999999999984</v>
      </c>
      <c r="I76" s="36">
        <v>41067</v>
      </c>
      <c r="J76" s="66" t="s">
        <v>338</v>
      </c>
      <c r="K76" s="418" t="s">
        <v>840</v>
      </c>
      <c r="L76" s="286" t="s">
        <v>826</v>
      </c>
      <c r="M76" s="285" t="s">
        <v>678</v>
      </c>
      <c r="N76" s="286" t="s">
        <v>358</v>
      </c>
    </row>
    <row r="77" spans="1:37" ht="18" customHeight="1">
      <c r="G77" s="276">
        <v>14.069999999999984</v>
      </c>
      <c r="I77" s="36">
        <v>41067</v>
      </c>
      <c r="J77" s="66" t="s">
        <v>338</v>
      </c>
      <c r="K77" s="418" t="s">
        <v>841</v>
      </c>
      <c r="L77" s="286" t="s">
        <v>826</v>
      </c>
      <c r="M77" s="285" t="s">
        <v>678</v>
      </c>
      <c r="N77" s="286" t="s">
        <v>358</v>
      </c>
    </row>
    <row r="78" spans="1:37" ht="18" customHeight="1">
      <c r="G78" s="276">
        <v>14.059999999999985</v>
      </c>
      <c r="I78" s="36">
        <v>41067</v>
      </c>
      <c r="J78" s="66" t="s">
        <v>338</v>
      </c>
      <c r="K78" s="418" t="s">
        <v>842</v>
      </c>
      <c r="L78" s="286" t="s">
        <v>826</v>
      </c>
      <c r="M78" s="285" t="s">
        <v>678</v>
      </c>
      <c r="N78" s="286" t="s">
        <v>358</v>
      </c>
    </row>
    <row r="79" spans="1:37" ht="18" customHeight="1">
      <c r="G79" s="276">
        <v>14.049999999999985</v>
      </c>
      <c r="I79" s="36">
        <v>41067</v>
      </c>
      <c r="J79" s="66" t="s">
        <v>338</v>
      </c>
      <c r="K79" s="418" t="s">
        <v>843</v>
      </c>
      <c r="L79" s="286" t="s">
        <v>826</v>
      </c>
      <c r="M79" s="285" t="s">
        <v>678</v>
      </c>
      <c r="N79" s="286" t="s">
        <v>358</v>
      </c>
    </row>
    <row r="80" spans="1:37" s="34" customFormat="1" ht="18" customHeight="1">
      <c r="A80" s="269"/>
      <c r="B80" s="269"/>
      <c r="C80" s="269"/>
      <c r="F80" s="33"/>
      <c r="G80" s="276">
        <v>14.039999999999985</v>
      </c>
      <c r="H80" s="64"/>
      <c r="I80" s="36">
        <v>41067</v>
      </c>
      <c r="J80" s="66" t="s">
        <v>338</v>
      </c>
      <c r="K80" s="418" t="s">
        <v>844</v>
      </c>
      <c r="L80" s="286" t="s">
        <v>826</v>
      </c>
      <c r="M80" s="285" t="s">
        <v>678</v>
      </c>
      <c r="N80" s="286" t="s">
        <v>358</v>
      </c>
      <c r="O80" s="33"/>
      <c r="P80" s="23"/>
      <c r="Q80" s="33"/>
      <c r="R80" s="33"/>
      <c r="S80" s="33"/>
      <c r="T80" s="33"/>
      <c r="U80" s="33"/>
      <c r="V80" s="33"/>
      <c r="W80" s="33"/>
      <c r="X80" s="33"/>
      <c r="Y80" s="33"/>
      <c r="Z80" s="33"/>
      <c r="AA80" s="33"/>
      <c r="AB80" s="33"/>
      <c r="AC80" s="33"/>
      <c r="AD80" s="33"/>
      <c r="AE80" s="33"/>
      <c r="AF80" s="33"/>
      <c r="AG80" s="33"/>
      <c r="AH80" s="33"/>
      <c r="AI80" s="33"/>
      <c r="AJ80" s="33"/>
      <c r="AK80" s="33"/>
    </row>
    <row r="81" spans="7:14" ht="18" customHeight="1">
      <c r="G81" s="276">
        <v>14.029999999999985</v>
      </c>
      <c r="I81" s="36">
        <v>41067</v>
      </c>
      <c r="J81" s="66" t="s">
        <v>338</v>
      </c>
      <c r="K81" s="418" t="s">
        <v>845</v>
      </c>
      <c r="L81" s="286" t="s">
        <v>826</v>
      </c>
      <c r="M81" s="285" t="s">
        <v>678</v>
      </c>
      <c r="N81" s="286" t="s">
        <v>358</v>
      </c>
    </row>
    <row r="82" spans="7:14" ht="18" customHeight="1">
      <c r="G82" s="276">
        <v>14.019999999999985</v>
      </c>
      <c r="I82" s="36">
        <v>41067</v>
      </c>
      <c r="J82" s="66" t="s">
        <v>338</v>
      </c>
      <c r="K82" s="418" t="s">
        <v>846</v>
      </c>
      <c r="L82" s="286" t="s">
        <v>826</v>
      </c>
      <c r="M82" s="285" t="s">
        <v>678</v>
      </c>
      <c r="N82" s="286" t="s">
        <v>358</v>
      </c>
    </row>
    <row r="83" spans="7:14" ht="18" customHeight="1">
      <c r="G83" s="276">
        <v>14.009999999999986</v>
      </c>
      <c r="I83" s="36">
        <v>41067</v>
      </c>
      <c r="J83" s="66" t="s">
        <v>338</v>
      </c>
      <c r="K83" s="418" t="s">
        <v>847</v>
      </c>
      <c r="L83" s="286" t="s">
        <v>826</v>
      </c>
      <c r="M83" s="285" t="s">
        <v>678</v>
      </c>
      <c r="N83" s="286" t="s">
        <v>358</v>
      </c>
    </row>
    <row r="84" spans="7:14" ht="18" customHeight="1">
      <c r="G84" s="276">
        <v>13.999999999999986</v>
      </c>
      <c r="I84" s="36">
        <v>41067</v>
      </c>
      <c r="J84" s="66" t="s">
        <v>338</v>
      </c>
      <c r="K84" s="418" t="s">
        <v>848</v>
      </c>
      <c r="L84" s="286" t="s">
        <v>825</v>
      </c>
      <c r="M84" s="285" t="s">
        <v>678</v>
      </c>
      <c r="N84" s="286" t="s">
        <v>358</v>
      </c>
    </row>
    <row r="85" spans="7:14" ht="18" customHeight="1">
      <c r="G85" s="276">
        <v>13.989999999999986</v>
      </c>
      <c r="I85" s="36">
        <v>41067</v>
      </c>
      <c r="J85" s="66" t="s">
        <v>338</v>
      </c>
      <c r="K85" s="418" t="s">
        <v>849</v>
      </c>
      <c r="L85" s="286" t="s">
        <v>824</v>
      </c>
      <c r="M85" s="285" t="s">
        <v>678</v>
      </c>
      <c r="N85" s="286" t="s">
        <v>358</v>
      </c>
    </row>
    <row r="86" spans="7:14" ht="18" customHeight="1">
      <c r="G86" s="276">
        <v>13.979999999999986</v>
      </c>
      <c r="I86" s="36">
        <v>41067</v>
      </c>
      <c r="J86" s="66" t="s">
        <v>338</v>
      </c>
      <c r="K86" s="418" t="s">
        <v>850</v>
      </c>
      <c r="L86" s="286" t="s">
        <v>823</v>
      </c>
      <c r="M86" s="285" t="s">
        <v>678</v>
      </c>
      <c r="N86" s="286" t="s">
        <v>358</v>
      </c>
    </row>
    <row r="87" spans="7:14" ht="18" customHeight="1">
      <c r="G87" s="276">
        <v>13.969999999999986</v>
      </c>
      <c r="I87" s="36">
        <v>41067</v>
      </c>
      <c r="J87" s="66" t="s">
        <v>338</v>
      </c>
      <c r="K87" s="418" t="s">
        <v>851</v>
      </c>
      <c r="L87" s="286" t="s">
        <v>822</v>
      </c>
      <c r="M87" s="285" t="s">
        <v>678</v>
      </c>
      <c r="N87" s="286" t="s">
        <v>358</v>
      </c>
    </row>
    <row r="88" spans="7:14" ht="18" customHeight="1">
      <c r="G88" s="276">
        <v>13.959999999999987</v>
      </c>
      <c r="I88" s="36">
        <v>41067</v>
      </c>
      <c r="J88" s="66" t="s">
        <v>338</v>
      </c>
      <c r="K88" s="418" t="s">
        <v>852</v>
      </c>
      <c r="L88" s="286" t="s">
        <v>821</v>
      </c>
      <c r="M88" s="285" t="s">
        <v>678</v>
      </c>
      <c r="N88" s="286" t="s">
        <v>358</v>
      </c>
    </row>
    <row r="89" spans="7:14" ht="18" customHeight="1">
      <c r="G89" s="276">
        <v>13.949999999999987</v>
      </c>
      <c r="I89" s="36">
        <v>41067</v>
      </c>
      <c r="J89" s="66" t="s">
        <v>338</v>
      </c>
      <c r="K89" s="418" t="s">
        <v>853</v>
      </c>
      <c r="L89" s="286" t="s">
        <v>820</v>
      </c>
      <c r="M89" s="285" t="s">
        <v>678</v>
      </c>
      <c r="N89" s="286" t="s">
        <v>358</v>
      </c>
    </row>
    <row r="90" spans="7:14" ht="18" customHeight="1">
      <c r="G90" s="276">
        <v>13.939999999999987</v>
      </c>
      <c r="I90" s="36">
        <v>41067</v>
      </c>
      <c r="J90" s="66" t="s">
        <v>338</v>
      </c>
      <c r="K90" s="418" t="s">
        <v>854</v>
      </c>
      <c r="L90" s="286" t="s">
        <v>819</v>
      </c>
      <c r="M90" s="285" t="s">
        <v>678</v>
      </c>
      <c r="N90" s="286" t="s">
        <v>358</v>
      </c>
    </row>
    <row r="91" spans="7:14" ht="18" customHeight="1">
      <c r="G91" s="276">
        <v>13.929999999999987</v>
      </c>
      <c r="I91" s="36">
        <v>41067</v>
      </c>
      <c r="J91" s="66" t="s">
        <v>338</v>
      </c>
      <c r="K91" s="418" t="s">
        <v>855</v>
      </c>
      <c r="L91" s="286" t="s">
        <v>810</v>
      </c>
      <c r="M91" s="285" t="s">
        <v>678</v>
      </c>
      <c r="N91" s="286" t="s">
        <v>358</v>
      </c>
    </row>
    <row r="92" spans="7:14" ht="18" customHeight="1">
      <c r="G92" s="276">
        <v>13.919999999999987</v>
      </c>
      <c r="I92" s="36">
        <v>41067</v>
      </c>
      <c r="J92" s="66" t="s">
        <v>338</v>
      </c>
      <c r="K92" s="418" t="s">
        <v>856</v>
      </c>
      <c r="L92" s="286" t="s">
        <v>811</v>
      </c>
      <c r="M92" s="285" t="s">
        <v>678</v>
      </c>
      <c r="N92" s="286" t="s">
        <v>358</v>
      </c>
    </row>
    <row r="93" spans="7:14" ht="18" customHeight="1">
      <c r="G93" s="276">
        <v>13.909999999999988</v>
      </c>
      <c r="I93" s="36">
        <v>41067</v>
      </c>
      <c r="J93" s="66" t="s">
        <v>338</v>
      </c>
      <c r="K93" s="418" t="s">
        <v>857</v>
      </c>
      <c r="L93" s="286" t="s">
        <v>812</v>
      </c>
      <c r="M93" s="285" t="s">
        <v>678</v>
      </c>
      <c r="N93" s="286" t="s">
        <v>358</v>
      </c>
    </row>
    <row r="94" spans="7:14" ht="18" customHeight="1">
      <c r="G94" s="276">
        <v>13.899999999999988</v>
      </c>
      <c r="I94" s="36">
        <v>41067</v>
      </c>
      <c r="J94" s="66" t="s">
        <v>338</v>
      </c>
      <c r="K94" s="418" t="s">
        <v>858</v>
      </c>
      <c r="L94" s="286" t="s">
        <v>813</v>
      </c>
      <c r="M94" s="285" t="s">
        <v>678</v>
      </c>
      <c r="N94" s="286" t="s">
        <v>358</v>
      </c>
    </row>
    <row r="95" spans="7:14" ht="18" customHeight="1">
      <c r="G95" s="276">
        <v>13.889999999999988</v>
      </c>
      <c r="I95" s="36">
        <v>41067</v>
      </c>
      <c r="J95" s="66" t="s">
        <v>338</v>
      </c>
      <c r="K95" s="418" t="s">
        <v>859</v>
      </c>
      <c r="L95" s="286" t="s">
        <v>814</v>
      </c>
      <c r="M95" s="285" t="s">
        <v>678</v>
      </c>
      <c r="N95" s="286" t="s">
        <v>358</v>
      </c>
    </row>
    <row r="96" spans="7:14" ht="18" customHeight="1">
      <c r="G96" s="276">
        <v>13.879999999999988</v>
      </c>
      <c r="I96" s="36">
        <v>41067</v>
      </c>
      <c r="J96" s="66" t="s">
        <v>338</v>
      </c>
      <c r="K96" s="418" t="s">
        <v>860</v>
      </c>
      <c r="L96" s="286" t="s">
        <v>815</v>
      </c>
      <c r="M96" s="285" t="s">
        <v>678</v>
      </c>
      <c r="N96" s="286" t="s">
        <v>358</v>
      </c>
    </row>
    <row r="97" spans="7:16" ht="18" customHeight="1">
      <c r="G97" s="276">
        <v>13.869999999999989</v>
      </c>
      <c r="I97" s="36">
        <v>41067</v>
      </c>
      <c r="J97" s="66" t="s">
        <v>338</v>
      </c>
      <c r="K97" s="418" t="s">
        <v>861</v>
      </c>
      <c r="L97" s="286" t="s">
        <v>816</v>
      </c>
      <c r="M97" s="285" t="s">
        <v>678</v>
      </c>
      <c r="N97" s="286" t="s">
        <v>358</v>
      </c>
    </row>
    <row r="98" spans="7:16" ht="18" customHeight="1">
      <c r="G98" s="276">
        <v>13.859999999999989</v>
      </c>
      <c r="I98" s="36">
        <v>41067</v>
      </c>
      <c r="J98" s="66" t="s">
        <v>338</v>
      </c>
      <c r="K98" s="418" t="s">
        <v>862</v>
      </c>
      <c r="L98" s="286" t="s">
        <v>817</v>
      </c>
      <c r="M98" s="285" t="s">
        <v>678</v>
      </c>
      <c r="N98" s="286" t="s">
        <v>358</v>
      </c>
    </row>
    <row r="99" spans="7:16" ht="18" customHeight="1">
      <c r="G99" s="276">
        <v>13.849999999999989</v>
      </c>
      <c r="I99" s="36">
        <v>41067</v>
      </c>
      <c r="J99" s="66" t="s">
        <v>338</v>
      </c>
      <c r="K99" s="418" t="s">
        <v>863</v>
      </c>
      <c r="L99" s="286" t="s">
        <v>818</v>
      </c>
      <c r="M99" s="285" t="s">
        <v>678</v>
      </c>
      <c r="N99" s="286" t="s">
        <v>358</v>
      </c>
    </row>
    <row r="100" spans="7:16" ht="18" customHeight="1">
      <c r="G100" s="276">
        <v>13.839999999999989</v>
      </c>
      <c r="I100" s="36">
        <v>41067</v>
      </c>
      <c r="J100" s="66" t="s">
        <v>338</v>
      </c>
      <c r="K100" s="418" t="s">
        <v>864</v>
      </c>
      <c r="L100" s="286" t="s">
        <v>804</v>
      </c>
      <c r="M100" s="285" t="s">
        <v>678</v>
      </c>
      <c r="N100" s="286" t="s">
        <v>358</v>
      </c>
    </row>
    <row r="101" spans="7:16" ht="18" customHeight="1">
      <c r="G101" s="276">
        <v>13.829999999999989</v>
      </c>
      <c r="I101" s="36">
        <v>41067</v>
      </c>
      <c r="J101" s="66" t="s">
        <v>338</v>
      </c>
      <c r="K101" s="418" t="s">
        <v>865</v>
      </c>
      <c r="L101" s="286" t="s">
        <v>805</v>
      </c>
      <c r="M101" s="285" t="s">
        <v>678</v>
      </c>
      <c r="N101" s="286" t="s">
        <v>358</v>
      </c>
    </row>
    <row r="102" spans="7:16" ht="18" customHeight="1">
      <c r="G102" s="276">
        <v>13.81999999999999</v>
      </c>
      <c r="I102" s="36">
        <v>41067</v>
      </c>
      <c r="J102" s="66" t="s">
        <v>338</v>
      </c>
      <c r="K102" s="418" t="s">
        <v>866</v>
      </c>
      <c r="L102" s="286" t="s">
        <v>806</v>
      </c>
      <c r="M102" s="285" t="s">
        <v>678</v>
      </c>
      <c r="N102" s="286" t="s">
        <v>358</v>
      </c>
    </row>
    <row r="103" spans="7:16" ht="18" customHeight="1">
      <c r="G103" s="276">
        <v>13.80999999999999</v>
      </c>
      <c r="I103" s="36">
        <v>41067</v>
      </c>
      <c r="J103" s="66" t="s">
        <v>338</v>
      </c>
      <c r="K103" s="418" t="s">
        <v>867</v>
      </c>
      <c r="L103" s="286" t="s">
        <v>807</v>
      </c>
      <c r="M103" s="285" t="s">
        <v>678</v>
      </c>
      <c r="N103" s="286" t="s">
        <v>358</v>
      </c>
    </row>
    <row r="104" spans="7:16" ht="18" customHeight="1">
      <c r="G104" s="276">
        <v>13.79999999999999</v>
      </c>
      <c r="I104" s="36">
        <v>41067</v>
      </c>
      <c r="J104" s="66" t="s">
        <v>338</v>
      </c>
      <c r="K104" s="418" t="s">
        <v>868</v>
      </c>
      <c r="L104" s="286" t="s">
        <v>808</v>
      </c>
      <c r="M104" s="285" t="s">
        <v>678</v>
      </c>
      <c r="N104" s="286" t="s">
        <v>358</v>
      </c>
    </row>
    <row r="105" spans="7:16" ht="18" customHeight="1">
      <c r="G105" s="276">
        <v>13.78999999999999</v>
      </c>
      <c r="I105" s="36">
        <v>41067</v>
      </c>
      <c r="J105" s="66" t="s">
        <v>338</v>
      </c>
      <c r="K105" s="418" t="s">
        <v>869</v>
      </c>
      <c r="L105" s="286" t="s">
        <v>809</v>
      </c>
      <c r="M105" s="285" t="s">
        <v>678</v>
      </c>
      <c r="N105" s="286" t="s">
        <v>358</v>
      </c>
    </row>
    <row r="106" spans="7:16" ht="18" customHeight="1">
      <c r="G106" s="276">
        <v>13.77999999999999</v>
      </c>
      <c r="I106" s="36">
        <v>41067</v>
      </c>
      <c r="J106" s="66" t="s">
        <v>338</v>
      </c>
      <c r="K106" s="418" t="s">
        <v>870</v>
      </c>
      <c r="L106" s="286" t="s">
        <v>803</v>
      </c>
      <c r="M106" s="285" t="s">
        <v>678</v>
      </c>
      <c r="N106" s="286" t="s">
        <v>358</v>
      </c>
    </row>
    <row r="107" spans="7:16" ht="18" customHeight="1">
      <c r="G107" s="276">
        <v>13.769999999999991</v>
      </c>
      <c r="I107" s="36">
        <v>41067</v>
      </c>
      <c r="J107" s="66" t="s">
        <v>338</v>
      </c>
      <c r="K107" s="418" t="s">
        <v>871</v>
      </c>
      <c r="L107" s="286" t="s">
        <v>802</v>
      </c>
      <c r="M107" s="285" t="s">
        <v>678</v>
      </c>
      <c r="N107" s="286" t="s">
        <v>358</v>
      </c>
    </row>
    <row r="108" spans="7:16" ht="18" customHeight="1">
      <c r="G108" s="276">
        <v>13.759999999999991</v>
      </c>
      <c r="I108" s="36">
        <v>41067</v>
      </c>
      <c r="J108" s="66" t="s">
        <v>338</v>
      </c>
      <c r="K108" s="418" t="s">
        <v>872</v>
      </c>
      <c r="L108" s="286" t="s">
        <v>801</v>
      </c>
      <c r="M108" s="285" t="s">
        <v>678</v>
      </c>
      <c r="N108" s="286" t="s">
        <v>358</v>
      </c>
    </row>
    <row r="109" spans="7:16" ht="18" customHeight="1">
      <c r="G109" s="276">
        <v>13.749999999999991</v>
      </c>
      <c r="I109" s="36">
        <v>41067</v>
      </c>
      <c r="J109" s="66" t="s">
        <v>338</v>
      </c>
      <c r="K109" s="418" t="s">
        <v>873</v>
      </c>
      <c r="L109" s="286" t="s">
        <v>800</v>
      </c>
      <c r="M109" s="285" t="s">
        <v>678</v>
      </c>
      <c r="N109" s="286" t="s">
        <v>358</v>
      </c>
    </row>
    <row r="110" spans="7:16" ht="18" customHeight="1">
      <c r="G110" s="276">
        <v>13.739999999999991</v>
      </c>
      <c r="I110" s="36">
        <v>41067</v>
      </c>
      <c r="J110" s="66" t="s">
        <v>338</v>
      </c>
      <c r="K110" s="418" t="s">
        <v>874</v>
      </c>
      <c r="L110" s="286" t="s">
        <v>799</v>
      </c>
      <c r="M110" s="285" t="s">
        <v>678</v>
      </c>
      <c r="N110" s="286" t="s">
        <v>358</v>
      </c>
    </row>
    <row r="111" spans="7:16" ht="18" customHeight="1">
      <c r="G111" s="276">
        <v>13.729999999999992</v>
      </c>
      <c r="I111" s="285">
        <v>41066</v>
      </c>
      <c r="J111" s="66" t="s">
        <v>338</v>
      </c>
      <c r="K111" s="413" t="s">
        <v>776</v>
      </c>
      <c r="L111" s="285" t="s">
        <v>788</v>
      </c>
      <c r="M111" s="285" t="s">
        <v>678</v>
      </c>
      <c r="N111" s="286" t="s">
        <v>358</v>
      </c>
      <c r="O111" s="184"/>
      <c r="P111" s="29"/>
    </row>
    <row r="112" spans="7:16" ht="18" customHeight="1">
      <c r="G112" s="276">
        <v>13.719999999999992</v>
      </c>
      <c r="I112" s="285">
        <v>41066</v>
      </c>
      <c r="J112" s="66" t="s">
        <v>338</v>
      </c>
      <c r="K112" s="413" t="s">
        <v>776</v>
      </c>
      <c r="L112" s="285" t="s">
        <v>789</v>
      </c>
      <c r="M112" s="285" t="s">
        <v>678</v>
      </c>
      <c r="N112" s="286" t="s">
        <v>358</v>
      </c>
      <c r="O112" s="184"/>
      <c r="P112" s="29"/>
    </row>
    <row r="113" spans="7:37" ht="18" customHeight="1">
      <c r="G113" s="276">
        <v>13.709999999999992</v>
      </c>
      <c r="I113" s="285">
        <v>41066</v>
      </c>
      <c r="J113" s="66" t="s">
        <v>338</v>
      </c>
      <c r="K113" s="413" t="s">
        <v>776</v>
      </c>
      <c r="L113" s="285" t="s">
        <v>790</v>
      </c>
      <c r="M113" s="285" t="s">
        <v>678</v>
      </c>
      <c r="N113" s="286" t="s">
        <v>358</v>
      </c>
      <c r="O113" s="184"/>
      <c r="P113" s="29"/>
    </row>
    <row r="114" spans="7:37" ht="18" customHeight="1">
      <c r="G114" s="276">
        <v>13.699999999999992</v>
      </c>
      <c r="I114" s="285">
        <v>41066</v>
      </c>
      <c r="J114" s="66" t="s">
        <v>338</v>
      </c>
      <c r="K114" s="413" t="s">
        <v>775</v>
      </c>
      <c r="L114" s="285" t="s">
        <v>791</v>
      </c>
      <c r="M114" s="285" t="s">
        <v>678</v>
      </c>
      <c r="N114" s="286" t="s">
        <v>358</v>
      </c>
      <c r="O114" s="398"/>
      <c r="P114" s="399"/>
    </row>
    <row r="115" spans="7:37" ht="18" customHeight="1">
      <c r="G115" s="276">
        <v>13.689999999999992</v>
      </c>
      <c r="I115" s="285">
        <v>41066</v>
      </c>
      <c r="J115" s="66" t="s">
        <v>338</v>
      </c>
      <c r="K115" s="413" t="s">
        <v>775</v>
      </c>
      <c r="L115" s="285" t="s">
        <v>792</v>
      </c>
      <c r="M115" s="285" t="s">
        <v>678</v>
      </c>
      <c r="N115" s="286" t="s">
        <v>358</v>
      </c>
      <c r="O115" s="416"/>
      <c r="P115" s="417"/>
    </row>
    <row r="116" spans="7:37" ht="18" customHeight="1">
      <c r="G116" s="276">
        <v>13.679999999999993</v>
      </c>
      <c r="I116" s="285">
        <v>41066</v>
      </c>
      <c r="J116" s="66" t="s">
        <v>338</v>
      </c>
      <c r="K116" s="413" t="s">
        <v>775</v>
      </c>
      <c r="L116" s="285" t="s">
        <v>793</v>
      </c>
      <c r="M116" s="285" t="s">
        <v>678</v>
      </c>
      <c r="N116" s="286" t="s">
        <v>358</v>
      </c>
      <c r="O116" s="416"/>
      <c r="P116" s="417"/>
    </row>
    <row r="117" spans="7:37" ht="18" customHeight="1">
      <c r="G117" s="276">
        <v>13.669999999999993</v>
      </c>
      <c r="I117" s="285">
        <v>41066</v>
      </c>
      <c r="J117" s="285" t="s">
        <v>338</v>
      </c>
      <c r="K117" s="413" t="s">
        <v>774</v>
      </c>
      <c r="L117" s="285" t="s">
        <v>794</v>
      </c>
      <c r="M117" s="285" t="s">
        <v>678</v>
      </c>
      <c r="N117" s="286" t="s">
        <v>358</v>
      </c>
      <c r="O117" s="416"/>
      <c r="P117" s="417"/>
      <c r="AA117" s="34"/>
      <c r="AB117" s="34"/>
      <c r="AC117" s="34"/>
      <c r="AD117" s="34"/>
      <c r="AE117" s="34"/>
      <c r="AF117" s="34"/>
      <c r="AG117" s="34"/>
      <c r="AH117" s="34"/>
      <c r="AI117" s="34"/>
      <c r="AJ117" s="34"/>
      <c r="AK117" s="34"/>
    </row>
    <row r="118" spans="7:37" ht="18" customHeight="1">
      <c r="G118" s="276">
        <v>13.659999999999993</v>
      </c>
      <c r="I118" s="285">
        <v>41066</v>
      </c>
      <c r="J118" s="285" t="s">
        <v>338</v>
      </c>
      <c r="K118" s="413" t="s">
        <v>774</v>
      </c>
      <c r="L118" s="285" t="s">
        <v>795</v>
      </c>
      <c r="M118" s="285" t="s">
        <v>678</v>
      </c>
      <c r="N118" s="286" t="s">
        <v>358</v>
      </c>
      <c r="O118" s="416"/>
      <c r="P118" s="417"/>
    </row>
    <row r="119" spans="7:37" ht="18" customHeight="1">
      <c r="G119" s="276">
        <v>13.649999999999993</v>
      </c>
      <c r="I119" s="285">
        <v>41066</v>
      </c>
      <c r="J119" s="285" t="s">
        <v>338</v>
      </c>
      <c r="K119" s="413" t="s">
        <v>774</v>
      </c>
      <c r="L119" s="285" t="s">
        <v>796</v>
      </c>
      <c r="M119" s="285" t="s">
        <v>678</v>
      </c>
      <c r="N119" s="286" t="s">
        <v>358</v>
      </c>
      <c r="O119" s="416"/>
      <c r="P119" s="417"/>
    </row>
    <row r="120" spans="7:37" ht="18" customHeight="1">
      <c r="G120" s="276">
        <v>13.639999999999993</v>
      </c>
      <c r="I120" s="66">
        <v>41065</v>
      </c>
      <c r="J120" s="66" t="s">
        <v>338</v>
      </c>
      <c r="K120" s="413" t="s">
        <v>720</v>
      </c>
      <c r="L120" s="285" t="s">
        <v>787</v>
      </c>
      <c r="M120" s="285" t="s">
        <v>678</v>
      </c>
      <c r="N120" s="286" t="s">
        <v>358</v>
      </c>
      <c r="O120" s="416"/>
      <c r="P120" s="417"/>
    </row>
    <row r="121" spans="7:37" ht="18" customHeight="1">
      <c r="G121" s="276">
        <v>13.629999999999994</v>
      </c>
      <c r="I121" s="66">
        <v>41065</v>
      </c>
      <c r="J121" s="66" t="s">
        <v>338</v>
      </c>
      <c r="K121" s="413" t="s">
        <v>720</v>
      </c>
      <c r="L121" s="285" t="s">
        <v>786</v>
      </c>
      <c r="M121" s="285" t="s">
        <v>678</v>
      </c>
      <c r="N121" s="286" t="s">
        <v>358</v>
      </c>
      <c r="O121" s="416"/>
      <c r="P121" s="417"/>
    </row>
    <row r="122" spans="7:37" ht="18" customHeight="1">
      <c r="G122" s="276">
        <v>13.619999999999994</v>
      </c>
      <c r="I122" s="66">
        <v>41065</v>
      </c>
      <c r="J122" s="66" t="s">
        <v>338</v>
      </c>
      <c r="K122" s="413" t="s">
        <v>720</v>
      </c>
      <c r="L122" s="285" t="s">
        <v>768</v>
      </c>
      <c r="M122" s="285" t="s">
        <v>678</v>
      </c>
      <c r="N122" s="286" t="s">
        <v>358</v>
      </c>
      <c r="O122" s="416"/>
      <c r="P122" s="417"/>
    </row>
    <row r="123" spans="7:37" ht="18" customHeight="1">
      <c r="G123" s="276">
        <v>13.609999999999994</v>
      </c>
      <c r="I123" s="66">
        <v>41065</v>
      </c>
      <c r="J123" s="66" t="s">
        <v>338</v>
      </c>
      <c r="K123" s="413" t="s">
        <v>773</v>
      </c>
      <c r="L123" s="285" t="s">
        <v>785</v>
      </c>
      <c r="M123" s="285" t="s">
        <v>678</v>
      </c>
      <c r="N123" s="286" t="s">
        <v>358</v>
      </c>
      <c r="O123" s="416"/>
      <c r="P123" s="417"/>
    </row>
    <row r="124" spans="7:37" ht="18" customHeight="1">
      <c r="G124" s="276">
        <v>13.599999999999994</v>
      </c>
      <c r="I124" s="66">
        <v>41065</v>
      </c>
      <c r="J124" s="66" t="s">
        <v>338</v>
      </c>
      <c r="K124" s="413" t="s">
        <v>773</v>
      </c>
      <c r="L124" s="285" t="s">
        <v>784</v>
      </c>
      <c r="M124" s="285" t="s">
        <v>678</v>
      </c>
      <c r="N124" s="286" t="s">
        <v>358</v>
      </c>
      <c r="O124" s="416"/>
      <c r="P124" s="417"/>
    </row>
    <row r="125" spans="7:37" ht="18" customHeight="1">
      <c r="G125" s="276">
        <v>13.589999999999995</v>
      </c>
      <c r="I125" s="66">
        <v>41065</v>
      </c>
      <c r="J125" s="66" t="s">
        <v>338</v>
      </c>
      <c r="K125" s="413" t="s">
        <v>773</v>
      </c>
      <c r="L125" s="285" t="s">
        <v>766</v>
      </c>
      <c r="M125" s="285" t="s">
        <v>678</v>
      </c>
      <c r="N125" s="286" t="s">
        <v>358</v>
      </c>
      <c r="O125" s="416"/>
      <c r="P125" s="417"/>
    </row>
    <row r="126" spans="7:37" ht="18" customHeight="1">
      <c r="G126" s="276">
        <v>13.579999999999995</v>
      </c>
      <c r="I126" s="66">
        <v>41065</v>
      </c>
      <c r="J126" s="66" t="s">
        <v>338</v>
      </c>
      <c r="K126" s="413" t="s">
        <v>772</v>
      </c>
      <c r="L126" s="285" t="s">
        <v>783</v>
      </c>
      <c r="M126" s="285" t="s">
        <v>678</v>
      </c>
      <c r="N126" s="286" t="s">
        <v>358</v>
      </c>
      <c r="O126" s="416"/>
      <c r="P126" s="417"/>
    </row>
    <row r="127" spans="7:37" ht="18" customHeight="1">
      <c r="G127" s="276">
        <v>13.569999999999995</v>
      </c>
      <c r="I127" s="66">
        <v>41065</v>
      </c>
      <c r="J127" s="66" t="s">
        <v>338</v>
      </c>
      <c r="K127" s="413" t="s">
        <v>772</v>
      </c>
      <c r="L127" s="285" t="s">
        <v>782</v>
      </c>
      <c r="M127" s="285" t="s">
        <v>678</v>
      </c>
      <c r="N127" s="286" t="s">
        <v>358</v>
      </c>
      <c r="O127" s="416"/>
      <c r="P127" s="417"/>
    </row>
    <row r="128" spans="7:37" ht="18" customHeight="1">
      <c r="G128" s="276">
        <v>13.559999999999995</v>
      </c>
      <c r="I128" s="66">
        <v>41065</v>
      </c>
      <c r="J128" s="66" t="s">
        <v>338</v>
      </c>
      <c r="K128" s="413" t="s">
        <v>772</v>
      </c>
      <c r="L128" s="285" t="s">
        <v>767</v>
      </c>
      <c r="M128" s="285" t="s">
        <v>678</v>
      </c>
      <c r="N128" s="286" t="s">
        <v>358</v>
      </c>
      <c r="O128" s="416"/>
      <c r="P128" s="417"/>
    </row>
    <row r="129" spans="7:16" ht="18" customHeight="1">
      <c r="G129" s="276">
        <v>13.549999999999995</v>
      </c>
      <c r="I129" s="66">
        <v>41064</v>
      </c>
      <c r="J129" s="66" t="s">
        <v>338</v>
      </c>
      <c r="K129" s="413" t="s">
        <v>771</v>
      </c>
      <c r="L129" s="285" t="s">
        <v>781</v>
      </c>
      <c r="M129" s="285" t="s">
        <v>678</v>
      </c>
      <c r="N129" s="286" t="s">
        <v>358</v>
      </c>
      <c r="O129" s="416"/>
      <c r="P129" s="417"/>
    </row>
    <row r="130" spans="7:16" ht="18" customHeight="1">
      <c r="G130" s="276">
        <v>13.539999999999996</v>
      </c>
      <c r="I130" s="66">
        <v>41064</v>
      </c>
      <c r="J130" s="66" t="s">
        <v>338</v>
      </c>
      <c r="K130" s="413" t="s">
        <v>771</v>
      </c>
      <c r="L130" s="285" t="s">
        <v>780</v>
      </c>
      <c r="M130" s="285" t="s">
        <v>678</v>
      </c>
      <c r="N130" s="286" t="s">
        <v>358</v>
      </c>
      <c r="O130" s="398"/>
      <c r="P130" s="399"/>
    </row>
    <row r="131" spans="7:16" ht="18" customHeight="1">
      <c r="G131" s="276">
        <v>13.529999999999996</v>
      </c>
      <c r="I131" s="66">
        <v>41064</v>
      </c>
      <c r="J131" s="66" t="s">
        <v>338</v>
      </c>
      <c r="K131" s="413" t="s">
        <v>771</v>
      </c>
      <c r="L131" s="285" t="s">
        <v>765</v>
      </c>
      <c r="M131" s="285" t="s">
        <v>678</v>
      </c>
      <c r="N131" s="286" t="s">
        <v>358</v>
      </c>
      <c r="O131" s="398"/>
      <c r="P131" s="399"/>
    </row>
    <row r="132" spans="7:16" ht="18" customHeight="1">
      <c r="G132" s="276">
        <v>13.519999999999996</v>
      </c>
      <c r="I132" s="66">
        <v>41064</v>
      </c>
      <c r="J132" s="66" t="s">
        <v>338</v>
      </c>
      <c r="K132" s="413" t="s">
        <v>770</v>
      </c>
      <c r="L132" s="285" t="s">
        <v>797</v>
      </c>
      <c r="M132" s="285" t="s">
        <v>678</v>
      </c>
      <c r="N132" s="286" t="s">
        <v>358</v>
      </c>
      <c r="O132" s="398"/>
      <c r="P132" s="399"/>
    </row>
    <row r="133" spans="7:16" ht="18" customHeight="1">
      <c r="G133" s="276">
        <v>13.509999999999996</v>
      </c>
      <c r="I133" s="66">
        <v>41064</v>
      </c>
      <c r="J133" s="66" t="s">
        <v>338</v>
      </c>
      <c r="K133" s="413" t="s">
        <v>770</v>
      </c>
      <c r="L133" s="285" t="s">
        <v>779</v>
      </c>
      <c r="M133" s="285" t="s">
        <v>678</v>
      </c>
      <c r="N133" s="286" t="s">
        <v>358</v>
      </c>
      <c r="O133" s="398"/>
      <c r="P133" s="399"/>
    </row>
    <row r="134" spans="7:16" ht="18" customHeight="1">
      <c r="G134" s="276">
        <v>13.499999999999996</v>
      </c>
      <c r="I134" s="66">
        <v>41064</v>
      </c>
      <c r="J134" s="66" t="s">
        <v>338</v>
      </c>
      <c r="K134" s="413" t="s">
        <v>770</v>
      </c>
      <c r="L134" s="285" t="s">
        <v>764</v>
      </c>
      <c r="M134" s="285" t="s">
        <v>678</v>
      </c>
      <c r="N134" s="286" t="s">
        <v>358</v>
      </c>
      <c r="O134" s="398"/>
      <c r="P134" s="399"/>
    </row>
    <row r="135" spans="7:16" ht="18" customHeight="1">
      <c r="G135" s="276">
        <v>13.489999999999997</v>
      </c>
      <c r="I135" s="66">
        <v>41064</v>
      </c>
      <c r="J135" s="66" t="s">
        <v>338</v>
      </c>
      <c r="K135" s="413" t="s">
        <v>769</v>
      </c>
      <c r="L135" s="285" t="s">
        <v>778</v>
      </c>
      <c r="M135" s="285" t="s">
        <v>678</v>
      </c>
      <c r="N135" s="286" t="s">
        <v>358</v>
      </c>
      <c r="O135" s="398"/>
      <c r="P135" s="399"/>
    </row>
    <row r="136" spans="7:16" ht="18" customHeight="1">
      <c r="G136" s="276">
        <v>13.479999999999997</v>
      </c>
      <c r="I136" s="66">
        <v>41064</v>
      </c>
      <c r="J136" s="66" t="s">
        <v>338</v>
      </c>
      <c r="K136" s="413" t="s">
        <v>769</v>
      </c>
      <c r="L136" s="285" t="s">
        <v>777</v>
      </c>
      <c r="M136" s="285" t="s">
        <v>678</v>
      </c>
      <c r="N136" s="286" t="s">
        <v>358</v>
      </c>
      <c r="O136" s="398"/>
      <c r="P136" s="399"/>
    </row>
    <row r="137" spans="7:16" ht="18" customHeight="1">
      <c r="G137" s="276">
        <v>13.469999999999997</v>
      </c>
      <c r="I137" s="66">
        <v>41064</v>
      </c>
      <c r="J137" s="66" t="s">
        <v>338</v>
      </c>
      <c r="K137" s="413" t="s">
        <v>769</v>
      </c>
      <c r="L137" s="285" t="s">
        <v>763</v>
      </c>
      <c r="M137" s="285" t="s">
        <v>678</v>
      </c>
      <c r="N137" s="286" t="s">
        <v>358</v>
      </c>
      <c r="O137" s="398"/>
      <c r="P137" s="399"/>
    </row>
    <row r="138" spans="7:16" ht="18" customHeight="1">
      <c r="G138" s="276">
        <v>13.459999999999997</v>
      </c>
      <c r="I138" s="66">
        <v>41058</v>
      </c>
      <c r="J138" s="66" t="s">
        <v>338</v>
      </c>
      <c r="K138" s="413" t="s">
        <v>749</v>
      </c>
      <c r="L138" s="286" t="s">
        <v>757</v>
      </c>
      <c r="M138" s="285" t="s">
        <v>678</v>
      </c>
      <c r="N138" s="286" t="s">
        <v>358</v>
      </c>
      <c r="O138" s="398"/>
      <c r="P138" s="399"/>
    </row>
    <row r="139" spans="7:16" ht="18" customHeight="1">
      <c r="G139" s="276">
        <v>13.449999999999998</v>
      </c>
      <c r="I139" s="66">
        <v>41054</v>
      </c>
      <c r="J139" s="66" t="s">
        <v>338</v>
      </c>
      <c r="K139" s="413" t="s">
        <v>748</v>
      </c>
      <c r="L139" s="285" t="s">
        <v>710</v>
      </c>
      <c r="M139" s="285" t="s">
        <v>678</v>
      </c>
      <c r="N139" s="286" t="s">
        <v>358</v>
      </c>
      <c r="O139" s="398"/>
      <c r="P139" s="399"/>
    </row>
    <row r="140" spans="7:16" ht="18" customHeight="1">
      <c r="G140" s="276">
        <v>13.439999999999998</v>
      </c>
      <c r="I140" s="66">
        <v>41054</v>
      </c>
      <c r="J140" s="66" t="s">
        <v>338</v>
      </c>
      <c r="K140" s="410" t="s">
        <v>728</v>
      </c>
      <c r="L140" s="66" t="s">
        <v>730</v>
      </c>
      <c r="M140" s="285" t="s">
        <v>678</v>
      </c>
      <c r="N140" s="286" t="s">
        <v>358</v>
      </c>
      <c r="O140" s="398"/>
      <c r="P140" s="399"/>
    </row>
    <row r="141" spans="7:16" ht="18" customHeight="1">
      <c r="G141" s="276">
        <v>13.429999999999998</v>
      </c>
      <c r="I141" s="66">
        <v>41054</v>
      </c>
      <c r="J141" s="66" t="s">
        <v>338</v>
      </c>
      <c r="K141" s="410" t="s">
        <v>726</v>
      </c>
      <c r="L141" s="66" t="s">
        <v>730</v>
      </c>
      <c r="M141" s="285" t="s">
        <v>678</v>
      </c>
      <c r="N141" s="286" t="s">
        <v>358</v>
      </c>
      <c r="O141" s="398"/>
      <c r="P141" s="399"/>
    </row>
    <row r="142" spans="7:16" ht="18" customHeight="1">
      <c r="G142" s="276">
        <v>13.419999999999998</v>
      </c>
      <c r="I142" s="66">
        <v>41054</v>
      </c>
      <c r="J142" s="66" t="s">
        <v>338</v>
      </c>
      <c r="K142" s="410" t="s">
        <v>728</v>
      </c>
      <c r="L142" s="66" t="s">
        <v>729</v>
      </c>
      <c r="M142" s="285" t="s">
        <v>678</v>
      </c>
      <c r="N142" s="286" t="s">
        <v>358</v>
      </c>
      <c r="O142" s="398"/>
      <c r="P142" s="399"/>
    </row>
    <row r="143" spans="7:16" ht="18" customHeight="1">
      <c r="G143" s="276">
        <v>13.409999999999998</v>
      </c>
      <c r="I143" s="66">
        <v>41054</v>
      </c>
      <c r="J143" s="66" t="s">
        <v>338</v>
      </c>
      <c r="K143" s="410" t="s">
        <v>726</v>
      </c>
      <c r="L143" s="66" t="s">
        <v>727</v>
      </c>
      <c r="M143" s="285" t="s">
        <v>678</v>
      </c>
      <c r="N143" s="286" t="s">
        <v>358</v>
      </c>
      <c r="O143" s="398"/>
      <c r="P143" s="399"/>
    </row>
    <row r="144" spans="7:16" ht="18" customHeight="1">
      <c r="G144" s="276">
        <v>13.399999999999999</v>
      </c>
      <c r="I144" s="66">
        <v>41054</v>
      </c>
      <c r="J144" s="66" t="s">
        <v>338</v>
      </c>
      <c r="K144" s="410" t="s">
        <v>715</v>
      </c>
      <c r="L144" s="66" t="s">
        <v>721</v>
      </c>
      <c r="M144" s="285" t="s">
        <v>678</v>
      </c>
      <c r="N144" s="286" t="s">
        <v>358</v>
      </c>
      <c r="O144" s="184"/>
      <c r="P144" s="29"/>
    </row>
    <row r="145" spans="7:16" ht="18" customHeight="1">
      <c r="G145" s="276">
        <v>13.389999999999999</v>
      </c>
      <c r="I145" s="66">
        <v>41051</v>
      </c>
      <c r="J145" s="66" t="s">
        <v>338</v>
      </c>
      <c r="K145" s="410" t="s">
        <v>716</v>
      </c>
      <c r="L145" s="66" t="s">
        <v>713</v>
      </c>
      <c r="M145" s="285" t="s">
        <v>678</v>
      </c>
      <c r="N145" s="286" t="s">
        <v>358</v>
      </c>
      <c r="O145" s="184"/>
      <c r="P145" s="29"/>
    </row>
    <row r="146" spans="7:16" ht="18" customHeight="1">
      <c r="G146" s="276">
        <v>13.379999999999999</v>
      </c>
      <c r="I146" s="66">
        <v>41051</v>
      </c>
      <c r="J146" s="66" t="s">
        <v>338</v>
      </c>
      <c r="K146" s="410" t="s">
        <v>717</v>
      </c>
      <c r="L146" s="66" t="s">
        <v>711</v>
      </c>
      <c r="M146" s="285" t="s">
        <v>678</v>
      </c>
      <c r="N146" s="286" t="s">
        <v>358</v>
      </c>
      <c r="O146" s="184"/>
      <c r="P146" s="29"/>
    </row>
    <row r="147" spans="7:16" ht="18" customHeight="1">
      <c r="G147" s="276">
        <v>13.37</v>
      </c>
      <c r="I147" s="66">
        <v>41051</v>
      </c>
      <c r="J147" s="66" t="s">
        <v>338</v>
      </c>
      <c r="K147" s="410" t="s">
        <v>718</v>
      </c>
      <c r="L147" s="66" t="s">
        <v>719</v>
      </c>
      <c r="M147" s="285" t="s">
        <v>678</v>
      </c>
      <c r="N147" s="286" t="s">
        <v>358</v>
      </c>
      <c r="O147" s="184"/>
      <c r="P147" s="29"/>
    </row>
    <row r="148" spans="7:16" ht="18" customHeight="1">
      <c r="G148" s="276">
        <v>13.36</v>
      </c>
      <c r="I148" s="66">
        <v>41051</v>
      </c>
      <c r="J148" s="66" t="s">
        <v>338</v>
      </c>
      <c r="K148" s="410" t="s">
        <v>720</v>
      </c>
      <c r="L148" s="33" t="s">
        <v>712</v>
      </c>
      <c r="M148" s="285" t="s">
        <v>678</v>
      </c>
      <c r="N148" s="286" t="s">
        <v>358</v>
      </c>
      <c r="O148" s="184"/>
      <c r="P148" s="29"/>
    </row>
    <row r="149" spans="7:16" ht="18" customHeight="1">
      <c r="G149" s="276">
        <v>13.35</v>
      </c>
      <c r="I149" s="66">
        <v>40968</v>
      </c>
      <c r="J149" s="66" t="s">
        <v>338</v>
      </c>
      <c r="K149" s="410"/>
      <c r="L149" s="285" t="s">
        <v>701</v>
      </c>
      <c r="M149" s="285" t="s">
        <v>678</v>
      </c>
      <c r="N149" s="286" t="s">
        <v>358</v>
      </c>
      <c r="O149" s="184"/>
      <c r="P149" s="29"/>
    </row>
    <row r="150" spans="7:16" ht="18" customHeight="1">
      <c r="G150" s="276">
        <v>13.33</v>
      </c>
      <c r="I150" s="66">
        <v>40968</v>
      </c>
      <c r="J150" s="66" t="s">
        <v>338</v>
      </c>
      <c r="K150" s="410"/>
      <c r="L150" s="285" t="s">
        <v>700</v>
      </c>
      <c r="M150" s="285" t="s">
        <v>678</v>
      </c>
      <c r="N150" s="286" t="s">
        <v>358</v>
      </c>
      <c r="O150" s="184"/>
      <c r="P150" s="29"/>
    </row>
    <row r="151" spans="7:16" ht="18" customHeight="1">
      <c r="G151" s="276">
        <v>13.32</v>
      </c>
      <c r="I151" s="66">
        <v>40968</v>
      </c>
      <c r="J151" s="66" t="s">
        <v>338</v>
      </c>
      <c r="K151" s="410"/>
      <c r="L151" s="285" t="s">
        <v>702</v>
      </c>
      <c r="M151" s="285" t="s">
        <v>678</v>
      </c>
      <c r="N151" s="286" t="s">
        <v>358</v>
      </c>
      <c r="O151" s="184"/>
      <c r="P151" s="29"/>
    </row>
    <row r="152" spans="7:16" ht="18" customHeight="1">
      <c r="G152" s="276">
        <v>13.31</v>
      </c>
      <c r="I152" s="66">
        <v>40968</v>
      </c>
      <c r="J152" s="66" t="s">
        <v>338</v>
      </c>
      <c r="K152" s="413" t="s">
        <v>754</v>
      </c>
      <c r="L152" s="285" t="s">
        <v>699</v>
      </c>
      <c r="M152" s="285" t="s">
        <v>678</v>
      </c>
      <c r="N152" s="286" t="s">
        <v>358</v>
      </c>
      <c r="O152" s="184"/>
      <c r="P152" s="29"/>
    </row>
    <row r="153" spans="7:16" ht="18" customHeight="1">
      <c r="G153" s="276">
        <v>13.3</v>
      </c>
      <c r="I153" s="66">
        <v>40968</v>
      </c>
      <c r="J153" s="66" t="s">
        <v>338</v>
      </c>
      <c r="K153" s="413" t="s">
        <v>753</v>
      </c>
      <c r="L153" s="285" t="s">
        <v>698</v>
      </c>
      <c r="M153" s="285" t="s">
        <v>678</v>
      </c>
      <c r="N153" s="286" t="s">
        <v>358</v>
      </c>
      <c r="O153" s="184"/>
      <c r="P153" s="29"/>
    </row>
    <row r="154" spans="7:16" ht="18" customHeight="1">
      <c r="G154" s="276">
        <v>13.29</v>
      </c>
      <c r="I154" s="66">
        <v>40968</v>
      </c>
      <c r="J154" s="66" t="s">
        <v>338</v>
      </c>
      <c r="K154" s="413" t="s">
        <v>753</v>
      </c>
      <c r="L154" s="285" t="s">
        <v>697</v>
      </c>
      <c r="M154" s="285" t="s">
        <v>678</v>
      </c>
      <c r="N154" s="286" t="s">
        <v>358</v>
      </c>
      <c r="O154" s="184"/>
      <c r="P154" s="29"/>
    </row>
    <row r="155" spans="7:16" ht="18" customHeight="1">
      <c r="G155" s="276">
        <v>13.28</v>
      </c>
      <c r="I155" s="66">
        <v>40968</v>
      </c>
      <c r="J155" s="66" t="s">
        <v>338</v>
      </c>
      <c r="K155" s="413" t="s">
        <v>753</v>
      </c>
      <c r="L155" s="285" t="s">
        <v>696</v>
      </c>
      <c r="M155" s="285" t="s">
        <v>678</v>
      </c>
      <c r="N155" s="286" t="s">
        <v>358</v>
      </c>
      <c r="O155" s="184"/>
      <c r="P155" s="29"/>
    </row>
    <row r="156" spans="7:16" ht="18" customHeight="1">
      <c r="G156" s="276">
        <v>13.27</v>
      </c>
      <c r="I156" s="66">
        <v>40968</v>
      </c>
      <c r="J156" s="66" t="s">
        <v>338</v>
      </c>
      <c r="K156" s="413" t="s">
        <v>752</v>
      </c>
      <c r="L156" s="285" t="s">
        <v>695</v>
      </c>
      <c r="M156" s="285" t="s">
        <v>678</v>
      </c>
      <c r="N156" s="286" t="s">
        <v>358</v>
      </c>
      <c r="O156" s="184"/>
      <c r="P156" s="29"/>
    </row>
    <row r="157" spans="7:16" ht="18" customHeight="1">
      <c r="G157" s="276">
        <v>13.26</v>
      </c>
      <c r="I157" s="66">
        <v>40968</v>
      </c>
      <c r="J157" s="66" t="s">
        <v>338</v>
      </c>
      <c r="K157" s="413" t="s">
        <v>751</v>
      </c>
      <c r="L157" s="285" t="s">
        <v>694</v>
      </c>
      <c r="M157" s="285" t="s">
        <v>678</v>
      </c>
      <c r="N157" s="286" t="s">
        <v>358</v>
      </c>
      <c r="O157" s="184"/>
      <c r="P157" s="29"/>
    </row>
    <row r="158" spans="7:16" ht="18" customHeight="1">
      <c r="G158" s="276">
        <v>13.25</v>
      </c>
      <c r="I158" s="66">
        <v>40968</v>
      </c>
      <c r="J158" s="66" t="s">
        <v>338</v>
      </c>
      <c r="K158" s="410"/>
      <c r="L158" s="285" t="s">
        <v>693</v>
      </c>
      <c r="M158" s="285" t="s">
        <v>678</v>
      </c>
      <c r="N158" s="286" t="s">
        <v>358</v>
      </c>
      <c r="O158" s="184"/>
      <c r="P158" s="29"/>
    </row>
    <row r="159" spans="7:16" ht="18" customHeight="1">
      <c r="G159" s="276">
        <v>13.24</v>
      </c>
      <c r="I159" s="66">
        <v>40962</v>
      </c>
      <c r="J159" s="66" t="s">
        <v>633</v>
      </c>
      <c r="K159" s="410"/>
      <c r="L159" s="66" t="s">
        <v>692</v>
      </c>
      <c r="M159" s="285" t="s">
        <v>678</v>
      </c>
      <c r="N159" s="286" t="s">
        <v>358</v>
      </c>
      <c r="O159" s="184"/>
      <c r="P159" s="281"/>
    </row>
    <row r="160" spans="7:16" ht="18" customHeight="1">
      <c r="G160" s="276">
        <v>13.23</v>
      </c>
      <c r="I160" s="66">
        <v>40962</v>
      </c>
      <c r="J160" s="66" t="s">
        <v>340</v>
      </c>
      <c r="K160" s="410"/>
      <c r="L160" s="66" t="s">
        <v>691</v>
      </c>
      <c r="M160" s="285" t="s">
        <v>678</v>
      </c>
      <c r="N160" s="286" t="s">
        <v>358</v>
      </c>
      <c r="O160" s="184"/>
      <c r="P160" s="29"/>
    </row>
    <row r="161" spans="7:16" ht="18" customHeight="1">
      <c r="G161" s="276">
        <v>13.22</v>
      </c>
      <c r="I161" s="66">
        <v>40962</v>
      </c>
      <c r="J161" s="66" t="s">
        <v>319</v>
      </c>
      <c r="K161" s="410"/>
      <c r="L161" s="66" t="s">
        <v>691</v>
      </c>
      <c r="M161" s="285" t="s">
        <v>678</v>
      </c>
      <c r="N161" s="286" t="s">
        <v>358</v>
      </c>
      <c r="O161" s="184"/>
      <c r="P161" s="29"/>
    </row>
    <row r="162" spans="7:16" ht="18" customHeight="1">
      <c r="G162" s="276">
        <v>13.21</v>
      </c>
      <c r="I162" s="66">
        <v>40962</v>
      </c>
      <c r="J162" s="66" t="s">
        <v>430</v>
      </c>
      <c r="K162" s="410"/>
      <c r="L162" s="66" t="s">
        <v>691</v>
      </c>
      <c r="M162" s="285" t="s">
        <v>678</v>
      </c>
      <c r="N162" s="286" t="s">
        <v>358</v>
      </c>
      <c r="O162" s="184"/>
      <c r="P162" s="29"/>
    </row>
    <row r="163" spans="7:16" ht="18" customHeight="1">
      <c r="G163" s="276">
        <v>13.2</v>
      </c>
      <c r="I163" s="66">
        <v>40962</v>
      </c>
      <c r="J163" s="66" t="s">
        <v>339</v>
      </c>
      <c r="K163" s="410"/>
      <c r="L163" s="66" t="s">
        <v>691</v>
      </c>
      <c r="M163" s="285" t="s">
        <v>678</v>
      </c>
      <c r="N163" s="286" t="s">
        <v>358</v>
      </c>
      <c r="O163" s="184"/>
      <c r="P163" s="29"/>
    </row>
    <row r="164" spans="7:16" ht="18" customHeight="1">
      <c r="G164" s="276">
        <v>13.19</v>
      </c>
      <c r="I164" s="66">
        <v>40962</v>
      </c>
      <c r="J164" s="66" t="s">
        <v>690</v>
      </c>
      <c r="K164" s="410"/>
      <c r="L164" s="66" t="s">
        <v>691</v>
      </c>
      <c r="M164" s="285" t="s">
        <v>678</v>
      </c>
      <c r="N164" s="286" t="s">
        <v>358</v>
      </c>
      <c r="O164" s="184"/>
      <c r="P164" s="29"/>
    </row>
    <row r="165" spans="7:16" ht="18" customHeight="1">
      <c r="G165" s="276">
        <v>13.179999999999998</v>
      </c>
      <c r="I165" s="66">
        <v>40962</v>
      </c>
      <c r="J165" s="66" t="s">
        <v>338</v>
      </c>
      <c r="K165" s="410"/>
      <c r="L165" s="285" t="s">
        <v>689</v>
      </c>
      <c r="M165" s="285" t="s">
        <v>678</v>
      </c>
      <c r="N165" s="286" t="s">
        <v>358</v>
      </c>
      <c r="O165" s="184"/>
      <c r="P165" s="29"/>
    </row>
    <row r="166" spans="7:16" ht="18" customHeight="1">
      <c r="G166" s="276">
        <v>13.169999999999998</v>
      </c>
      <c r="I166" s="66">
        <v>40962</v>
      </c>
      <c r="J166" s="66" t="s">
        <v>338</v>
      </c>
      <c r="K166" s="413" t="s">
        <v>750</v>
      </c>
      <c r="L166" s="285" t="s">
        <v>679</v>
      </c>
      <c r="M166" s="285" t="s">
        <v>678</v>
      </c>
      <c r="N166" s="286" t="s">
        <v>358</v>
      </c>
      <c r="O166" s="184"/>
      <c r="P166" s="29"/>
    </row>
    <row r="167" spans="7:16" ht="18" customHeight="1">
      <c r="G167" s="276">
        <v>13.159999999999998</v>
      </c>
      <c r="I167" s="66">
        <v>40962</v>
      </c>
      <c r="J167" s="66" t="s">
        <v>338</v>
      </c>
      <c r="K167" s="413" t="s">
        <v>750</v>
      </c>
      <c r="L167" s="285" t="s">
        <v>677</v>
      </c>
      <c r="M167" s="285" t="s">
        <v>678</v>
      </c>
      <c r="N167" s="286" t="s">
        <v>358</v>
      </c>
      <c r="O167" s="184"/>
      <c r="P167" s="29"/>
    </row>
    <row r="168" spans="7:16" ht="18" customHeight="1">
      <c r="G168" s="276">
        <v>13.149999999999999</v>
      </c>
      <c r="I168" s="66">
        <v>40641</v>
      </c>
      <c r="J168" s="33" t="s">
        <v>339</v>
      </c>
      <c r="L168" s="66" t="s">
        <v>675</v>
      </c>
      <c r="M168" s="66" t="s">
        <v>676</v>
      </c>
      <c r="N168" s="33" t="s">
        <v>358</v>
      </c>
      <c r="O168" s="184"/>
      <c r="P168" s="29"/>
    </row>
    <row r="169" spans="7:16" ht="18" customHeight="1">
      <c r="G169" s="276">
        <v>13.139999999999999</v>
      </c>
      <c r="I169" s="66">
        <v>40641</v>
      </c>
      <c r="J169" s="33" t="s">
        <v>430</v>
      </c>
      <c r="L169" s="66" t="s">
        <v>675</v>
      </c>
      <c r="M169" s="66" t="s">
        <v>676</v>
      </c>
      <c r="N169" s="33" t="s">
        <v>358</v>
      </c>
      <c r="O169" s="184"/>
      <c r="P169" s="29"/>
    </row>
    <row r="170" spans="7:16" ht="18" customHeight="1">
      <c r="G170" s="276">
        <v>13.129999999999999</v>
      </c>
      <c r="I170" s="66">
        <v>40641</v>
      </c>
      <c r="J170" s="33" t="s">
        <v>319</v>
      </c>
      <c r="L170" s="66" t="s">
        <v>675</v>
      </c>
      <c r="M170" s="66" t="s">
        <v>676</v>
      </c>
      <c r="N170" s="33" t="s">
        <v>358</v>
      </c>
      <c r="O170" s="184"/>
      <c r="P170" s="29"/>
    </row>
    <row r="171" spans="7:16" ht="18" customHeight="1">
      <c r="G171" s="276">
        <v>13.12</v>
      </c>
      <c r="I171" s="66">
        <v>40457</v>
      </c>
      <c r="J171" s="33" t="s">
        <v>319</v>
      </c>
      <c r="L171" s="66" t="s">
        <v>674</v>
      </c>
      <c r="M171" s="66" t="s">
        <v>673</v>
      </c>
      <c r="N171" s="33" t="s">
        <v>358</v>
      </c>
      <c r="O171" s="184"/>
      <c r="P171" s="281">
        <v>40457</v>
      </c>
    </row>
    <row r="172" spans="7:16" ht="18" customHeight="1">
      <c r="G172" s="276">
        <v>13.11</v>
      </c>
      <c r="I172" s="66">
        <v>40457</v>
      </c>
      <c r="J172" s="33" t="s">
        <v>430</v>
      </c>
      <c r="L172" s="66" t="s">
        <v>674</v>
      </c>
      <c r="M172" s="66" t="s">
        <v>673</v>
      </c>
      <c r="N172" s="33" t="s">
        <v>358</v>
      </c>
      <c r="O172" s="184"/>
      <c r="P172" s="29"/>
    </row>
    <row r="173" spans="7:16" ht="18" customHeight="1">
      <c r="G173" s="276">
        <v>13.1</v>
      </c>
      <c r="I173" s="66">
        <v>40457</v>
      </c>
      <c r="J173" s="33" t="s">
        <v>339</v>
      </c>
      <c r="L173" s="66" t="s">
        <v>674</v>
      </c>
      <c r="M173" s="66" t="s">
        <v>673</v>
      </c>
      <c r="N173" s="33" t="s">
        <v>358</v>
      </c>
      <c r="O173" s="184"/>
      <c r="P173" s="29"/>
    </row>
    <row r="174" spans="7:16" ht="18" customHeight="1">
      <c r="G174" s="276">
        <v>13.09</v>
      </c>
      <c r="I174" s="66">
        <v>40406</v>
      </c>
      <c r="J174" s="66" t="s">
        <v>671</v>
      </c>
      <c r="K174" s="410"/>
      <c r="L174" s="66" t="s">
        <v>672</v>
      </c>
      <c r="M174" s="66" t="s">
        <v>358</v>
      </c>
      <c r="N174" s="33" t="s">
        <v>358</v>
      </c>
      <c r="O174" s="184"/>
      <c r="P174" s="29"/>
    </row>
    <row r="175" spans="7:16" ht="18" customHeight="1">
      <c r="G175" s="276">
        <v>13.08</v>
      </c>
      <c r="I175" s="66">
        <v>40406</v>
      </c>
      <c r="J175" s="66" t="s">
        <v>338</v>
      </c>
      <c r="K175" s="410"/>
      <c r="L175" s="66" t="s">
        <v>662</v>
      </c>
      <c r="M175" s="66" t="s">
        <v>353</v>
      </c>
      <c r="N175" s="33" t="s">
        <v>358</v>
      </c>
      <c r="O175" s="184"/>
      <c r="P175" s="29"/>
    </row>
    <row r="176" spans="7:16" ht="18" customHeight="1">
      <c r="G176" s="276">
        <v>13.07</v>
      </c>
      <c r="I176" s="66">
        <v>40406</v>
      </c>
      <c r="J176" s="66" t="s">
        <v>338</v>
      </c>
      <c r="K176" s="410"/>
      <c r="L176" s="66" t="s">
        <v>656</v>
      </c>
      <c r="M176" s="66" t="s">
        <v>353</v>
      </c>
      <c r="N176" s="33" t="s">
        <v>358</v>
      </c>
      <c r="O176" s="184"/>
      <c r="P176" s="29"/>
    </row>
    <row r="177" spans="7:16" ht="18" customHeight="1">
      <c r="G177" s="276">
        <v>13.06</v>
      </c>
      <c r="I177" s="66">
        <v>40406</v>
      </c>
      <c r="J177" s="66" t="s">
        <v>338</v>
      </c>
      <c r="K177" s="410"/>
      <c r="L177" s="66" t="s">
        <v>655</v>
      </c>
      <c r="M177" s="66" t="s">
        <v>353</v>
      </c>
      <c r="N177" s="33" t="s">
        <v>358</v>
      </c>
      <c r="O177" s="184"/>
      <c r="P177" s="29"/>
    </row>
    <row r="178" spans="7:16" ht="18" customHeight="1">
      <c r="G178" s="276">
        <v>13.05</v>
      </c>
      <c r="I178" s="66">
        <v>40406</v>
      </c>
      <c r="J178" s="66" t="s">
        <v>660</v>
      </c>
      <c r="K178" s="410"/>
      <c r="L178" s="278" t="s">
        <v>658</v>
      </c>
      <c r="M178" s="66" t="s">
        <v>353</v>
      </c>
      <c r="N178" s="33" t="s">
        <v>358</v>
      </c>
      <c r="O178" s="184"/>
      <c r="P178" s="29"/>
    </row>
    <row r="179" spans="7:16" ht="18" customHeight="1">
      <c r="G179" s="276">
        <v>13.04</v>
      </c>
      <c r="I179" s="66">
        <v>40406</v>
      </c>
      <c r="J179" s="66" t="s">
        <v>659</v>
      </c>
      <c r="K179" s="410"/>
      <c r="L179" s="278" t="s">
        <v>657</v>
      </c>
      <c r="M179" s="66" t="s">
        <v>353</v>
      </c>
      <c r="N179" s="33" t="s">
        <v>358</v>
      </c>
      <c r="O179" s="184"/>
      <c r="P179" s="29"/>
    </row>
    <row r="180" spans="7:16" ht="18" customHeight="1">
      <c r="G180" s="276">
        <v>13.03</v>
      </c>
      <c r="I180" s="66">
        <v>40406</v>
      </c>
      <c r="J180" s="66" t="s">
        <v>338</v>
      </c>
      <c r="K180" s="410"/>
      <c r="L180" s="66" t="s">
        <v>654</v>
      </c>
      <c r="M180" s="66" t="s">
        <v>353</v>
      </c>
      <c r="N180" s="33" t="s">
        <v>358</v>
      </c>
      <c r="O180" s="184"/>
      <c r="P180" s="29"/>
    </row>
    <row r="181" spans="7:16" ht="18" customHeight="1">
      <c r="G181" s="276">
        <v>13.02</v>
      </c>
      <c r="I181" s="66">
        <v>40353</v>
      </c>
      <c r="J181" s="66" t="s">
        <v>652</v>
      </c>
      <c r="K181" s="410"/>
      <c r="L181" s="66" t="s">
        <v>653</v>
      </c>
      <c r="M181" s="66" t="s">
        <v>358</v>
      </c>
      <c r="N181" s="33" t="s">
        <v>358</v>
      </c>
      <c r="O181" s="184"/>
      <c r="P181" s="29"/>
    </row>
    <row r="182" spans="7:16" ht="18" customHeight="1">
      <c r="G182" s="276">
        <v>13.01</v>
      </c>
      <c r="I182" s="66">
        <v>40353</v>
      </c>
      <c r="J182" s="66" t="s">
        <v>651</v>
      </c>
      <c r="K182" s="410"/>
      <c r="L182" s="66" t="s">
        <v>156</v>
      </c>
      <c r="M182" s="66" t="s">
        <v>358</v>
      </c>
      <c r="N182" s="33" t="s">
        <v>358</v>
      </c>
      <c r="O182" s="184"/>
      <c r="P182" s="29"/>
    </row>
    <row r="183" spans="7:16" ht="18" customHeight="1">
      <c r="G183" s="276">
        <v>13</v>
      </c>
      <c r="I183" s="66">
        <v>40353</v>
      </c>
      <c r="J183" s="33" t="s">
        <v>338</v>
      </c>
      <c r="L183" s="66" t="s">
        <v>650</v>
      </c>
      <c r="M183" s="66" t="s">
        <v>358</v>
      </c>
      <c r="N183" s="33" t="s">
        <v>358</v>
      </c>
      <c r="O183" s="184"/>
      <c r="P183" s="29"/>
    </row>
    <row r="184" spans="7:16" ht="18" customHeight="1">
      <c r="G184" s="276">
        <v>12.99</v>
      </c>
      <c r="I184" s="66">
        <v>40353</v>
      </c>
      <c r="J184" s="66" t="s">
        <v>319</v>
      </c>
      <c r="K184" s="410"/>
      <c r="L184" s="66" t="s">
        <v>663</v>
      </c>
      <c r="M184" s="66" t="s">
        <v>358</v>
      </c>
      <c r="N184" s="33" t="s">
        <v>358</v>
      </c>
      <c r="O184" s="184"/>
      <c r="P184" s="29"/>
    </row>
    <row r="185" spans="7:16" ht="18" customHeight="1">
      <c r="G185" s="276">
        <v>12.98</v>
      </c>
      <c r="I185" s="66">
        <v>40353</v>
      </c>
      <c r="J185" s="66" t="s">
        <v>430</v>
      </c>
      <c r="K185" s="410"/>
      <c r="L185" s="66" t="s">
        <v>663</v>
      </c>
      <c r="M185" s="66" t="s">
        <v>358</v>
      </c>
      <c r="N185" s="33" t="s">
        <v>358</v>
      </c>
      <c r="O185" s="184"/>
      <c r="P185" s="29"/>
    </row>
    <row r="186" spans="7:16" ht="18" customHeight="1">
      <c r="G186" s="276">
        <v>12.97</v>
      </c>
      <c r="I186" s="66">
        <v>40353</v>
      </c>
      <c r="J186" s="66" t="s">
        <v>649</v>
      </c>
      <c r="K186" s="410"/>
      <c r="L186" s="66" t="s">
        <v>663</v>
      </c>
      <c r="M186" s="66" t="s">
        <v>358</v>
      </c>
      <c r="N186" s="33" t="s">
        <v>358</v>
      </c>
      <c r="O186" s="184"/>
      <c r="P186" s="29"/>
    </row>
    <row r="187" spans="7:16" ht="18" customHeight="1">
      <c r="G187" s="276">
        <v>12.96</v>
      </c>
      <c r="I187" s="66">
        <v>40349</v>
      </c>
      <c r="J187" s="33" t="s">
        <v>338</v>
      </c>
      <c r="L187" s="66" t="s">
        <v>648</v>
      </c>
      <c r="M187" s="66" t="s">
        <v>17</v>
      </c>
      <c r="N187" s="33" t="s">
        <v>358</v>
      </c>
      <c r="O187" s="184"/>
      <c r="P187" s="29"/>
    </row>
    <row r="188" spans="7:16" ht="18" customHeight="1">
      <c r="G188" s="276">
        <v>12.95</v>
      </c>
      <c r="I188" s="66">
        <v>40349</v>
      </c>
      <c r="J188" s="33" t="s">
        <v>338</v>
      </c>
      <c r="L188" s="66" t="s">
        <v>647</v>
      </c>
      <c r="M188" s="66" t="s">
        <v>17</v>
      </c>
      <c r="N188" s="33" t="s">
        <v>358</v>
      </c>
      <c r="O188" s="184"/>
      <c r="P188" s="29"/>
    </row>
    <row r="189" spans="7:16" ht="18" customHeight="1">
      <c r="G189" s="276">
        <v>12.94</v>
      </c>
      <c r="I189" s="66">
        <v>40349</v>
      </c>
      <c r="J189" s="33" t="s">
        <v>338</v>
      </c>
      <c r="L189" s="66" t="s">
        <v>661</v>
      </c>
      <c r="M189" s="66" t="s">
        <v>17</v>
      </c>
      <c r="N189" s="33" t="s">
        <v>358</v>
      </c>
      <c r="O189" s="184"/>
      <c r="P189" s="29"/>
    </row>
    <row r="190" spans="7:16" ht="18" customHeight="1">
      <c r="G190" s="276">
        <v>12.93</v>
      </c>
      <c r="I190" s="66">
        <v>40349</v>
      </c>
      <c r="J190" s="33" t="s">
        <v>338</v>
      </c>
      <c r="L190" s="66" t="s">
        <v>646</v>
      </c>
      <c r="M190" s="66" t="s">
        <v>17</v>
      </c>
      <c r="N190" s="33" t="s">
        <v>358</v>
      </c>
      <c r="O190" s="184"/>
      <c r="P190" s="29"/>
    </row>
    <row r="191" spans="7:16" ht="18" customHeight="1">
      <c r="G191" s="276">
        <v>12.92</v>
      </c>
      <c r="I191" s="66">
        <v>40349</v>
      </c>
      <c r="J191" s="33" t="s">
        <v>338</v>
      </c>
      <c r="L191" s="66" t="s">
        <v>664</v>
      </c>
      <c r="M191" s="66" t="s">
        <v>17</v>
      </c>
      <c r="N191" s="33" t="s">
        <v>358</v>
      </c>
      <c r="O191" s="184"/>
      <c r="P191" s="29"/>
    </row>
    <row r="192" spans="7:16" ht="18" customHeight="1">
      <c r="G192" s="276">
        <v>12.91</v>
      </c>
      <c r="I192" s="66">
        <v>40349</v>
      </c>
      <c r="J192" s="66" t="s">
        <v>566</v>
      </c>
      <c r="K192" s="410"/>
      <c r="L192" s="66" t="s">
        <v>639</v>
      </c>
      <c r="M192" s="66" t="s">
        <v>17</v>
      </c>
      <c r="N192" s="33" t="s">
        <v>358</v>
      </c>
      <c r="O192" s="184"/>
      <c r="P192" s="29"/>
    </row>
    <row r="193" spans="7:16" ht="18" customHeight="1">
      <c r="G193" s="276">
        <v>12.9</v>
      </c>
      <c r="I193" s="66">
        <v>40332</v>
      </c>
      <c r="J193" s="33" t="s">
        <v>338</v>
      </c>
      <c r="L193" s="66" t="s">
        <v>640</v>
      </c>
      <c r="M193" s="66" t="s">
        <v>641</v>
      </c>
      <c r="N193" s="33" t="s">
        <v>358</v>
      </c>
      <c r="O193" s="184"/>
      <c r="P193" s="29"/>
    </row>
    <row r="194" spans="7:16" ht="18" customHeight="1">
      <c r="G194" s="276">
        <v>12.89</v>
      </c>
      <c r="I194" s="66">
        <v>40316</v>
      </c>
      <c r="J194" s="66" t="s">
        <v>566</v>
      </c>
      <c r="K194" s="410"/>
      <c r="L194" s="66" t="s">
        <v>638</v>
      </c>
      <c r="M194" s="66" t="s">
        <v>637</v>
      </c>
      <c r="N194" s="33" t="s">
        <v>358</v>
      </c>
      <c r="O194" s="184"/>
      <c r="P194" s="29"/>
    </row>
    <row r="195" spans="7:16" ht="18" customHeight="1">
      <c r="G195" s="276">
        <v>12.88</v>
      </c>
      <c r="I195" s="66">
        <v>40292</v>
      </c>
      <c r="J195" s="33" t="s">
        <v>338</v>
      </c>
      <c r="L195" s="33" t="s">
        <v>635</v>
      </c>
      <c r="M195" s="66" t="s">
        <v>17</v>
      </c>
      <c r="N195" s="33" t="s">
        <v>358</v>
      </c>
      <c r="O195" s="184"/>
      <c r="P195" s="29"/>
    </row>
    <row r="196" spans="7:16" ht="18" customHeight="1">
      <c r="G196" s="276">
        <v>12.87</v>
      </c>
      <c r="I196" s="66">
        <v>40292</v>
      </c>
      <c r="J196" s="33" t="s">
        <v>338</v>
      </c>
      <c r="L196" s="33" t="s">
        <v>665</v>
      </c>
      <c r="M196" s="66" t="s">
        <v>17</v>
      </c>
      <c r="N196" s="33" t="s">
        <v>358</v>
      </c>
      <c r="O196" s="184"/>
      <c r="P196" s="29"/>
    </row>
    <row r="197" spans="7:16" ht="18" customHeight="1">
      <c r="G197" s="276">
        <v>12.86</v>
      </c>
      <c r="I197" s="66">
        <v>40289</v>
      </c>
      <c r="J197" s="33" t="s">
        <v>319</v>
      </c>
      <c r="L197" s="33" t="s">
        <v>636</v>
      </c>
      <c r="M197" s="184" t="s">
        <v>709</v>
      </c>
      <c r="N197" s="33" t="s">
        <v>358</v>
      </c>
      <c r="O197" s="184"/>
      <c r="P197" s="29"/>
    </row>
    <row r="198" spans="7:16" ht="18" customHeight="1">
      <c r="G198" s="276">
        <v>12.85</v>
      </c>
      <c r="I198" s="66">
        <v>40289</v>
      </c>
      <c r="J198" s="33" t="s">
        <v>430</v>
      </c>
      <c r="L198" s="33" t="s">
        <v>636</v>
      </c>
      <c r="M198" s="184" t="s">
        <v>709</v>
      </c>
      <c r="N198" s="33" t="s">
        <v>358</v>
      </c>
      <c r="O198" s="184"/>
      <c r="P198" s="29"/>
    </row>
    <row r="199" spans="7:16" ht="18" customHeight="1">
      <c r="G199" s="276">
        <v>12.84</v>
      </c>
      <c r="I199" s="66">
        <v>40289</v>
      </c>
      <c r="J199" s="33" t="s">
        <v>339</v>
      </c>
      <c r="L199" s="33" t="s">
        <v>636</v>
      </c>
      <c r="M199" s="184" t="s">
        <v>709</v>
      </c>
      <c r="N199" s="33" t="s">
        <v>358</v>
      </c>
      <c r="O199" s="184"/>
      <c r="P199" s="29"/>
    </row>
    <row r="200" spans="7:16" ht="18" customHeight="1">
      <c r="G200" s="276">
        <v>12.83</v>
      </c>
      <c r="I200" s="66">
        <v>40289</v>
      </c>
      <c r="J200" s="33" t="s">
        <v>566</v>
      </c>
      <c r="L200" s="33" t="s">
        <v>636</v>
      </c>
      <c r="M200" s="184" t="s">
        <v>709</v>
      </c>
      <c r="N200" s="33" t="s">
        <v>358</v>
      </c>
      <c r="O200" s="184"/>
      <c r="P200" s="29"/>
    </row>
    <row r="201" spans="7:16" ht="18" customHeight="1">
      <c r="G201" s="276">
        <v>12.82</v>
      </c>
      <c r="I201" s="66">
        <v>40289</v>
      </c>
      <c r="J201" s="33" t="s">
        <v>338</v>
      </c>
      <c r="L201" s="33" t="s">
        <v>636</v>
      </c>
      <c r="M201" s="33" t="s">
        <v>358</v>
      </c>
      <c r="N201" s="33" t="s">
        <v>358</v>
      </c>
    </row>
    <row r="202" spans="7:16" ht="18" customHeight="1">
      <c r="G202" s="276">
        <v>12.81</v>
      </c>
      <c r="I202" s="66">
        <v>40228</v>
      </c>
      <c r="J202" s="33" t="s">
        <v>319</v>
      </c>
      <c r="L202" s="33" t="s">
        <v>634</v>
      </c>
      <c r="M202" s="33" t="s">
        <v>358</v>
      </c>
      <c r="N202" s="33" t="s">
        <v>358</v>
      </c>
    </row>
    <row r="203" spans="7:16" ht="18" customHeight="1">
      <c r="G203" s="276">
        <v>12.8</v>
      </c>
      <c r="I203" s="66">
        <v>40228</v>
      </c>
      <c r="J203" s="33" t="s">
        <v>430</v>
      </c>
      <c r="L203" s="33" t="s">
        <v>634</v>
      </c>
      <c r="M203" s="33" t="s">
        <v>358</v>
      </c>
      <c r="N203" s="33" t="s">
        <v>358</v>
      </c>
    </row>
    <row r="204" spans="7:16" ht="18" customHeight="1">
      <c r="G204" s="276">
        <v>12.79</v>
      </c>
      <c r="I204" s="66">
        <v>40228</v>
      </c>
      <c r="J204" s="33" t="s">
        <v>339</v>
      </c>
      <c r="L204" s="33" t="s">
        <v>634</v>
      </c>
      <c r="M204" s="33" t="s">
        <v>358</v>
      </c>
      <c r="N204" s="33" t="s">
        <v>358</v>
      </c>
    </row>
    <row r="205" spans="7:16" ht="18" customHeight="1">
      <c r="G205" s="276">
        <v>12.78</v>
      </c>
      <c r="I205" s="66">
        <v>40228</v>
      </c>
      <c r="J205" s="33" t="s">
        <v>566</v>
      </c>
      <c r="L205" s="33" t="s">
        <v>634</v>
      </c>
      <c r="M205" s="33" t="s">
        <v>358</v>
      </c>
      <c r="N205" s="33" t="s">
        <v>358</v>
      </c>
    </row>
    <row r="206" spans="7:16" ht="18" customHeight="1">
      <c r="G206" s="276">
        <v>12.77</v>
      </c>
      <c r="I206" s="66">
        <v>40228</v>
      </c>
      <c r="J206" s="33" t="s">
        <v>338</v>
      </c>
      <c r="L206" s="33" t="s">
        <v>634</v>
      </c>
      <c r="M206" s="33" t="s">
        <v>358</v>
      </c>
      <c r="N206" s="33" t="s">
        <v>358</v>
      </c>
    </row>
    <row r="207" spans="7:16" ht="18" customHeight="1">
      <c r="G207" s="276">
        <v>12.76</v>
      </c>
      <c r="I207" s="66">
        <v>40212</v>
      </c>
      <c r="J207" s="33" t="s">
        <v>338</v>
      </c>
      <c r="L207" s="33" t="s">
        <v>6</v>
      </c>
      <c r="M207" s="33" t="s">
        <v>358</v>
      </c>
      <c r="N207" s="33" t="s">
        <v>358</v>
      </c>
    </row>
    <row r="208" spans="7:16" ht="18" customHeight="1">
      <c r="G208" s="276">
        <v>12.75</v>
      </c>
      <c r="I208" s="66">
        <v>40212</v>
      </c>
      <c r="J208" s="33" t="s">
        <v>338</v>
      </c>
      <c r="L208" s="33" t="s">
        <v>5</v>
      </c>
      <c r="M208" s="33" t="s">
        <v>358</v>
      </c>
      <c r="N208" s="33" t="s">
        <v>358</v>
      </c>
    </row>
    <row r="209" spans="7:14" ht="18" customHeight="1">
      <c r="G209" s="276">
        <v>12.74</v>
      </c>
      <c r="I209" s="66">
        <v>40212</v>
      </c>
      <c r="J209" s="33" t="s">
        <v>338</v>
      </c>
      <c r="L209" s="33" t="s">
        <v>4</v>
      </c>
      <c r="M209" s="33" t="s">
        <v>358</v>
      </c>
      <c r="N209" s="33" t="s">
        <v>358</v>
      </c>
    </row>
    <row r="210" spans="7:14" ht="18" customHeight="1">
      <c r="G210" s="276">
        <v>12.73</v>
      </c>
      <c r="I210" s="66">
        <v>40212</v>
      </c>
      <c r="J210" s="33" t="s">
        <v>338</v>
      </c>
      <c r="L210" s="33" t="s">
        <v>3</v>
      </c>
      <c r="M210" s="33" t="s">
        <v>358</v>
      </c>
      <c r="N210" s="33" t="s">
        <v>358</v>
      </c>
    </row>
    <row r="211" spans="7:14" ht="18" customHeight="1">
      <c r="G211" s="276">
        <v>12.72</v>
      </c>
      <c r="I211" s="66">
        <v>40212</v>
      </c>
      <c r="J211" s="33" t="s">
        <v>338</v>
      </c>
      <c r="L211" s="33" t="s">
        <v>2</v>
      </c>
      <c r="M211" s="33" t="s">
        <v>358</v>
      </c>
      <c r="N211" s="33" t="s">
        <v>358</v>
      </c>
    </row>
    <row r="212" spans="7:14" ht="18" customHeight="1">
      <c r="G212" s="276">
        <v>12.71</v>
      </c>
      <c r="I212" s="66">
        <v>40212</v>
      </c>
      <c r="J212" s="33" t="s">
        <v>338</v>
      </c>
      <c r="L212" s="33" t="s">
        <v>1</v>
      </c>
      <c r="M212" s="33" t="s">
        <v>358</v>
      </c>
      <c r="N212" s="33" t="s">
        <v>358</v>
      </c>
    </row>
    <row r="213" spans="7:14" ht="18" customHeight="1">
      <c r="G213" s="276">
        <v>12.7</v>
      </c>
      <c r="I213" s="66">
        <v>40212</v>
      </c>
      <c r="J213" s="33" t="s">
        <v>338</v>
      </c>
      <c r="L213" s="33" t="s">
        <v>666</v>
      </c>
      <c r="M213" s="33" t="s">
        <v>358</v>
      </c>
      <c r="N213" s="33" t="s">
        <v>358</v>
      </c>
    </row>
    <row r="214" spans="7:14" ht="18" customHeight="1">
      <c r="G214" s="276">
        <v>12.69</v>
      </c>
      <c r="I214" s="66">
        <v>40170</v>
      </c>
      <c r="J214" s="33" t="s">
        <v>633</v>
      </c>
      <c r="L214" s="33" t="s">
        <v>667</v>
      </c>
      <c r="M214" s="33" t="s">
        <v>358</v>
      </c>
      <c r="N214" s="33" t="s">
        <v>358</v>
      </c>
    </row>
    <row r="215" spans="7:14" ht="18" customHeight="1">
      <c r="G215" s="276">
        <v>12.68</v>
      </c>
      <c r="I215" s="66">
        <v>40168</v>
      </c>
      <c r="J215" s="33" t="s">
        <v>631</v>
      </c>
      <c r="L215" s="33" t="s">
        <v>632</v>
      </c>
      <c r="M215" s="33" t="s">
        <v>358</v>
      </c>
      <c r="N215" s="33" t="s">
        <v>358</v>
      </c>
    </row>
    <row r="216" spans="7:14" ht="18" customHeight="1">
      <c r="G216" s="276">
        <v>12.67</v>
      </c>
      <c r="I216" s="66">
        <v>40168</v>
      </c>
      <c r="J216" s="33" t="s">
        <v>630</v>
      </c>
      <c r="L216" s="33" t="s">
        <v>632</v>
      </c>
      <c r="M216" s="33" t="s">
        <v>358</v>
      </c>
      <c r="N216" s="33" t="s">
        <v>358</v>
      </c>
    </row>
    <row r="217" spans="7:14" ht="18" customHeight="1">
      <c r="G217" s="276">
        <v>12.66</v>
      </c>
      <c r="H217" s="64" t="s">
        <v>628</v>
      </c>
      <c r="I217" s="66">
        <v>40168</v>
      </c>
      <c r="J217" s="33" t="s">
        <v>629</v>
      </c>
      <c r="L217" s="33" t="s">
        <v>632</v>
      </c>
      <c r="M217" s="33" t="s">
        <v>358</v>
      </c>
      <c r="N217" s="33" t="s">
        <v>358</v>
      </c>
    </row>
    <row r="218" spans="7:14" ht="18" customHeight="1">
      <c r="G218" s="276">
        <v>12.65</v>
      </c>
      <c r="H218" s="64" t="s">
        <v>627</v>
      </c>
      <c r="I218" s="66">
        <v>40074</v>
      </c>
      <c r="J218" s="33" t="s">
        <v>509</v>
      </c>
      <c r="L218" s="33" t="s">
        <v>623</v>
      </c>
      <c r="M218" s="33" t="s">
        <v>17</v>
      </c>
      <c r="N218" s="33" t="s">
        <v>358</v>
      </c>
    </row>
    <row r="219" spans="7:14" ht="18" customHeight="1">
      <c r="G219" s="276">
        <v>12.64</v>
      </c>
      <c r="H219" s="64" t="s">
        <v>626</v>
      </c>
      <c r="I219" s="66">
        <v>40074</v>
      </c>
      <c r="J219" s="33" t="s">
        <v>509</v>
      </c>
      <c r="L219" s="33" t="s">
        <v>668</v>
      </c>
      <c r="M219" s="33" t="s">
        <v>17</v>
      </c>
      <c r="N219" s="33" t="s">
        <v>358</v>
      </c>
    </row>
    <row r="220" spans="7:14" ht="18" customHeight="1">
      <c r="G220" s="276">
        <v>12.63</v>
      </c>
      <c r="H220" s="64" t="s">
        <v>625</v>
      </c>
      <c r="I220" s="66">
        <v>40074</v>
      </c>
      <c r="J220" s="33" t="s">
        <v>509</v>
      </c>
      <c r="L220" s="33" t="s">
        <v>622</v>
      </c>
      <c r="M220" s="33" t="s">
        <v>17</v>
      </c>
      <c r="N220" s="33" t="s">
        <v>358</v>
      </c>
    </row>
    <row r="221" spans="7:14" ht="18" customHeight="1">
      <c r="G221" s="276">
        <v>12.62</v>
      </c>
      <c r="H221" s="64" t="s">
        <v>624</v>
      </c>
      <c r="I221" s="66">
        <v>40074</v>
      </c>
      <c r="J221" s="33" t="s">
        <v>509</v>
      </c>
      <c r="L221" s="33" t="s">
        <v>621</v>
      </c>
      <c r="M221" s="33" t="s">
        <v>17</v>
      </c>
      <c r="N221" s="33" t="s">
        <v>358</v>
      </c>
    </row>
    <row r="222" spans="7:14" ht="18" customHeight="1">
      <c r="G222" s="276">
        <v>12.61</v>
      </c>
      <c r="I222" s="66">
        <v>40070</v>
      </c>
      <c r="J222" s="33" t="s">
        <v>441</v>
      </c>
      <c r="L222" s="33" t="s">
        <v>318</v>
      </c>
      <c r="M222" s="33" t="s">
        <v>358</v>
      </c>
      <c r="N222" s="33" t="s">
        <v>358</v>
      </c>
    </row>
    <row r="223" spans="7:14" ht="18" customHeight="1">
      <c r="G223" s="276">
        <v>12.6</v>
      </c>
      <c r="I223" s="66">
        <v>40067</v>
      </c>
      <c r="J223" s="33" t="s">
        <v>509</v>
      </c>
      <c r="L223" s="33" t="s">
        <v>620</v>
      </c>
      <c r="M223" s="33" t="s">
        <v>358</v>
      </c>
      <c r="N223" s="33" t="s">
        <v>358</v>
      </c>
    </row>
    <row r="224" spans="7:14" ht="18" customHeight="1">
      <c r="G224" s="276">
        <v>12.59</v>
      </c>
      <c r="I224" s="66">
        <v>40067</v>
      </c>
      <c r="J224" s="33" t="s">
        <v>509</v>
      </c>
      <c r="L224" s="33" t="s">
        <v>619</v>
      </c>
      <c r="M224" s="33" t="s">
        <v>358</v>
      </c>
      <c r="N224" s="33" t="s">
        <v>358</v>
      </c>
    </row>
    <row r="225" spans="7:14" ht="18" customHeight="1">
      <c r="G225" s="276">
        <v>12.58</v>
      </c>
      <c r="I225" s="66">
        <v>40067</v>
      </c>
      <c r="J225" s="33" t="s">
        <v>509</v>
      </c>
      <c r="L225" s="33" t="s">
        <v>618</v>
      </c>
      <c r="M225" s="33" t="s">
        <v>358</v>
      </c>
      <c r="N225" s="33" t="s">
        <v>358</v>
      </c>
    </row>
    <row r="226" spans="7:14" ht="18" customHeight="1">
      <c r="G226" s="276">
        <v>12.57</v>
      </c>
      <c r="I226" s="66">
        <v>40066</v>
      </c>
      <c r="J226" s="33" t="s">
        <v>441</v>
      </c>
      <c r="L226" s="33" t="s">
        <v>617</v>
      </c>
      <c r="M226" s="33" t="s">
        <v>358</v>
      </c>
      <c r="N226" s="33" t="s">
        <v>358</v>
      </c>
    </row>
    <row r="227" spans="7:14" ht="18" customHeight="1">
      <c r="G227" s="276">
        <v>12.56</v>
      </c>
      <c r="I227" s="66">
        <v>40066</v>
      </c>
      <c r="J227" s="33" t="s">
        <v>509</v>
      </c>
      <c r="L227" s="33" t="s">
        <v>616</v>
      </c>
      <c r="M227" s="33" t="s">
        <v>358</v>
      </c>
      <c r="N227" s="33" t="s">
        <v>358</v>
      </c>
    </row>
    <row r="228" spans="7:14" ht="18" customHeight="1">
      <c r="G228" s="276">
        <v>12.55</v>
      </c>
      <c r="I228" s="66">
        <v>40066</v>
      </c>
      <c r="J228" s="33" t="s">
        <v>509</v>
      </c>
      <c r="L228" s="33" t="s">
        <v>615</v>
      </c>
      <c r="M228" s="33" t="s">
        <v>358</v>
      </c>
      <c r="N228" s="33" t="s">
        <v>358</v>
      </c>
    </row>
    <row r="229" spans="7:14" ht="18" customHeight="1">
      <c r="G229" s="276">
        <v>12.54</v>
      </c>
      <c r="I229" s="66">
        <v>40066</v>
      </c>
      <c r="J229" s="33" t="s">
        <v>509</v>
      </c>
      <c r="L229" s="33" t="s">
        <v>614</v>
      </c>
      <c r="M229" s="33" t="s">
        <v>358</v>
      </c>
      <c r="N229" s="33" t="s">
        <v>358</v>
      </c>
    </row>
    <row r="230" spans="7:14" ht="18" customHeight="1">
      <c r="G230" s="276">
        <v>12.53</v>
      </c>
      <c r="I230" s="66">
        <v>40066</v>
      </c>
      <c r="J230" s="33" t="s">
        <v>509</v>
      </c>
      <c r="L230" s="33" t="s">
        <v>613</v>
      </c>
      <c r="M230" s="33" t="s">
        <v>358</v>
      </c>
      <c r="N230" s="33" t="s">
        <v>358</v>
      </c>
    </row>
    <row r="231" spans="7:14" ht="18" customHeight="1">
      <c r="G231" s="276">
        <v>12.52</v>
      </c>
      <c r="I231" s="66">
        <v>40066</v>
      </c>
      <c r="J231" s="33" t="s">
        <v>509</v>
      </c>
      <c r="L231" s="33" t="s">
        <v>612</v>
      </c>
      <c r="M231" s="33" t="s">
        <v>358</v>
      </c>
      <c r="N231" s="33" t="s">
        <v>358</v>
      </c>
    </row>
    <row r="232" spans="7:14" ht="18" customHeight="1">
      <c r="G232" s="276">
        <v>12.51</v>
      </c>
      <c r="I232" s="66">
        <v>40066</v>
      </c>
      <c r="J232" s="33" t="s">
        <v>509</v>
      </c>
      <c r="L232" s="33" t="s">
        <v>610</v>
      </c>
      <c r="M232" s="33" t="s">
        <v>358</v>
      </c>
      <c r="N232" s="33" t="s">
        <v>358</v>
      </c>
    </row>
    <row r="233" spans="7:14" ht="18" customHeight="1">
      <c r="G233" s="276">
        <v>12.5</v>
      </c>
      <c r="I233" s="66">
        <v>40066</v>
      </c>
      <c r="J233" s="33" t="s">
        <v>509</v>
      </c>
      <c r="L233" s="33" t="s">
        <v>611</v>
      </c>
      <c r="M233" s="33" t="s">
        <v>358</v>
      </c>
      <c r="N233" s="33" t="s">
        <v>358</v>
      </c>
    </row>
    <row r="234" spans="7:14" ht="18" customHeight="1">
      <c r="G234" s="276">
        <v>12.49</v>
      </c>
      <c r="I234" s="66">
        <v>40066</v>
      </c>
      <c r="J234" s="33" t="s">
        <v>509</v>
      </c>
      <c r="L234" s="33" t="s">
        <v>609</v>
      </c>
      <c r="M234" s="33" t="s">
        <v>358</v>
      </c>
      <c r="N234" s="33" t="s">
        <v>358</v>
      </c>
    </row>
    <row r="235" spans="7:14" ht="18" customHeight="1">
      <c r="G235" s="276">
        <v>12.48</v>
      </c>
      <c r="I235" s="66">
        <v>40065</v>
      </c>
      <c r="J235" s="33" t="s">
        <v>509</v>
      </c>
      <c r="L235" s="33" t="s">
        <v>592</v>
      </c>
      <c r="M235" s="33" t="s">
        <v>358</v>
      </c>
      <c r="N235" s="33" t="s">
        <v>358</v>
      </c>
    </row>
    <row r="236" spans="7:14" ht="18" customHeight="1">
      <c r="G236" s="276">
        <v>12.47</v>
      </c>
      <c r="I236" s="66">
        <v>40065</v>
      </c>
      <c r="J236" s="33" t="s">
        <v>509</v>
      </c>
      <c r="L236" s="33" t="s">
        <v>608</v>
      </c>
      <c r="M236" s="33" t="s">
        <v>358</v>
      </c>
      <c r="N236" s="33" t="s">
        <v>358</v>
      </c>
    </row>
    <row r="237" spans="7:14" ht="18" customHeight="1">
      <c r="G237" s="276">
        <v>12.46</v>
      </c>
      <c r="I237" s="66">
        <v>40065</v>
      </c>
      <c r="J237" s="33" t="s">
        <v>509</v>
      </c>
      <c r="L237" s="33" t="s">
        <v>599</v>
      </c>
      <c r="M237" s="33" t="s">
        <v>358</v>
      </c>
      <c r="N237" s="33" t="s">
        <v>358</v>
      </c>
    </row>
    <row r="238" spans="7:14" ht="18" customHeight="1">
      <c r="G238" s="276">
        <v>12.45</v>
      </c>
      <c r="I238" s="66">
        <v>40065</v>
      </c>
      <c r="J238" s="33" t="s">
        <v>509</v>
      </c>
      <c r="L238" s="33" t="s">
        <v>598</v>
      </c>
      <c r="M238" s="33" t="s">
        <v>358</v>
      </c>
      <c r="N238" s="33" t="s">
        <v>358</v>
      </c>
    </row>
    <row r="239" spans="7:14" ht="18" customHeight="1">
      <c r="G239" s="276">
        <v>12.44</v>
      </c>
      <c r="I239" s="66">
        <v>40065</v>
      </c>
      <c r="J239" s="33" t="s">
        <v>509</v>
      </c>
      <c r="L239" s="33" t="s">
        <v>600</v>
      </c>
      <c r="M239" s="33" t="s">
        <v>358</v>
      </c>
      <c r="N239" s="33" t="s">
        <v>358</v>
      </c>
    </row>
    <row r="240" spans="7:14" ht="18" customHeight="1">
      <c r="G240" s="276">
        <v>12.43</v>
      </c>
      <c r="I240" s="66">
        <v>40065</v>
      </c>
      <c r="J240" s="33" t="s">
        <v>509</v>
      </c>
      <c r="L240" s="33" t="s">
        <v>601</v>
      </c>
      <c r="M240" s="33" t="s">
        <v>358</v>
      </c>
      <c r="N240" s="33" t="s">
        <v>358</v>
      </c>
    </row>
    <row r="241" spans="7:14" ht="18" customHeight="1">
      <c r="G241" s="276">
        <v>12.42</v>
      </c>
      <c r="I241" s="66">
        <v>40065</v>
      </c>
      <c r="J241" s="33" t="s">
        <v>509</v>
      </c>
      <c r="L241" s="33" t="s">
        <v>602</v>
      </c>
      <c r="M241" s="33" t="s">
        <v>358</v>
      </c>
      <c r="N241" s="33" t="s">
        <v>358</v>
      </c>
    </row>
    <row r="242" spans="7:14" ht="18" customHeight="1">
      <c r="G242" s="276">
        <v>12.41</v>
      </c>
      <c r="I242" s="66">
        <v>40065</v>
      </c>
      <c r="J242" s="33" t="s">
        <v>509</v>
      </c>
      <c r="L242" s="33" t="s">
        <v>603</v>
      </c>
      <c r="M242" s="33" t="s">
        <v>358</v>
      </c>
      <c r="N242" s="33" t="s">
        <v>358</v>
      </c>
    </row>
    <row r="243" spans="7:14" ht="18" customHeight="1">
      <c r="G243" s="276">
        <v>12.4</v>
      </c>
      <c r="I243" s="66">
        <v>40065</v>
      </c>
      <c r="J243" s="33" t="s">
        <v>509</v>
      </c>
      <c r="L243" s="33" t="s">
        <v>604</v>
      </c>
      <c r="M243" s="33" t="s">
        <v>358</v>
      </c>
      <c r="N243" s="33" t="s">
        <v>358</v>
      </c>
    </row>
    <row r="244" spans="7:14" ht="18" customHeight="1">
      <c r="G244" s="276">
        <v>12.39</v>
      </c>
      <c r="I244" s="66">
        <v>40065</v>
      </c>
      <c r="J244" s="33" t="s">
        <v>509</v>
      </c>
      <c r="L244" s="33" t="s">
        <v>605</v>
      </c>
      <c r="M244" s="33" t="s">
        <v>358</v>
      </c>
      <c r="N244" s="33" t="s">
        <v>358</v>
      </c>
    </row>
    <row r="245" spans="7:14" ht="18" customHeight="1">
      <c r="G245" s="276">
        <v>12.38</v>
      </c>
      <c r="I245" s="66">
        <v>40065</v>
      </c>
      <c r="J245" s="33" t="s">
        <v>509</v>
      </c>
      <c r="L245" s="33" t="s">
        <v>597</v>
      </c>
      <c r="M245" s="33" t="s">
        <v>358</v>
      </c>
      <c r="N245" s="33" t="s">
        <v>358</v>
      </c>
    </row>
    <row r="246" spans="7:14" ht="18" customHeight="1">
      <c r="G246" s="276">
        <v>12.37</v>
      </c>
      <c r="I246" s="66">
        <v>40065</v>
      </c>
      <c r="J246" s="33" t="s">
        <v>509</v>
      </c>
      <c r="L246" s="33" t="s">
        <v>596</v>
      </c>
      <c r="M246" s="33" t="s">
        <v>358</v>
      </c>
      <c r="N246" s="33" t="s">
        <v>358</v>
      </c>
    </row>
    <row r="247" spans="7:14" ht="18" customHeight="1">
      <c r="G247" s="276">
        <v>12.36</v>
      </c>
      <c r="I247" s="66">
        <v>40065</v>
      </c>
      <c r="J247" s="33" t="s">
        <v>509</v>
      </c>
      <c r="L247" s="33" t="s">
        <v>595</v>
      </c>
      <c r="M247" s="33" t="s">
        <v>358</v>
      </c>
      <c r="N247" s="33" t="s">
        <v>358</v>
      </c>
    </row>
    <row r="248" spans="7:14" ht="18" customHeight="1">
      <c r="G248" s="276">
        <v>12.35</v>
      </c>
      <c r="I248" s="66">
        <v>40065</v>
      </c>
      <c r="J248" s="33" t="s">
        <v>509</v>
      </c>
      <c r="L248" s="33" t="s">
        <v>594</v>
      </c>
      <c r="M248" s="33" t="s">
        <v>358</v>
      </c>
      <c r="N248" s="33" t="s">
        <v>358</v>
      </c>
    </row>
    <row r="249" spans="7:14" ht="18" customHeight="1">
      <c r="G249" s="276">
        <v>12.34</v>
      </c>
      <c r="I249" s="66">
        <v>40065</v>
      </c>
      <c r="J249" s="33" t="s">
        <v>509</v>
      </c>
      <c r="L249" s="33" t="s">
        <v>593</v>
      </c>
      <c r="M249" s="33" t="s">
        <v>358</v>
      </c>
      <c r="N249" s="33" t="s">
        <v>358</v>
      </c>
    </row>
    <row r="250" spans="7:14" ht="18" customHeight="1">
      <c r="G250" s="276">
        <v>12.33</v>
      </c>
      <c r="I250" s="66">
        <v>39738</v>
      </c>
      <c r="J250" s="33" t="s">
        <v>319</v>
      </c>
      <c r="L250" s="33" t="s">
        <v>578</v>
      </c>
      <c r="M250" s="33" t="s">
        <v>345</v>
      </c>
      <c r="N250" s="33" t="s">
        <v>580</v>
      </c>
    </row>
    <row r="251" spans="7:14" ht="18" customHeight="1">
      <c r="G251" s="276">
        <v>12.32</v>
      </c>
      <c r="I251" s="66">
        <v>39738</v>
      </c>
      <c r="J251" s="33" t="s">
        <v>430</v>
      </c>
      <c r="L251" s="33" t="s">
        <v>578</v>
      </c>
      <c r="M251" s="33" t="s">
        <v>345</v>
      </c>
      <c r="N251" s="33" t="s">
        <v>580</v>
      </c>
    </row>
    <row r="252" spans="7:14" ht="18" customHeight="1">
      <c r="G252" s="276">
        <v>12.31</v>
      </c>
      <c r="I252" s="66">
        <v>39738</v>
      </c>
      <c r="J252" s="33" t="s">
        <v>339</v>
      </c>
      <c r="L252" s="33" t="s">
        <v>578</v>
      </c>
      <c r="M252" s="33" t="s">
        <v>345</v>
      </c>
      <c r="N252" s="33" t="s">
        <v>580</v>
      </c>
    </row>
    <row r="253" spans="7:14" ht="18" customHeight="1">
      <c r="G253" s="276">
        <v>12.3</v>
      </c>
      <c r="I253" s="66">
        <v>39681</v>
      </c>
      <c r="J253" s="33" t="s">
        <v>576</v>
      </c>
      <c r="L253" s="33" t="s">
        <v>574</v>
      </c>
      <c r="M253" s="33" t="s">
        <v>13</v>
      </c>
      <c r="N253" s="33" t="s">
        <v>581</v>
      </c>
    </row>
    <row r="254" spans="7:14" ht="18" customHeight="1">
      <c r="G254" s="276">
        <v>12.29</v>
      </c>
      <c r="I254" s="66">
        <v>39681</v>
      </c>
      <c r="J254" s="33" t="s">
        <v>575</v>
      </c>
      <c r="L254" s="33" t="s">
        <v>574</v>
      </c>
      <c r="M254" s="33" t="s">
        <v>13</v>
      </c>
      <c r="N254" s="33" t="s">
        <v>581</v>
      </c>
    </row>
    <row r="255" spans="7:14" ht="18" customHeight="1">
      <c r="G255" s="276">
        <v>12.28</v>
      </c>
      <c r="I255" s="66">
        <v>39681</v>
      </c>
      <c r="J255" s="33" t="s">
        <v>573</v>
      </c>
      <c r="L255" s="33" t="s">
        <v>574</v>
      </c>
      <c r="M255" s="33" t="s">
        <v>13</v>
      </c>
      <c r="N255" s="33" t="s">
        <v>581</v>
      </c>
    </row>
    <row r="256" spans="7:14" ht="18" customHeight="1">
      <c r="G256" s="276">
        <v>12.27</v>
      </c>
      <c r="I256" s="66">
        <v>39681</v>
      </c>
      <c r="J256" s="33" t="s">
        <v>509</v>
      </c>
      <c r="L256" s="33" t="s">
        <v>703</v>
      </c>
      <c r="M256" s="33" t="s">
        <v>572</v>
      </c>
      <c r="N256" s="33" t="s">
        <v>581</v>
      </c>
    </row>
    <row r="257" spans="6:14" ht="18" customHeight="1">
      <c r="G257" s="276">
        <v>12.24</v>
      </c>
      <c r="I257" s="66">
        <v>39681</v>
      </c>
      <c r="J257" s="33" t="s">
        <v>566</v>
      </c>
      <c r="L257" s="33" t="s">
        <v>571</v>
      </c>
      <c r="M257" s="33" t="s">
        <v>358</v>
      </c>
      <c r="N257" s="33" t="s">
        <v>581</v>
      </c>
    </row>
    <row r="258" spans="6:14" ht="18" customHeight="1">
      <c r="G258" s="276">
        <v>12.22</v>
      </c>
      <c r="I258" s="66">
        <v>39681</v>
      </c>
      <c r="J258" s="33" t="s">
        <v>566</v>
      </c>
      <c r="L258" s="33" t="s">
        <v>569</v>
      </c>
      <c r="M258" s="33" t="s">
        <v>358</v>
      </c>
      <c r="N258" s="33" t="s">
        <v>581</v>
      </c>
    </row>
    <row r="259" spans="6:14" ht="18" customHeight="1">
      <c r="G259" s="276">
        <v>12.2</v>
      </c>
      <c r="I259" s="66">
        <v>39681</v>
      </c>
      <c r="J259" s="33" t="s">
        <v>566</v>
      </c>
      <c r="L259" s="33" t="s">
        <v>568</v>
      </c>
      <c r="M259" s="33" t="s">
        <v>358</v>
      </c>
      <c r="N259" s="33" t="s">
        <v>581</v>
      </c>
    </row>
    <row r="260" spans="6:14" ht="18" customHeight="1">
      <c r="G260" s="276">
        <v>12.19</v>
      </c>
      <c r="I260" s="66">
        <v>39681</v>
      </c>
      <c r="J260" s="33" t="s">
        <v>566</v>
      </c>
      <c r="L260" s="33" t="s">
        <v>570</v>
      </c>
      <c r="M260" s="33" t="s">
        <v>13</v>
      </c>
      <c r="N260" s="33" t="s">
        <v>581</v>
      </c>
    </row>
    <row r="261" spans="6:14" ht="18" customHeight="1">
      <c r="F261" s="34"/>
      <c r="G261" s="276">
        <v>12.18</v>
      </c>
      <c r="I261" s="66">
        <v>39681</v>
      </c>
      <c r="J261" s="33" t="s">
        <v>566</v>
      </c>
      <c r="L261" s="33" t="s">
        <v>567</v>
      </c>
      <c r="M261" s="33" t="s">
        <v>13</v>
      </c>
      <c r="N261" s="33" t="s">
        <v>581</v>
      </c>
    </row>
    <row r="262" spans="6:14" ht="18" customHeight="1">
      <c r="G262" s="276">
        <v>12.17</v>
      </c>
      <c r="I262" s="66">
        <v>39681</v>
      </c>
      <c r="J262" s="33" t="s">
        <v>155</v>
      </c>
      <c r="L262" s="33" t="s">
        <v>565</v>
      </c>
      <c r="M262" s="33" t="s">
        <v>13</v>
      </c>
      <c r="N262" s="33" t="s">
        <v>581</v>
      </c>
    </row>
    <row r="263" spans="6:14" ht="18" customHeight="1">
      <c r="G263" s="276">
        <v>12.16</v>
      </c>
      <c r="I263" s="66">
        <v>39637</v>
      </c>
      <c r="J263" s="33" t="s">
        <v>155</v>
      </c>
      <c r="L263" s="33" t="s">
        <v>518</v>
      </c>
      <c r="M263" s="33" t="s">
        <v>358</v>
      </c>
      <c r="N263" s="33" t="s">
        <v>581</v>
      </c>
    </row>
    <row r="264" spans="6:14" ht="18" customHeight="1">
      <c r="G264" s="276">
        <v>12.16</v>
      </c>
      <c r="I264" s="66">
        <v>39637</v>
      </c>
      <c r="J264" s="33" t="s">
        <v>155</v>
      </c>
      <c r="L264" s="33" t="s">
        <v>517</v>
      </c>
      <c r="M264" s="33" t="s">
        <v>358</v>
      </c>
      <c r="N264" s="33" t="s">
        <v>581</v>
      </c>
    </row>
    <row r="265" spans="6:14" ht="18" customHeight="1">
      <c r="G265" s="276">
        <v>12.16</v>
      </c>
      <c r="I265" s="66">
        <v>39637</v>
      </c>
      <c r="J265" s="33" t="s">
        <v>155</v>
      </c>
      <c r="L265" s="33" t="s">
        <v>516</v>
      </c>
      <c r="M265" s="33" t="s">
        <v>358</v>
      </c>
      <c r="N265" s="33" t="s">
        <v>581</v>
      </c>
    </row>
    <row r="266" spans="6:14" ht="18" customHeight="1">
      <c r="G266" s="276">
        <v>12.16</v>
      </c>
      <c r="I266" s="66">
        <v>39637</v>
      </c>
      <c r="J266" s="33" t="s">
        <v>155</v>
      </c>
      <c r="L266" s="33" t="s">
        <v>515</v>
      </c>
      <c r="M266" s="33" t="s">
        <v>358</v>
      </c>
      <c r="N266" s="33" t="s">
        <v>581</v>
      </c>
    </row>
    <row r="267" spans="6:14" ht="18" customHeight="1">
      <c r="G267" s="276">
        <v>12.16</v>
      </c>
      <c r="I267" s="66">
        <v>39637</v>
      </c>
      <c r="J267" s="33" t="s">
        <v>155</v>
      </c>
      <c r="L267" s="33" t="s">
        <v>514</v>
      </c>
      <c r="M267" s="33" t="s">
        <v>358</v>
      </c>
      <c r="N267" s="33" t="s">
        <v>581</v>
      </c>
    </row>
    <row r="268" spans="6:14" ht="18" customHeight="1">
      <c r="G268" s="276">
        <v>12.15</v>
      </c>
      <c r="I268" s="66">
        <v>39636</v>
      </c>
      <c r="J268" s="33" t="s">
        <v>511</v>
      </c>
      <c r="L268" s="33" t="s">
        <v>519</v>
      </c>
      <c r="M268" s="33" t="s">
        <v>358</v>
      </c>
      <c r="N268" s="33" t="s">
        <v>581</v>
      </c>
    </row>
    <row r="269" spans="6:14" ht="18" customHeight="1">
      <c r="G269" s="276">
        <v>12.145</v>
      </c>
      <c r="I269" s="66">
        <v>39636</v>
      </c>
      <c r="J269" s="33" t="s">
        <v>509</v>
      </c>
      <c r="L269" s="33" t="s">
        <v>510</v>
      </c>
      <c r="M269" s="33" t="s">
        <v>358</v>
      </c>
      <c r="N269" s="33" t="s">
        <v>581</v>
      </c>
    </row>
    <row r="270" spans="6:14" ht="18" customHeight="1">
      <c r="G270" s="276">
        <v>12.14</v>
      </c>
      <c r="I270" s="66">
        <v>39636</v>
      </c>
      <c r="J270" s="33" t="s">
        <v>520</v>
      </c>
      <c r="L270" s="33" t="s">
        <v>507</v>
      </c>
      <c r="M270" s="33" t="s">
        <v>358</v>
      </c>
      <c r="N270" s="33" t="s">
        <v>581</v>
      </c>
    </row>
    <row r="271" spans="6:14" ht="18" customHeight="1">
      <c r="G271" s="276">
        <v>12.13</v>
      </c>
      <c r="I271" s="66">
        <v>39636</v>
      </c>
      <c r="J271" s="33" t="s">
        <v>520</v>
      </c>
      <c r="L271" s="33" t="s">
        <v>508</v>
      </c>
      <c r="M271" s="33" t="s">
        <v>358</v>
      </c>
      <c r="N271" s="33" t="s">
        <v>581</v>
      </c>
    </row>
    <row r="272" spans="6:14" ht="18" customHeight="1">
      <c r="G272" s="276">
        <v>12.12</v>
      </c>
      <c r="I272" s="66">
        <v>39632</v>
      </c>
      <c r="J272" s="33" t="s">
        <v>520</v>
      </c>
      <c r="L272" s="33" t="s">
        <v>505</v>
      </c>
      <c r="M272" s="33" t="s">
        <v>358</v>
      </c>
      <c r="N272" s="33" t="s">
        <v>581</v>
      </c>
    </row>
    <row r="273" spans="7:14" ht="18" customHeight="1">
      <c r="G273" s="276">
        <v>12.11</v>
      </c>
      <c r="I273" s="66">
        <v>39632</v>
      </c>
      <c r="J273" s="33" t="s">
        <v>520</v>
      </c>
      <c r="L273" s="33" t="s">
        <v>521</v>
      </c>
      <c r="M273" s="33" t="s">
        <v>358</v>
      </c>
      <c r="N273" s="33" t="s">
        <v>581</v>
      </c>
    </row>
    <row r="274" spans="7:14" ht="18" customHeight="1">
      <c r="G274" s="276">
        <v>12.1</v>
      </c>
      <c r="I274" s="66">
        <v>39632</v>
      </c>
      <c r="J274" s="33" t="s">
        <v>520</v>
      </c>
      <c r="L274" s="33" t="s">
        <v>504</v>
      </c>
      <c r="M274" s="33" t="s">
        <v>358</v>
      </c>
      <c r="N274" s="33" t="s">
        <v>581</v>
      </c>
    </row>
    <row r="275" spans="7:14" ht="18" customHeight="1">
      <c r="G275" s="276">
        <v>12.09</v>
      </c>
      <c r="I275" s="66">
        <v>39632</v>
      </c>
      <c r="J275" s="33" t="s">
        <v>319</v>
      </c>
      <c r="L275" s="33" t="s">
        <v>522</v>
      </c>
      <c r="M275" s="33" t="s">
        <v>358</v>
      </c>
      <c r="N275" s="33" t="s">
        <v>581</v>
      </c>
    </row>
    <row r="276" spans="7:14" ht="18" customHeight="1">
      <c r="G276" s="276">
        <v>12.08</v>
      </c>
      <c r="I276" s="66">
        <v>39632</v>
      </c>
      <c r="J276" s="33" t="s">
        <v>430</v>
      </c>
      <c r="L276" s="33" t="s">
        <v>522</v>
      </c>
      <c r="M276" s="33" t="s">
        <v>358</v>
      </c>
      <c r="N276" s="33" t="s">
        <v>581</v>
      </c>
    </row>
    <row r="277" spans="7:14" ht="18" customHeight="1">
      <c r="G277" s="276">
        <v>12.07</v>
      </c>
      <c r="I277" s="66">
        <v>39632</v>
      </c>
      <c r="J277" s="33" t="s">
        <v>339</v>
      </c>
      <c r="L277" s="33" t="s">
        <v>522</v>
      </c>
      <c r="M277" s="33" t="s">
        <v>358</v>
      </c>
      <c r="N277" s="33" t="s">
        <v>581</v>
      </c>
    </row>
    <row r="278" spans="7:14" ht="18" customHeight="1">
      <c r="G278" s="276">
        <v>12.06</v>
      </c>
      <c r="I278" s="66">
        <v>39632</v>
      </c>
      <c r="J278" s="33" t="s">
        <v>338</v>
      </c>
      <c r="L278" s="33" t="s">
        <v>445</v>
      </c>
      <c r="M278" s="33" t="s">
        <v>358</v>
      </c>
      <c r="N278" s="33" t="s">
        <v>581</v>
      </c>
    </row>
    <row r="279" spans="7:14" ht="18" customHeight="1">
      <c r="G279" s="276">
        <v>12.05</v>
      </c>
      <c r="I279" s="66">
        <v>39632</v>
      </c>
      <c r="J279" s="33" t="s">
        <v>338</v>
      </c>
      <c r="L279" s="33" t="s">
        <v>444</v>
      </c>
      <c r="M279" s="33" t="s">
        <v>358</v>
      </c>
      <c r="N279" s="33" t="s">
        <v>581</v>
      </c>
    </row>
    <row r="280" spans="7:14" ht="18" customHeight="1">
      <c r="G280" s="276">
        <v>12.01</v>
      </c>
      <c r="I280" s="66">
        <v>39626</v>
      </c>
      <c r="J280" s="33" t="s">
        <v>442</v>
      </c>
      <c r="L280" s="33" t="s">
        <v>523</v>
      </c>
      <c r="M280" s="33" t="s">
        <v>358</v>
      </c>
      <c r="N280" s="33" t="s">
        <v>581</v>
      </c>
    </row>
    <row r="281" spans="7:14" ht="18" customHeight="1">
      <c r="G281" s="276">
        <v>12.01</v>
      </c>
      <c r="I281" s="66">
        <v>39626</v>
      </c>
      <c r="J281" s="33" t="s">
        <v>442</v>
      </c>
      <c r="L281" s="33" t="s">
        <v>443</v>
      </c>
      <c r="M281" s="33" t="s">
        <v>358</v>
      </c>
      <c r="N281" s="33" t="s">
        <v>581</v>
      </c>
    </row>
    <row r="282" spans="7:14" ht="18" customHeight="1">
      <c r="G282" s="276">
        <v>12</v>
      </c>
      <c r="I282" s="66">
        <v>39595</v>
      </c>
      <c r="J282" s="33" t="s">
        <v>441</v>
      </c>
      <c r="L282" s="33" t="s">
        <v>704</v>
      </c>
      <c r="M282" s="33" t="s">
        <v>358</v>
      </c>
      <c r="N282" s="33" t="s">
        <v>581</v>
      </c>
    </row>
    <row r="283" spans="7:14" ht="18" customHeight="1">
      <c r="G283" s="276">
        <v>7.3</v>
      </c>
      <c r="I283" s="66">
        <v>39567</v>
      </c>
      <c r="J283" s="33" t="s">
        <v>441</v>
      </c>
      <c r="L283" s="33" t="s">
        <v>669</v>
      </c>
      <c r="M283" s="33" t="s">
        <v>358</v>
      </c>
      <c r="N283" s="33" t="s">
        <v>581</v>
      </c>
    </row>
    <row r="284" spans="7:14" ht="18" customHeight="1">
      <c r="G284" s="276">
        <v>7.2</v>
      </c>
      <c r="I284" s="66">
        <v>39519</v>
      </c>
      <c r="J284" s="33" t="s">
        <v>338</v>
      </c>
      <c r="L284" s="33" t="s">
        <v>440</v>
      </c>
      <c r="M284" s="33" t="s">
        <v>358</v>
      </c>
      <c r="N284" s="33" t="s">
        <v>581</v>
      </c>
    </row>
    <row r="285" spans="7:14" ht="18" customHeight="1">
      <c r="G285" s="276">
        <v>7.2</v>
      </c>
      <c r="I285" s="66">
        <v>39519</v>
      </c>
      <c r="J285" s="33" t="s">
        <v>338</v>
      </c>
      <c r="L285" s="33" t="s">
        <v>439</v>
      </c>
      <c r="M285" s="33" t="s">
        <v>358</v>
      </c>
      <c r="N285" s="33" t="s">
        <v>581</v>
      </c>
    </row>
    <row r="286" spans="7:14" ht="18" customHeight="1">
      <c r="G286" s="276">
        <v>7.1</v>
      </c>
      <c r="I286" s="66">
        <v>39518</v>
      </c>
      <c r="J286" s="33" t="s">
        <v>338</v>
      </c>
      <c r="L286" s="33" t="s">
        <v>438</v>
      </c>
      <c r="M286" s="33" t="s">
        <v>358</v>
      </c>
      <c r="N286" s="33" t="s">
        <v>581</v>
      </c>
    </row>
    <row r="287" spans="7:14" ht="18" customHeight="1">
      <c r="G287" s="276">
        <v>7</v>
      </c>
      <c r="I287" s="66">
        <v>39517</v>
      </c>
      <c r="J287" s="33" t="s">
        <v>338</v>
      </c>
      <c r="L287" s="33" t="s">
        <v>437</v>
      </c>
      <c r="M287" s="33" t="s">
        <v>358</v>
      </c>
      <c r="N287" s="33" t="s">
        <v>581</v>
      </c>
    </row>
    <row r="288" spans="7:14" ht="18" customHeight="1">
      <c r="G288" s="276">
        <v>6.9</v>
      </c>
      <c r="I288" s="66">
        <v>39513</v>
      </c>
      <c r="J288" s="33" t="s">
        <v>338</v>
      </c>
      <c r="L288" s="33" t="s">
        <v>427</v>
      </c>
      <c r="M288" s="33" t="s">
        <v>358</v>
      </c>
      <c r="N288" s="33" t="s">
        <v>581</v>
      </c>
    </row>
    <row r="289" spans="7:26" ht="18" customHeight="1">
      <c r="G289" s="276">
        <v>6.8</v>
      </c>
      <c r="I289" s="66">
        <v>39484</v>
      </c>
      <c r="J289" s="33" t="s">
        <v>321</v>
      </c>
      <c r="L289" s="33" t="s">
        <v>421</v>
      </c>
      <c r="M289" s="33" t="s">
        <v>312</v>
      </c>
      <c r="N289" s="33" t="s">
        <v>581</v>
      </c>
    </row>
    <row r="290" spans="7:26" ht="18" customHeight="1">
      <c r="G290" s="276">
        <v>6.8</v>
      </c>
      <c r="I290" s="66">
        <v>39483</v>
      </c>
      <c r="J290" s="33" t="s">
        <v>419</v>
      </c>
      <c r="L290" s="33" t="s">
        <v>420</v>
      </c>
      <c r="M290" s="33" t="s">
        <v>358</v>
      </c>
      <c r="N290" s="33" t="s">
        <v>581</v>
      </c>
    </row>
    <row r="291" spans="7:26" ht="18" customHeight="1">
      <c r="G291" s="276">
        <v>6.7</v>
      </c>
      <c r="I291" s="66">
        <v>39478</v>
      </c>
      <c r="J291" s="33" t="s">
        <v>338</v>
      </c>
      <c r="L291" s="33" t="s">
        <v>428</v>
      </c>
      <c r="M291" s="33" t="s">
        <v>17</v>
      </c>
      <c r="N291" s="33" t="s">
        <v>581</v>
      </c>
    </row>
    <row r="292" spans="7:26" ht="18" customHeight="1">
      <c r="G292" s="276">
        <v>6.6</v>
      </c>
      <c r="I292" s="66">
        <v>39394</v>
      </c>
      <c r="J292" s="33" t="s">
        <v>429</v>
      </c>
      <c r="L292" s="33" t="s">
        <v>388</v>
      </c>
      <c r="M292" s="33" t="s">
        <v>358</v>
      </c>
      <c r="N292" s="33" t="s">
        <v>581</v>
      </c>
    </row>
    <row r="293" spans="7:26" ht="18" customHeight="1">
      <c r="G293" s="276">
        <v>6.52</v>
      </c>
      <c r="I293" s="66">
        <v>39337</v>
      </c>
      <c r="J293" s="33" t="s">
        <v>319</v>
      </c>
      <c r="L293" s="33" t="s">
        <v>387</v>
      </c>
      <c r="M293" s="33" t="s">
        <v>345</v>
      </c>
      <c r="N293" s="33" t="s">
        <v>581</v>
      </c>
    </row>
    <row r="294" spans="7:26" ht="18" customHeight="1">
      <c r="G294" s="276">
        <v>6.51</v>
      </c>
      <c r="I294" s="66">
        <v>39337</v>
      </c>
      <c r="J294" s="33" t="s">
        <v>430</v>
      </c>
      <c r="L294" s="33" t="s">
        <v>386</v>
      </c>
      <c r="M294" s="33" t="s">
        <v>345</v>
      </c>
      <c r="N294" s="33" t="s">
        <v>581</v>
      </c>
    </row>
    <row r="295" spans="7:26" ht="18" customHeight="1">
      <c r="G295" s="276">
        <v>6.5</v>
      </c>
      <c r="I295" s="66">
        <v>39337</v>
      </c>
      <c r="J295" s="33" t="s">
        <v>339</v>
      </c>
      <c r="L295" s="33" t="s">
        <v>385</v>
      </c>
      <c r="M295" s="33" t="s">
        <v>345</v>
      </c>
      <c r="N295" s="33" t="s">
        <v>581</v>
      </c>
    </row>
    <row r="296" spans="7:26" ht="18" customHeight="1">
      <c r="G296" s="276">
        <v>6.4</v>
      </c>
      <c r="I296" s="66">
        <v>39086</v>
      </c>
      <c r="J296" s="33" t="s">
        <v>34</v>
      </c>
      <c r="L296" s="33" t="s">
        <v>383</v>
      </c>
      <c r="M296" s="33" t="s">
        <v>13</v>
      </c>
      <c r="N296" s="33" t="s">
        <v>581</v>
      </c>
    </row>
    <row r="297" spans="7:26" ht="18" customHeight="1">
      <c r="G297" s="276">
        <v>6.3</v>
      </c>
      <c r="I297" s="66">
        <v>38909</v>
      </c>
      <c r="J297" s="33" t="s">
        <v>319</v>
      </c>
      <c r="L297" s="33" t="s">
        <v>431</v>
      </c>
      <c r="M297" s="33" t="s">
        <v>345</v>
      </c>
      <c r="N297" s="33" t="s">
        <v>581</v>
      </c>
      <c r="O297" s="34"/>
    </row>
    <row r="298" spans="7:26" ht="18" customHeight="1">
      <c r="G298" s="276">
        <v>6.2</v>
      </c>
      <c r="I298" s="66">
        <v>38909</v>
      </c>
      <c r="J298" s="33" t="s">
        <v>430</v>
      </c>
      <c r="L298" s="33" t="s">
        <v>431</v>
      </c>
      <c r="M298" s="33" t="s">
        <v>345</v>
      </c>
      <c r="N298" s="33" t="s">
        <v>581</v>
      </c>
      <c r="O298" s="34"/>
      <c r="P298" s="282"/>
      <c r="Q298" s="34"/>
      <c r="R298" s="34"/>
      <c r="S298" s="34"/>
      <c r="T298" s="34"/>
      <c r="U298" s="34"/>
      <c r="V298" s="34"/>
      <c r="W298" s="34"/>
      <c r="X298" s="34"/>
      <c r="Y298" s="34"/>
      <c r="Z298" s="34"/>
    </row>
    <row r="299" spans="7:26" ht="18" customHeight="1">
      <c r="G299" s="276">
        <v>6.1</v>
      </c>
      <c r="I299" s="66">
        <v>38909</v>
      </c>
      <c r="J299" s="33" t="s">
        <v>339</v>
      </c>
      <c r="L299" s="33" t="s">
        <v>431</v>
      </c>
      <c r="M299" s="33" t="s">
        <v>345</v>
      </c>
      <c r="N299" s="33" t="s">
        <v>581</v>
      </c>
    </row>
    <row r="300" spans="7:26" ht="18" customHeight="1">
      <c r="G300" s="276">
        <v>6</v>
      </c>
      <c r="I300" s="66">
        <v>38861</v>
      </c>
      <c r="J300" s="33" t="s">
        <v>304</v>
      </c>
      <c r="L300" s="33" t="s">
        <v>23</v>
      </c>
      <c r="M300" s="33" t="s">
        <v>345</v>
      </c>
      <c r="N300" s="33" t="s">
        <v>581</v>
      </c>
    </row>
    <row r="301" spans="7:26" ht="18" customHeight="1">
      <c r="G301" s="276">
        <v>5.9</v>
      </c>
      <c r="I301" s="66">
        <v>38826</v>
      </c>
      <c r="J301" s="33" t="s">
        <v>338</v>
      </c>
      <c r="L301" s="33" t="s">
        <v>144</v>
      </c>
      <c r="M301" s="33" t="s">
        <v>358</v>
      </c>
      <c r="N301" s="33" t="s">
        <v>581</v>
      </c>
    </row>
    <row r="302" spans="7:26" ht="18" customHeight="1">
      <c r="G302" s="276">
        <v>5.8</v>
      </c>
      <c r="I302" s="66">
        <v>38799</v>
      </c>
      <c r="J302" s="33" t="s">
        <v>321</v>
      </c>
      <c r="L302" s="33" t="s">
        <v>320</v>
      </c>
      <c r="M302" s="33" t="s">
        <v>358</v>
      </c>
      <c r="N302" s="33" t="s">
        <v>581</v>
      </c>
    </row>
    <row r="303" spans="7:26" ht="18" customHeight="1">
      <c r="G303" s="276">
        <v>5.7</v>
      </c>
      <c r="I303" s="66">
        <v>38799</v>
      </c>
      <c r="J303" s="33" t="s">
        <v>319</v>
      </c>
      <c r="L303" s="33" t="s">
        <v>379</v>
      </c>
      <c r="M303" s="33" t="s">
        <v>345</v>
      </c>
      <c r="N303" s="33" t="s">
        <v>581</v>
      </c>
    </row>
    <row r="304" spans="7:26" ht="18" customHeight="1">
      <c r="G304" s="276">
        <v>5.7</v>
      </c>
      <c r="I304" s="66">
        <v>38799</v>
      </c>
      <c r="J304" s="33" t="s">
        <v>430</v>
      </c>
      <c r="L304" s="33" t="s">
        <v>379</v>
      </c>
      <c r="M304" s="33" t="s">
        <v>345</v>
      </c>
      <c r="N304" s="33" t="s">
        <v>581</v>
      </c>
    </row>
    <row r="305" spans="7:17" ht="18" customHeight="1">
      <c r="G305" s="276">
        <v>5.6</v>
      </c>
      <c r="I305" s="66">
        <v>38799</v>
      </c>
      <c r="J305" s="33" t="s">
        <v>339</v>
      </c>
      <c r="L305" s="33" t="s">
        <v>379</v>
      </c>
      <c r="M305" s="33" t="s">
        <v>345</v>
      </c>
      <c r="N305" s="33" t="s">
        <v>581</v>
      </c>
      <c r="Q305" s="34"/>
    </row>
    <row r="306" spans="7:17" ht="18" customHeight="1">
      <c r="G306" s="276">
        <v>5.5</v>
      </c>
      <c r="I306" s="66">
        <v>38800</v>
      </c>
      <c r="J306" s="33" t="s">
        <v>317</v>
      </c>
      <c r="L306" s="33" t="s">
        <v>318</v>
      </c>
      <c r="M306" s="33" t="s">
        <v>358</v>
      </c>
      <c r="N306" s="33" t="s">
        <v>581</v>
      </c>
    </row>
    <row r="307" spans="7:17" ht="18" customHeight="1">
      <c r="G307" s="276">
        <v>5.4</v>
      </c>
      <c r="I307" s="66">
        <v>38776</v>
      </c>
      <c r="J307" s="33" t="s">
        <v>34</v>
      </c>
      <c r="L307" s="33" t="s">
        <v>432</v>
      </c>
      <c r="M307" s="33" t="s">
        <v>358</v>
      </c>
      <c r="N307" s="33" t="s">
        <v>581</v>
      </c>
    </row>
    <row r="308" spans="7:17" ht="18" customHeight="1">
      <c r="G308" s="276">
        <v>5.3</v>
      </c>
      <c r="I308" s="66">
        <v>38747</v>
      </c>
      <c r="J308" s="33" t="s">
        <v>304</v>
      </c>
      <c r="L308" s="33" t="s">
        <v>11</v>
      </c>
      <c r="M308" s="33" t="s">
        <v>345</v>
      </c>
      <c r="N308" s="33" t="s">
        <v>581</v>
      </c>
    </row>
    <row r="309" spans="7:17" ht="18" customHeight="1">
      <c r="G309" s="276">
        <v>5.3</v>
      </c>
      <c r="I309" s="66">
        <v>38740</v>
      </c>
      <c r="J309" s="33" t="s">
        <v>315</v>
      </c>
      <c r="L309" s="33" t="s">
        <v>375</v>
      </c>
      <c r="M309" s="33" t="s">
        <v>376</v>
      </c>
      <c r="N309" s="33" t="s">
        <v>581</v>
      </c>
    </row>
    <row r="310" spans="7:17" ht="18" customHeight="1">
      <c r="G310" s="276">
        <v>5.3</v>
      </c>
      <c r="I310" s="66">
        <v>38740</v>
      </c>
      <c r="J310" s="33" t="s">
        <v>338</v>
      </c>
      <c r="L310" s="33" t="s">
        <v>433</v>
      </c>
      <c r="M310" s="33" t="s">
        <v>376</v>
      </c>
      <c r="N310" s="33" t="s">
        <v>581</v>
      </c>
    </row>
    <row r="311" spans="7:17" ht="18" customHeight="1">
      <c r="G311" s="276">
        <v>5.2</v>
      </c>
      <c r="H311" s="81"/>
      <c r="I311" s="66">
        <v>38729</v>
      </c>
      <c r="J311" s="33" t="s">
        <v>338</v>
      </c>
      <c r="L311" s="33" t="s">
        <v>66</v>
      </c>
      <c r="M311" s="33" t="s">
        <v>358</v>
      </c>
      <c r="N311" s="33" t="s">
        <v>581</v>
      </c>
    </row>
    <row r="312" spans="7:17" ht="18" customHeight="1">
      <c r="G312" s="276">
        <v>5.0999999999999996</v>
      </c>
      <c r="I312" s="66">
        <v>38678</v>
      </c>
      <c r="J312" s="33" t="s">
        <v>304</v>
      </c>
      <c r="L312" s="33" t="s">
        <v>371</v>
      </c>
      <c r="M312" s="33" t="s">
        <v>167</v>
      </c>
      <c r="N312" s="33" t="s">
        <v>581</v>
      </c>
      <c r="P312" s="283">
        <v>38701</v>
      </c>
    </row>
    <row r="313" spans="7:17" ht="18" customHeight="1">
      <c r="G313" s="276">
        <v>5</v>
      </c>
      <c r="I313" s="66">
        <v>38617</v>
      </c>
      <c r="J313" s="33" t="s">
        <v>304</v>
      </c>
      <c r="L313" s="33" t="s">
        <v>79</v>
      </c>
      <c r="M313" s="33" t="s">
        <v>80</v>
      </c>
      <c r="N313" s="33" t="s">
        <v>581</v>
      </c>
    </row>
    <row r="314" spans="7:17" ht="18" customHeight="1">
      <c r="G314" s="276">
        <v>4.4000000000000004</v>
      </c>
      <c r="I314" s="66">
        <v>38484</v>
      </c>
      <c r="J314" s="33" t="s">
        <v>304</v>
      </c>
      <c r="L314" s="33" t="s">
        <v>291</v>
      </c>
      <c r="M314" s="33" t="s">
        <v>160</v>
      </c>
      <c r="N314" s="33" t="s">
        <v>581</v>
      </c>
    </row>
    <row r="315" spans="7:17" ht="18" customHeight="1">
      <c r="G315" s="276">
        <v>4.3</v>
      </c>
      <c r="I315" s="66">
        <v>38482</v>
      </c>
      <c r="J315" s="33" t="s">
        <v>155</v>
      </c>
      <c r="L315" s="33" t="s">
        <v>7</v>
      </c>
      <c r="M315" s="33" t="s">
        <v>381</v>
      </c>
      <c r="N315" s="33" t="s">
        <v>581</v>
      </c>
      <c r="P315" s="284">
        <v>38394</v>
      </c>
    </row>
    <row r="316" spans="7:17" ht="18" customHeight="1">
      <c r="G316" s="276">
        <v>4.2</v>
      </c>
      <c r="I316" s="66">
        <v>38448</v>
      </c>
      <c r="J316" s="33" t="s">
        <v>434</v>
      </c>
      <c r="L316" s="33" t="s">
        <v>166</v>
      </c>
      <c r="M316" s="33" t="s">
        <v>167</v>
      </c>
      <c r="N316" s="33" t="s">
        <v>581</v>
      </c>
    </row>
    <row r="317" spans="7:17" ht="18" customHeight="1">
      <c r="G317" s="276">
        <v>4.2</v>
      </c>
      <c r="I317" s="66">
        <v>38448</v>
      </c>
      <c r="J317" s="33" t="s">
        <v>338</v>
      </c>
      <c r="L317" s="33" t="s">
        <v>165</v>
      </c>
      <c r="M317" s="33" t="s">
        <v>167</v>
      </c>
      <c r="N317" s="33" t="s">
        <v>581</v>
      </c>
    </row>
    <row r="318" spans="7:17" ht="18" customHeight="1">
      <c r="G318" s="276">
        <v>4.2</v>
      </c>
      <c r="I318" s="66">
        <v>38448</v>
      </c>
      <c r="J318" s="33" t="s">
        <v>338</v>
      </c>
      <c r="L318" s="33" t="s">
        <v>163</v>
      </c>
      <c r="M318" s="33" t="s">
        <v>164</v>
      </c>
      <c r="N318" s="33" t="s">
        <v>581</v>
      </c>
    </row>
    <row r="319" spans="7:17" ht="18" customHeight="1">
      <c r="G319" s="276">
        <v>4.0999999999999996</v>
      </c>
      <c r="I319" s="66">
        <v>38419</v>
      </c>
      <c r="J319" s="33" t="s">
        <v>304</v>
      </c>
      <c r="L319" s="33" t="s">
        <v>26</v>
      </c>
      <c r="M319" s="33" t="s">
        <v>258</v>
      </c>
      <c r="N319" s="33" t="s">
        <v>581</v>
      </c>
    </row>
    <row r="320" spans="7:17" ht="18" customHeight="1">
      <c r="G320" s="276">
        <v>4</v>
      </c>
      <c r="I320" s="66">
        <v>38406</v>
      </c>
      <c r="J320" s="33" t="s">
        <v>303</v>
      </c>
      <c r="L320" s="33" t="s">
        <v>362</v>
      </c>
      <c r="M320" s="33" t="s">
        <v>363</v>
      </c>
      <c r="N320" s="33" t="s">
        <v>581</v>
      </c>
      <c r="O320" s="34"/>
      <c r="P320" s="282" t="s">
        <v>365</v>
      </c>
    </row>
    <row r="321" spans="7:16" ht="18" customHeight="1">
      <c r="G321" s="276">
        <v>4</v>
      </c>
      <c r="I321" s="66">
        <v>38406</v>
      </c>
      <c r="J321" s="33" t="s">
        <v>304</v>
      </c>
      <c r="L321" s="33" t="s">
        <v>361</v>
      </c>
      <c r="M321" s="33" t="s">
        <v>363</v>
      </c>
      <c r="N321" s="33" t="s">
        <v>581</v>
      </c>
    </row>
    <row r="322" spans="7:16" ht="18" customHeight="1">
      <c r="G322" s="276">
        <v>4</v>
      </c>
      <c r="I322" s="66">
        <v>38406</v>
      </c>
      <c r="J322" s="33" t="s">
        <v>304</v>
      </c>
      <c r="L322" s="33" t="s">
        <v>360</v>
      </c>
      <c r="M322" s="33" t="s">
        <v>363</v>
      </c>
      <c r="N322" s="33" t="s">
        <v>581</v>
      </c>
    </row>
    <row r="323" spans="7:16" ht="18" customHeight="1">
      <c r="G323" s="276">
        <v>4</v>
      </c>
      <c r="I323" s="66">
        <v>38406</v>
      </c>
      <c r="J323" s="33" t="s">
        <v>304</v>
      </c>
      <c r="L323" s="33" t="s">
        <v>359</v>
      </c>
      <c r="M323" s="33" t="s">
        <v>364</v>
      </c>
      <c r="N323" s="33" t="s">
        <v>581</v>
      </c>
    </row>
    <row r="324" spans="7:16" ht="18" customHeight="1">
      <c r="G324" s="276">
        <v>3.91</v>
      </c>
      <c r="I324" s="36">
        <v>38390</v>
      </c>
      <c r="J324" s="33" t="s">
        <v>304</v>
      </c>
      <c r="L324" s="33" t="s">
        <v>32</v>
      </c>
      <c r="M324" s="33" t="s">
        <v>33</v>
      </c>
      <c r="N324" s="33" t="s">
        <v>581</v>
      </c>
    </row>
    <row r="325" spans="7:16" ht="18" customHeight="1">
      <c r="G325" s="276">
        <v>3.9</v>
      </c>
      <c r="I325" s="36">
        <v>38362</v>
      </c>
      <c r="J325" s="33" t="s">
        <v>338</v>
      </c>
      <c r="L325" s="33" t="s">
        <v>350</v>
      </c>
      <c r="M325" s="33" t="s">
        <v>349</v>
      </c>
      <c r="N325" s="33" t="s">
        <v>581</v>
      </c>
    </row>
    <row r="326" spans="7:16" ht="18" customHeight="1">
      <c r="G326" s="276">
        <v>3.9</v>
      </c>
      <c r="I326" s="36">
        <v>38362</v>
      </c>
      <c r="J326" s="33" t="s">
        <v>346</v>
      </c>
      <c r="L326" s="33" t="s">
        <v>348</v>
      </c>
      <c r="M326" s="33" t="s">
        <v>358</v>
      </c>
      <c r="N326" s="33" t="s">
        <v>581</v>
      </c>
    </row>
    <row r="327" spans="7:16" ht="18" customHeight="1">
      <c r="G327" s="276">
        <v>3.8</v>
      </c>
      <c r="I327" s="36">
        <v>38260</v>
      </c>
      <c r="J327" s="33" t="s">
        <v>338</v>
      </c>
      <c r="L327" s="33" t="s">
        <v>83</v>
      </c>
      <c r="M327" s="33" t="s">
        <v>84</v>
      </c>
      <c r="N327" s="33" t="s">
        <v>581</v>
      </c>
      <c r="P327" s="283">
        <v>38260</v>
      </c>
    </row>
    <row r="328" spans="7:16" ht="18" customHeight="1">
      <c r="G328" s="276">
        <v>3.7</v>
      </c>
      <c r="I328" s="36">
        <v>38260</v>
      </c>
      <c r="J328" s="33" t="s">
        <v>524</v>
      </c>
      <c r="L328" s="33" t="s">
        <v>377</v>
      </c>
      <c r="M328" s="33" t="s">
        <v>525</v>
      </c>
      <c r="N328" s="33" t="s">
        <v>581</v>
      </c>
      <c r="P328" s="283"/>
    </row>
    <row r="329" spans="7:16" ht="18" customHeight="1">
      <c r="G329" s="276">
        <v>3.6</v>
      </c>
      <c r="I329" s="36">
        <v>38155</v>
      </c>
      <c r="J329" s="33" t="s">
        <v>338</v>
      </c>
      <c r="L329" s="33" t="s">
        <v>526</v>
      </c>
      <c r="M329" s="33" t="s">
        <v>358</v>
      </c>
      <c r="N329" s="33" t="s">
        <v>581</v>
      </c>
      <c r="O329" s="34"/>
      <c r="P329" s="283">
        <v>38159</v>
      </c>
    </row>
    <row r="330" spans="7:16" ht="18" customHeight="1">
      <c r="G330" s="276">
        <v>3.6</v>
      </c>
      <c r="I330" s="36">
        <v>38154</v>
      </c>
      <c r="J330" s="33" t="s">
        <v>20</v>
      </c>
      <c r="L330" s="33" t="s">
        <v>21</v>
      </c>
      <c r="M330" s="33" t="s">
        <v>358</v>
      </c>
      <c r="N330" s="33" t="s">
        <v>581</v>
      </c>
      <c r="P330" s="283"/>
    </row>
    <row r="331" spans="7:16" ht="18" customHeight="1">
      <c r="G331" s="276">
        <v>3.6</v>
      </c>
      <c r="I331" s="36">
        <v>38154</v>
      </c>
      <c r="J331" s="33" t="s">
        <v>338</v>
      </c>
      <c r="L331" s="33" t="s">
        <v>19</v>
      </c>
      <c r="M331" s="33" t="s">
        <v>18</v>
      </c>
      <c r="N331" s="33" t="s">
        <v>581</v>
      </c>
      <c r="P331" s="283"/>
    </row>
    <row r="332" spans="7:16" ht="18" customHeight="1">
      <c r="G332" s="276">
        <v>3.6</v>
      </c>
      <c r="I332" s="36">
        <v>38154</v>
      </c>
      <c r="J332" s="33" t="s">
        <v>338</v>
      </c>
      <c r="L332" s="33" t="s">
        <v>22</v>
      </c>
      <c r="M332" s="33" t="s">
        <v>18</v>
      </c>
      <c r="N332" s="33" t="s">
        <v>581</v>
      </c>
      <c r="P332" s="283"/>
    </row>
    <row r="333" spans="7:16" ht="18" customHeight="1">
      <c r="G333" s="276">
        <v>3.6</v>
      </c>
      <c r="I333" s="36">
        <v>38152</v>
      </c>
      <c r="J333" s="33" t="s">
        <v>146</v>
      </c>
      <c r="L333" s="33" t="s">
        <v>147</v>
      </c>
      <c r="M333" s="33" t="s">
        <v>358</v>
      </c>
      <c r="N333" s="33" t="s">
        <v>581</v>
      </c>
      <c r="P333" s="283"/>
    </row>
    <row r="334" spans="7:16" ht="18" customHeight="1">
      <c r="G334" s="276">
        <v>3.5</v>
      </c>
      <c r="I334" s="36">
        <v>38148</v>
      </c>
      <c r="J334" s="33" t="s">
        <v>524</v>
      </c>
      <c r="L334" s="33" t="s">
        <v>435</v>
      </c>
      <c r="M334" s="33" t="s">
        <v>16</v>
      </c>
      <c r="N334" s="33" t="s">
        <v>581</v>
      </c>
      <c r="P334" s="283">
        <v>38148</v>
      </c>
    </row>
    <row r="335" spans="7:16" ht="18" customHeight="1">
      <c r="G335" s="276">
        <v>3.3</v>
      </c>
      <c r="I335" s="36">
        <v>38135</v>
      </c>
      <c r="J335" s="33" t="s">
        <v>304</v>
      </c>
      <c r="L335" s="33" t="s">
        <v>65</v>
      </c>
      <c r="M335" s="33" t="s">
        <v>358</v>
      </c>
      <c r="N335" s="33" t="s">
        <v>581</v>
      </c>
      <c r="P335" s="283">
        <v>38147</v>
      </c>
    </row>
    <row r="336" spans="7:16" ht="18" customHeight="1">
      <c r="G336" s="276">
        <v>3.3</v>
      </c>
      <c r="I336" s="36">
        <v>38110</v>
      </c>
      <c r="J336" s="33" t="s">
        <v>338</v>
      </c>
      <c r="L336" s="33" t="s">
        <v>329</v>
      </c>
      <c r="M336" s="33" t="s">
        <v>358</v>
      </c>
      <c r="N336" s="33" t="s">
        <v>581</v>
      </c>
    </row>
    <row r="337" spans="7:16" ht="18" customHeight="1">
      <c r="G337" s="276">
        <v>3.3</v>
      </c>
      <c r="I337" s="36">
        <v>38096</v>
      </c>
      <c r="J337" s="33" t="s">
        <v>81</v>
      </c>
      <c r="L337" s="33" t="s">
        <v>82</v>
      </c>
      <c r="M337" s="33" t="s">
        <v>358</v>
      </c>
      <c r="N337" s="33" t="s">
        <v>581</v>
      </c>
    </row>
    <row r="338" spans="7:16" ht="18" customHeight="1">
      <c r="G338" s="276">
        <v>3.3</v>
      </c>
      <c r="I338" s="36">
        <v>38084</v>
      </c>
      <c r="J338" s="33" t="s">
        <v>301</v>
      </c>
      <c r="L338" s="33" t="s">
        <v>373</v>
      </c>
      <c r="M338" s="33" t="s">
        <v>358</v>
      </c>
      <c r="N338" s="33" t="s">
        <v>581</v>
      </c>
    </row>
    <row r="339" spans="7:16" ht="18" customHeight="1">
      <c r="G339" s="276">
        <v>3.3</v>
      </c>
      <c r="I339" s="36">
        <v>38084</v>
      </c>
      <c r="J339" s="33" t="s">
        <v>301</v>
      </c>
      <c r="L339" s="33" t="s">
        <v>372</v>
      </c>
      <c r="M339" s="33" t="s">
        <v>358</v>
      </c>
      <c r="N339" s="33" t="s">
        <v>581</v>
      </c>
    </row>
    <row r="340" spans="7:16" ht="18" customHeight="1">
      <c r="G340" s="276">
        <v>3.3</v>
      </c>
      <c r="I340" s="36">
        <v>38079</v>
      </c>
      <c r="J340" s="33" t="s">
        <v>338</v>
      </c>
      <c r="L340" s="33" t="s">
        <v>24</v>
      </c>
      <c r="M340" s="33" t="s">
        <v>358</v>
      </c>
      <c r="N340" s="33" t="s">
        <v>581</v>
      </c>
    </row>
    <row r="341" spans="7:16" ht="18" customHeight="1">
      <c r="G341" s="276">
        <v>3.3</v>
      </c>
      <c r="I341" s="36">
        <v>38077</v>
      </c>
      <c r="J341" s="33" t="s">
        <v>304</v>
      </c>
      <c r="L341" s="33" t="s">
        <v>159</v>
      </c>
      <c r="M341" s="33" t="s">
        <v>160</v>
      </c>
      <c r="N341" s="33" t="s">
        <v>581</v>
      </c>
    </row>
    <row r="342" spans="7:16" ht="18" customHeight="1">
      <c r="G342" s="276">
        <v>3.2</v>
      </c>
      <c r="I342" s="36">
        <v>38071</v>
      </c>
      <c r="J342" s="36" t="s">
        <v>70</v>
      </c>
      <c r="K342" s="283"/>
      <c r="L342" s="63" t="s">
        <v>705</v>
      </c>
      <c r="M342" s="33" t="s">
        <v>312</v>
      </c>
      <c r="N342" s="33" t="s">
        <v>581</v>
      </c>
      <c r="P342" s="283">
        <v>38077</v>
      </c>
    </row>
    <row r="343" spans="7:16" ht="18" customHeight="1">
      <c r="G343" s="276">
        <v>3.2</v>
      </c>
      <c r="I343" s="36">
        <v>38071</v>
      </c>
      <c r="J343" s="36" t="s">
        <v>70</v>
      </c>
      <c r="K343" s="283"/>
      <c r="L343" s="33" t="s">
        <v>77</v>
      </c>
      <c r="M343" s="33" t="s">
        <v>312</v>
      </c>
      <c r="N343" s="33" t="s">
        <v>581</v>
      </c>
    </row>
    <row r="344" spans="7:16" ht="18" customHeight="1">
      <c r="G344" s="276">
        <v>3.2</v>
      </c>
      <c r="I344" s="36">
        <v>38071</v>
      </c>
      <c r="J344" s="36" t="s">
        <v>70</v>
      </c>
      <c r="K344" s="283"/>
      <c r="L344" s="33" t="s">
        <v>76</v>
      </c>
      <c r="M344" s="33" t="s">
        <v>312</v>
      </c>
      <c r="N344" s="33" t="s">
        <v>581</v>
      </c>
    </row>
    <row r="345" spans="7:16" ht="18" customHeight="1">
      <c r="G345" s="276">
        <v>3.2</v>
      </c>
      <c r="I345" s="36">
        <v>38071</v>
      </c>
      <c r="J345" s="36" t="s">
        <v>70</v>
      </c>
      <c r="K345" s="283"/>
      <c r="L345" s="33" t="s">
        <v>75</v>
      </c>
      <c r="M345" s="33" t="s">
        <v>312</v>
      </c>
      <c r="N345" s="33" t="s">
        <v>581</v>
      </c>
    </row>
    <row r="346" spans="7:16" ht="18" customHeight="1">
      <c r="G346" s="276">
        <v>3.2</v>
      </c>
      <c r="I346" s="36">
        <v>38071</v>
      </c>
      <c r="J346" s="36" t="s">
        <v>70</v>
      </c>
      <c r="K346" s="283"/>
      <c r="L346" s="33" t="s">
        <v>74</v>
      </c>
      <c r="M346" s="33" t="s">
        <v>312</v>
      </c>
      <c r="N346" s="33" t="s">
        <v>581</v>
      </c>
    </row>
    <row r="347" spans="7:16" ht="18" customHeight="1">
      <c r="G347" s="276">
        <v>3.2</v>
      </c>
      <c r="I347" s="36">
        <v>38071</v>
      </c>
      <c r="J347" s="36" t="s">
        <v>70</v>
      </c>
      <c r="K347" s="283"/>
      <c r="L347" s="63" t="s">
        <v>706</v>
      </c>
      <c r="M347" s="33" t="s">
        <v>312</v>
      </c>
      <c r="N347" s="33" t="s">
        <v>581</v>
      </c>
    </row>
    <row r="348" spans="7:16" ht="18" customHeight="1">
      <c r="G348" s="276">
        <v>3.2</v>
      </c>
      <c r="I348" s="36">
        <v>38071</v>
      </c>
      <c r="J348" s="36" t="s">
        <v>70</v>
      </c>
      <c r="K348" s="283"/>
      <c r="L348" s="33" t="s">
        <v>73</v>
      </c>
      <c r="M348" s="33" t="s">
        <v>312</v>
      </c>
      <c r="N348" s="33" t="s">
        <v>581</v>
      </c>
    </row>
    <row r="349" spans="7:16" ht="18" customHeight="1">
      <c r="G349" s="276">
        <v>3.2</v>
      </c>
      <c r="I349" s="36">
        <v>38071</v>
      </c>
      <c r="J349" s="36" t="s">
        <v>70</v>
      </c>
      <c r="K349" s="283"/>
      <c r="L349" s="33" t="s">
        <v>72</v>
      </c>
      <c r="M349" s="33" t="s">
        <v>312</v>
      </c>
      <c r="N349" s="33" t="s">
        <v>581</v>
      </c>
    </row>
    <row r="350" spans="7:16" ht="18" customHeight="1">
      <c r="G350" s="276">
        <v>3.2</v>
      </c>
      <c r="I350" s="36">
        <v>38071</v>
      </c>
      <c r="J350" s="36" t="s">
        <v>70</v>
      </c>
      <c r="K350" s="283"/>
      <c r="L350" s="33" t="s">
        <v>59</v>
      </c>
      <c r="M350" s="33" t="s">
        <v>312</v>
      </c>
      <c r="N350" s="33" t="s">
        <v>581</v>
      </c>
    </row>
    <row r="351" spans="7:16" ht="18" customHeight="1">
      <c r="G351" s="276">
        <v>3.2</v>
      </c>
      <c r="I351" s="36">
        <v>38071</v>
      </c>
      <c r="J351" s="36" t="s">
        <v>70</v>
      </c>
      <c r="K351" s="283"/>
      <c r="L351" s="33" t="s">
        <v>71</v>
      </c>
      <c r="M351" s="33" t="s">
        <v>312</v>
      </c>
      <c r="N351" s="33" t="s">
        <v>581</v>
      </c>
    </row>
    <row r="352" spans="7:16" ht="18" customHeight="1">
      <c r="G352" s="276">
        <v>3.2</v>
      </c>
      <c r="I352" s="36">
        <v>38071</v>
      </c>
      <c r="J352" s="36" t="s">
        <v>60</v>
      </c>
      <c r="K352" s="283"/>
      <c r="L352" s="33" t="s">
        <v>69</v>
      </c>
      <c r="M352" s="33" t="s">
        <v>312</v>
      </c>
      <c r="N352" s="33" t="s">
        <v>581</v>
      </c>
    </row>
    <row r="353" spans="7:17" ht="18" customHeight="1">
      <c r="G353" s="276">
        <v>3.2</v>
      </c>
      <c r="I353" s="36">
        <v>38071</v>
      </c>
      <c r="J353" s="36" t="s">
        <v>60</v>
      </c>
      <c r="K353" s="283"/>
      <c r="L353" s="33" t="s">
        <v>68</v>
      </c>
      <c r="M353" s="33" t="s">
        <v>312</v>
      </c>
      <c r="N353" s="33" t="s">
        <v>581</v>
      </c>
    </row>
    <row r="354" spans="7:17" ht="18" customHeight="1">
      <c r="G354" s="276">
        <v>3.2</v>
      </c>
      <c r="I354" s="36">
        <v>38071</v>
      </c>
      <c r="J354" s="36" t="s">
        <v>60</v>
      </c>
      <c r="K354" s="283"/>
      <c r="L354" s="33" t="s">
        <v>67</v>
      </c>
      <c r="M354" s="33" t="s">
        <v>312</v>
      </c>
      <c r="N354" s="33" t="s">
        <v>581</v>
      </c>
    </row>
    <row r="355" spans="7:17" ht="18" customHeight="1">
      <c r="G355" s="276">
        <v>3.2</v>
      </c>
      <c r="I355" s="36">
        <v>38071</v>
      </c>
      <c r="J355" s="36" t="s">
        <v>60</v>
      </c>
      <c r="K355" s="283"/>
      <c r="L355" s="33" t="s">
        <v>64</v>
      </c>
      <c r="M355" s="33" t="s">
        <v>312</v>
      </c>
      <c r="N355" s="33" t="s">
        <v>581</v>
      </c>
    </row>
    <row r="356" spans="7:17" ht="18" customHeight="1">
      <c r="G356" s="276">
        <v>3.2</v>
      </c>
      <c r="I356" s="36">
        <v>38071</v>
      </c>
      <c r="J356" s="36" t="s">
        <v>60</v>
      </c>
      <c r="K356" s="283"/>
      <c r="L356" s="33" t="s">
        <v>63</v>
      </c>
      <c r="M356" s="33" t="s">
        <v>312</v>
      </c>
      <c r="N356" s="33" t="s">
        <v>581</v>
      </c>
    </row>
    <row r="357" spans="7:17" ht="18" customHeight="1">
      <c r="G357" s="276">
        <v>3.2</v>
      </c>
      <c r="I357" s="36">
        <v>38071</v>
      </c>
      <c r="J357" s="36" t="s">
        <v>60</v>
      </c>
      <c r="K357" s="283"/>
      <c r="L357" s="33" t="s">
        <v>62</v>
      </c>
      <c r="M357" s="33" t="s">
        <v>312</v>
      </c>
      <c r="N357" s="33" t="s">
        <v>581</v>
      </c>
      <c r="Q357" s="34"/>
    </row>
    <row r="358" spans="7:17" ht="18" customHeight="1">
      <c r="G358" s="276">
        <v>3.2</v>
      </c>
      <c r="I358" s="36">
        <v>38071</v>
      </c>
      <c r="J358" s="36" t="s">
        <v>60</v>
      </c>
      <c r="K358" s="283"/>
      <c r="L358" s="33" t="s">
        <v>61</v>
      </c>
      <c r="M358" s="33" t="s">
        <v>312</v>
      </c>
      <c r="N358" s="33" t="s">
        <v>581</v>
      </c>
    </row>
    <row r="359" spans="7:17" ht="18" customHeight="1">
      <c r="G359" s="276">
        <v>3.2</v>
      </c>
      <c r="I359" s="36">
        <v>38071</v>
      </c>
      <c r="J359" s="36" t="s">
        <v>60</v>
      </c>
      <c r="K359" s="283"/>
      <c r="L359" s="33" t="s">
        <v>59</v>
      </c>
      <c r="M359" s="33" t="s">
        <v>312</v>
      </c>
      <c r="N359" s="33" t="s">
        <v>581</v>
      </c>
    </row>
    <row r="360" spans="7:17" ht="18" customHeight="1">
      <c r="G360" s="276">
        <v>3.2</v>
      </c>
      <c r="I360" s="36">
        <v>38071</v>
      </c>
      <c r="J360" s="36" t="s">
        <v>155</v>
      </c>
      <c r="K360" s="283"/>
      <c r="L360" s="33" t="s">
        <v>58</v>
      </c>
      <c r="M360" s="33" t="s">
        <v>312</v>
      </c>
      <c r="N360" s="33" t="s">
        <v>581</v>
      </c>
    </row>
    <row r="361" spans="7:17" ht="18" customHeight="1">
      <c r="G361" s="276">
        <v>3.2</v>
      </c>
      <c r="I361" s="36">
        <v>38071</v>
      </c>
      <c r="J361" s="36" t="s">
        <v>155</v>
      </c>
      <c r="K361" s="283"/>
      <c r="L361" s="33" t="s">
        <v>57</v>
      </c>
      <c r="M361" s="33" t="s">
        <v>312</v>
      </c>
      <c r="N361" s="33" t="s">
        <v>581</v>
      </c>
    </row>
    <row r="362" spans="7:17" ht="18" customHeight="1">
      <c r="G362" s="276">
        <v>3.2</v>
      </c>
      <c r="I362" s="36">
        <v>38071</v>
      </c>
      <c r="J362" s="36" t="s">
        <v>155</v>
      </c>
      <c r="K362" s="283"/>
      <c r="L362" s="33" t="s">
        <v>56</v>
      </c>
      <c r="M362" s="33" t="s">
        <v>312</v>
      </c>
      <c r="N362" s="33" t="s">
        <v>581</v>
      </c>
    </row>
    <row r="363" spans="7:17" ht="18" customHeight="1">
      <c r="G363" s="276">
        <v>3.2</v>
      </c>
      <c r="I363" s="36">
        <v>38071</v>
      </c>
      <c r="J363" s="36" t="s">
        <v>155</v>
      </c>
      <c r="K363" s="283"/>
      <c r="L363" s="33" t="s">
        <v>55</v>
      </c>
      <c r="M363" s="33" t="s">
        <v>312</v>
      </c>
      <c r="N363" s="33" t="s">
        <v>581</v>
      </c>
    </row>
    <row r="364" spans="7:17" ht="18" customHeight="1">
      <c r="G364" s="276">
        <v>3.2</v>
      </c>
      <c r="I364" s="36">
        <v>38071</v>
      </c>
      <c r="J364" s="36" t="s">
        <v>155</v>
      </c>
      <c r="K364" s="283"/>
      <c r="L364" s="33" t="s">
        <v>54</v>
      </c>
      <c r="M364" s="33" t="s">
        <v>312</v>
      </c>
      <c r="N364" s="33" t="s">
        <v>581</v>
      </c>
    </row>
    <row r="365" spans="7:17" ht="18" customHeight="1">
      <c r="G365" s="276">
        <v>3.2</v>
      </c>
      <c r="I365" s="36">
        <v>38071</v>
      </c>
      <c r="J365" s="36" t="s">
        <v>155</v>
      </c>
      <c r="K365" s="283"/>
      <c r="L365" s="63" t="s">
        <v>25</v>
      </c>
      <c r="M365" s="33" t="s">
        <v>312</v>
      </c>
      <c r="N365" s="33" t="s">
        <v>581</v>
      </c>
    </row>
    <row r="366" spans="7:17" ht="18" customHeight="1">
      <c r="G366" s="276">
        <v>3.2</v>
      </c>
      <c r="I366" s="36">
        <v>38071</v>
      </c>
      <c r="J366" s="36" t="s">
        <v>155</v>
      </c>
      <c r="K366" s="283"/>
      <c r="L366" s="33" t="s">
        <v>53</v>
      </c>
      <c r="M366" s="33" t="s">
        <v>312</v>
      </c>
      <c r="N366" s="33" t="s">
        <v>581</v>
      </c>
    </row>
    <row r="367" spans="7:17" ht="18" customHeight="1">
      <c r="G367" s="276">
        <v>3.2</v>
      </c>
      <c r="I367" s="36">
        <v>38071</v>
      </c>
      <c r="J367" s="36" t="s">
        <v>34</v>
      </c>
      <c r="K367" s="283"/>
      <c r="L367" s="33" t="s">
        <v>51</v>
      </c>
      <c r="M367" s="33" t="s">
        <v>52</v>
      </c>
      <c r="N367" s="33" t="s">
        <v>581</v>
      </c>
    </row>
    <row r="368" spans="7:17" ht="18" customHeight="1">
      <c r="G368" s="276">
        <v>3.2</v>
      </c>
      <c r="I368" s="36">
        <v>38071</v>
      </c>
      <c r="J368" s="36" t="s">
        <v>155</v>
      </c>
      <c r="K368" s="283"/>
      <c r="L368" s="33" t="s">
        <v>296</v>
      </c>
      <c r="M368" s="33" t="s">
        <v>312</v>
      </c>
      <c r="N368" s="33" t="s">
        <v>581</v>
      </c>
    </row>
    <row r="369" spans="7:16" ht="18" customHeight="1">
      <c r="G369" s="276">
        <v>3.2</v>
      </c>
      <c r="I369" s="36">
        <v>38069</v>
      </c>
      <c r="J369" s="36" t="s">
        <v>155</v>
      </c>
      <c r="K369" s="283"/>
      <c r="L369" s="33" t="s">
        <v>297</v>
      </c>
      <c r="M369" s="33" t="s">
        <v>50</v>
      </c>
      <c r="N369" s="33" t="s">
        <v>581</v>
      </c>
    </row>
    <row r="370" spans="7:16" ht="18" customHeight="1">
      <c r="G370" s="276">
        <v>3.2</v>
      </c>
      <c r="I370" s="36">
        <v>38069</v>
      </c>
      <c r="J370" s="36" t="s">
        <v>155</v>
      </c>
      <c r="K370" s="283"/>
      <c r="L370" s="33" t="s">
        <v>37</v>
      </c>
      <c r="M370" s="33" t="s">
        <v>50</v>
      </c>
      <c r="N370" s="33" t="s">
        <v>581</v>
      </c>
    </row>
    <row r="371" spans="7:16" ht="18" customHeight="1">
      <c r="G371" s="276">
        <v>3.2</v>
      </c>
      <c r="I371" s="36">
        <v>38069</v>
      </c>
      <c r="J371" s="36" t="s">
        <v>155</v>
      </c>
      <c r="K371" s="283"/>
      <c r="L371" s="33" t="s">
        <v>298</v>
      </c>
      <c r="M371" s="33" t="s">
        <v>50</v>
      </c>
      <c r="N371" s="33" t="s">
        <v>581</v>
      </c>
    </row>
    <row r="372" spans="7:16" ht="18" customHeight="1">
      <c r="G372" s="276">
        <v>3.2</v>
      </c>
      <c r="I372" s="36">
        <v>38069</v>
      </c>
      <c r="J372" s="36" t="s">
        <v>155</v>
      </c>
      <c r="K372" s="283"/>
      <c r="L372" s="33" t="s">
        <v>299</v>
      </c>
      <c r="M372" s="33" t="s">
        <v>50</v>
      </c>
      <c r="N372" s="33" t="s">
        <v>581</v>
      </c>
    </row>
    <row r="373" spans="7:16" ht="18" customHeight="1">
      <c r="G373" s="276">
        <v>3.2</v>
      </c>
      <c r="I373" s="36">
        <v>38069</v>
      </c>
      <c r="J373" s="36" t="s">
        <v>155</v>
      </c>
      <c r="K373" s="283"/>
      <c r="L373" s="33" t="s">
        <v>8</v>
      </c>
      <c r="M373" s="33" t="s">
        <v>50</v>
      </c>
      <c r="N373" s="33" t="s">
        <v>581</v>
      </c>
    </row>
    <row r="374" spans="7:16" ht="18" customHeight="1">
      <c r="G374" s="276">
        <v>3.2</v>
      </c>
      <c r="I374" s="36">
        <v>38069</v>
      </c>
      <c r="J374" s="36" t="s">
        <v>155</v>
      </c>
      <c r="K374" s="283"/>
      <c r="L374" s="33" t="s">
        <v>300</v>
      </c>
      <c r="M374" s="33" t="s">
        <v>50</v>
      </c>
      <c r="N374" s="33" t="s">
        <v>581</v>
      </c>
    </row>
    <row r="375" spans="7:16" ht="18" customHeight="1">
      <c r="G375" s="276">
        <v>3.1</v>
      </c>
      <c r="I375" s="36">
        <v>38068</v>
      </c>
      <c r="J375" s="36" t="s">
        <v>338</v>
      </c>
      <c r="K375" s="283"/>
      <c r="L375" s="33" t="s">
        <v>15</v>
      </c>
      <c r="M375" s="33" t="s">
        <v>17</v>
      </c>
      <c r="N375" s="33" t="s">
        <v>581</v>
      </c>
    </row>
    <row r="376" spans="7:16" ht="18" customHeight="1">
      <c r="G376" s="276">
        <v>3.1</v>
      </c>
      <c r="I376" s="36">
        <v>38068</v>
      </c>
      <c r="J376" s="36"/>
      <c r="K376" s="283"/>
      <c r="L376" s="33" t="s">
        <v>38</v>
      </c>
      <c r="M376" s="33" t="s">
        <v>16</v>
      </c>
      <c r="N376" s="33" t="s">
        <v>581</v>
      </c>
    </row>
    <row r="377" spans="7:16" ht="18" customHeight="1">
      <c r="G377" s="276">
        <v>3.1</v>
      </c>
      <c r="I377" s="36">
        <v>38068</v>
      </c>
      <c r="J377" s="36"/>
      <c r="K377" s="283"/>
      <c r="L377" s="33" t="s">
        <v>370</v>
      </c>
      <c r="M377" s="33" t="s">
        <v>16</v>
      </c>
      <c r="N377" s="33" t="s">
        <v>581</v>
      </c>
    </row>
    <row r="378" spans="7:16" ht="18" customHeight="1">
      <c r="G378" s="276">
        <v>3.1</v>
      </c>
      <c r="I378" s="36">
        <v>38068</v>
      </c>
      <c r="J378" s="36"/>
      <c r="K378" s="283"/>
      <c r="L378" s="33" t="s">
        <v>39</v>
      </c>
      <c r="M378" s="33" t="s">
        <v>16</v>
      </c>
      <c r="N378" s="33" t="s">
        <v>581</v>
      </c>
    </row>
    <row r="379" spans="7:16" ht="18" customHeight="1">
      <c r="G379" s="276">
        <v>3.1</v>
      </c>
      <c r="I379" s="36">
        <v>38068</v>
      </c>
      <c r="J379" s="36"/>
      <c r="K379" s="283"/>
      <c r="L379" s="33" t="s">
        <v>368</v>
      </c>
      <c r="M379" s="33" t="s">
        <v>16</v>
      </c>
      <c r="N379" s="33" t="s">
        <v>581</v>
      </c>
    </row>
    <row r="380" spans="7:16" ht="18" customHeight="1">
      <c r="G380" s="276">
        <v>3.1</v>
      </c>
      <c r="I380" s="36">
        <v>38068</v>
      </c>
      <c r="J380" s="36"/>
      <c r="K380" s="283"/>
      <c r="L380" s="33" t="s">
        <v>40</v>
      </c>
      <c r="M380" s="33" t="s">
        <v>16</v>
      </c>
      <c r="N380" s="33" t="s">
        <v>581</v>
      </c>
    </row>
    <row r="381" spans="7:16" ht="18" customHeight="1">
      <c r="G381" s="276">
        <v>3.1</v>
      </c>
      <c r="I381" s="36">
        <v>38068</v>
      </c>
      <c r="J381" s="36"/>
      <c r="K381" s="283"/>
      <c r="L381" s="33" t="s">
        <v>41</v>
      </c>
      <c r="M381" s="33" t="s">
        <v>16</v>
      </c>
      <c r="N381" s="33" t="s">
        <v>581</v>
      </c>
      <c r="O381" s="34"/>
      <c r="P381" s="282"/>
    </row>
    <row r="382" spans="7:16" ht="18" customHeight="1">
      <c r="G382" s="276">
        <v>3.1</v>
      </c>
      <c r="I382" s="36">
        <v>38068</v>
      </c>
      <c r="J382" s="36"/>
      <c r="K382" s="283"/>
      <c r="L382" s="33" t="s">
        <v>367</v>
      </c>
      <c r="M382" s="33" t="s">
        <v>16</v>
      </c>
      <c r="N382" s="33" t="s">
        <v>581</v>
      </c>
    </row>
    <row r="383" spans="7:16" ht="18" customHeight="1">
      <c r="G383" s="276">
        <v>3.1</v>
      </c>
      <c r="I383" s="36">
        <v>38068</v>
      </c>
      <c r="J383" s="36"/>
      <c r="K383" s="283"/>
      <c r="L383" s="33" t="s">
        <v>366</v>
      </c>
      <c r="M383" s="33" t="s">
        <v>16</v>
      </c>
      <c r="N383" s="33" t="s">
        <v>581</v>
      </c>
    </row>
    <row r="384" spans="7:16" ht="18" customHeight="1">
      <c r="G384" s="276">
        <v>3.1</v>
      </c>
      <c r="I384" s="36">
        <v>38058</v>
      </c>
      <c r="J384" s="36"/>
      <c r="K384" s="283"/>
      <c r="L384" s="33" t="s">
        <v>42</v>
      </c>
      <c r="M384" s="33" t="s">
        <v>358</v>
      </c>
      <c r="N384" s="33" t="s">
        <v>581</v>
      </c>
    </row>
    <row r="385" spans="7:15" ht="18" customHeight="1">
      <c r="G385" s="276">
        <v>3.1</v>
      </c>
      <c r="I385" s="36">
        <v>38058</v>
      </c>
      <c r="J385" s="36"/>
      <c r="K385" s="283"/>
      <c r="L385" s="33" t="s">
        <v>369</v>
      </c>
      <c r="M385" s="33" t="s">
        <v>358</v>
      </c>
      <c r="N385" s="33" t="s">
        <v>581</v>
      </c>
    </row>
    <row r="386" spans="7:15" ht="18" customHeight="1">
      <c r="G386" s="276">
        <v>3.1</v>
      </c>
      <c r="I386" s="36">
        <v>38058</v>
      </c>
      <c r="J386" s="36"/>
      <c r="K386" s="283"/>
      <c r="L386" s="33" t="s">
        <v>311</v>
      </c>
      <c r="M386" s="33" t="s">
        <v>312</v>
      </c>
      <c r="N386" s="33" t="s">
        <v>581</v>
      </c>
    </row>
    <row r="387" spans="7:15" ht="18" customHeight="1">
      <c r="G387" s="276">
        <v>3.1</v>
      </c>
      <c r="I387" s="36">
        <v>38058</v>
      </c>
      <c r="J387" s="36"/>
      <c r="K387" s="283"/>
      <c r="L387" s="33" t="s">
        <v>43</v>
      </c>
      <c r="M387" s="33" t="s">
        <v>309</v>
      </c>
      <c r="N387" s="33" t="s">
        <v>581</v>
      </c>
    </row>
    <row r="388" spans="7:15" ht="18" customHeight="1">
      <c r="G388" s="276">
        <v>3.1</v>
      </c>
      <c r="I388" s="36">
        <v>38058</v>
      </c>
      <c r="J388" s="36"/>
      <c r="K388" s="283"/>
      <c r="L388" s="33" t="s">
        <v>310</v>
      </c>
      <c r="M388" s="33" t="s">
        <v>309</v>
      </c>
      <c r="N388" s="33" t="s">
        <v>581</v>
      </c>
    </row>
    <row r="389" spans="7:15" ht="18" customHeight="1">
      <c r="G389" s="276">
        <v>3.1</v>
      </c>
      <c r="I389" s="36">
        <v>38058</v>
      </c>
      <c r="J389" s="36"/>
      <c r="K389" s="283"/>
      <c r="L389" s="33" t="s">
        <v>308</v>
      </c>
      <c r="M389" s="33" t="s">
        <v>309</v>
      </c>
      <c r="N389" s="33" t="s">
        <v>581</v>
      </c>
    </row>
    <row r="390" spans="7:15" ht="18" customHeight="1">
      <c r="G390" s="276">
        <v>3.1</v>
      </c>
      <c r="I390" s="36">
        <v>38058</v>
      </c>
      <c r="J390" s="36"/>
      <c r="K390" s="283"/>
      <c r="L390" s="33" t="s">
        <v>707</v>
      </c>
      <c r="M390" s="33" t="s">
        <v>309</v>
      </c>
      <c r="N390" s="33" t="s">
        <v>581</v>
      </c>
    </row>
    <row r="391" spans="7:15" ht="18" customHeight="1">
      <c r="G391" s="276">
        <v>3.1</v>
      </c>
      <c r="I391" s="36">
        <v>38058</v>
      </c>
      <c r="J391" s="36"/>
      <c r="K391" s="283"/>
      <c r="L391" s="33" t="s">
        <v>708</v>
      </c>
      <c r="M391" s="33" t="s">
        <v>353</v>
      </c>
      <c r="N391" s="33" t="s">
        <v>581</v>
      </c>
      <c r="O391" s="37" t="s">
        <v>78</v>
      </c>
    </row>
    <row r="392" spans="7:15" ht="18" customHeight="1">
      <c r="G392" s="276">
        <v>3</v>
      </c>
      <c r="I392" s="36">
        <v>38056</v>
      </c>
      <c r="J392" s="36" t="s">
        <v>36</v>
      </c>
      <c r="K392" s="283"/>
      <c r="L392" s="33" t="s">
        <v>14</v>
      </c>
      <c r="M392" s="33" t="s">
        <v>358</v>
      </c>
      <c r="N392" s="33" t="s">
        <v>581</v>
      </c>
    </row>
    <row r="393" spans="7:15" ht="18" customHeight="1">
      <c r="G393" s="276">
        <v>3</v>
      </c>
      <c r="I393" s="36">
        <v>38056</v>
      </c>
      <c r="J393" s="36" t="s">
        <v>35</v>
      </c>
      <c r="K393" s="283"/>
      <c r="L393" s="33" t="s">
        <v>12</v>
      </c>
      <c r="M393" s="33" t="s">
        <v>13</v>
      </c>
      <c r="N393" s="33" t="s">
        <v>581</v>
      </c>
    </row>
    <row r="394" spans="7:15" ht="18" customHeight="1">
      <c r="G394" s="276">
        <v>3</v>
      </c>
      <c r="I394" s="36">
        <v>38053</v>
      </c>
      <c r="J394" s="36" t="s">
        <v>34</v>
      </c>
      <c r="K394" s="283"/>
      <c r="L394" s="33" t="s">
        <v>357</v>
      </c>
      <c r="M394" s="33" t="s">
        <v>358</v>
      </c>
      <c r="N394" s="33" t="s">
        <v>581</v>
      </c>
    </row>
    <row r="395" spans="7:15" ht="18" customHeight="1">
      <c r="G395" s="276">
        <v>3</v>
      </c>
      <c r="I395" s="36">
        <v>38053</v>
      </c>
      <c r="J395" s="36" t="s">
        <v>338</v>
      </c>
      <c r="K395" s="283"/>
      <c r="L395" s="33" t="s">
        <v>44</v>
      </c>
      <c r="M395" s="33" t="s">
        <v>353</v>
      </c>
      <c r="N395" s="33" t="s">
        <v>581</v>
      </c>
    </row>
    <row r="396" spans="7:15" ht="18" customHeight="1">
      <c r="G396" s="276">
        <v>2.5</v>
      </c>
      <c r="I396" s="36">
        <v>38051</v>
      </c>
      <c r="J396" s="36" t="s">
        <v>338</v>
      </c>
      <c r="K396" s="283"/>
      <c r="L396" s="33" t="s">
        <v>45</v>
      </c>
      <c r="M396" s="33" t="s">
        <v>345</v>
      </c>
      <c r="N396" s="33" t="s">
        <v>581</v>
      </c>
    </row>
    <row r="397" spans="7:15" ht="18" customHeight="1">
      <c r="G397" s="276">
        <v>2.5</v>
      </c>
      <c r="I397" s="36">
        <v>38044</v>
      </c>
      <c r="J397" s="36" t="s">
        <v>338</v>
      </c>
      <c r="K397" s="283"/>
      <c r="L397" s="33" t="s">
        <v>151</v>
      </c>
      <c r="M397" s="33" t="s">
        <v>142</v>
      </c>
      <c r="N397" s="33" t="s">
        <v>581</v>
      </c>
    </row>
    <row r="398" spans="7:15" ht="18" customHeight="1">
      <c r="G398" s="276">
        <v>2.5</v>
      </c>
      <c r="I398" s="36">
        <v>38044</v>
      </c>
      <c r="J398" s="36" t="s">
        <v>304</v>
      </c>
      <c r="K398" s="283"/>
      <c r="L398" s="33" t="s">
        <v>46</v>
      </c>
      <c r="M398" s="33" t="s">
        <v>142</v>
      </c>
      <c r="N398" s="33" t="s">
        <v>581</v>
      </c>
    </row>
    <row r="399" spans="7:15" ht="18" customHeight="1">
      <c r="G399" s="276">
        <v>2.5</v>
      </c>
      <c r="I399" s="36">
        <v>38044</v>
      </c>
      <c r="J399" s="36" t="s">
        <v>338</v>
      </c>
      <c r="K399" s="283"/>
      <c r="L399" s="33" t="s">
        <v>150</v>
      </c>
      <c r="M399" s="33" t="s">
        <v>142</v>
      </c>
      <c r="N399" s="33" t="s">
        <v>581</v>
      </c>
    </row>
    <row r="400" spans="7:15" ht="18" customHeight="1">
      <c r="G400" s="276">
        <v>2.5</v>
      </c>
      <c r="I400" s="36">
        <v>38044</v>
      </c>
      <c r="J400" s="36" t="s">
        <v>304</v>
      </c>
      <c r="K400" s="283"/>
      <c r="L400" s="33" t="s">
        <v>149</v>
      </c>
      <c r="M400" s="33" t="s">
        <v>527</v>
      </c>
      <c r="N400" s="33" t="s">
        <v>581</v>
      </c>
    </row>
    <row r="401" spans="7:14" ht="18" customHeight="1">
      <c r="G401" s="276">
        <v>2.5</v>
      </c>
      <c r="I401" s="36">
        <v>38042</v>
      </c>
      <c r="J401" s="36" t="s">
        <v>338</v>
      </c>
      <c r="K401" s="283"/>
      <c r="L401" s="33" t="s">
        <v>31</v>
      </c>
      <c r="M401" s="33" t="s">
        <v>528</v>
      </c>
      <c r="N401" s="33" t="s">
        <v>581</v>
      </c>
    </row>
    <row r="402" spans="7:14" ht="18" customHeight="1">
      <c r="G402" s="276">
        <v>2.5</v>
      </c>
      <c r="I402" s="36">
        <v>38041</v>
      </c>
      <c r="J402" s="36" t="s">
        <v>338</v>
      </c>
      <c r="K402" s="283"/>
      <c r="L402" s="33" t="s">
        <v>354</v>
      </c>
      <c r="M402" s="33" t="s">
        <v>353</v>
      </c>
      <c r="N402" s="33" t="s">
        <v>581</v>
      </c>
    </row>
    <row r="403" spans="7:14" ht="18" customHeight="1">
      <c r="G403" s="276">
        <v>2.5</v>
      </c>
      <c r="I403" s="36">
        <v>38040</v>
      </c>
      <c r="J403" s="36" t="s">
        <v>340</v>
      </c>
      <c r="K403" s="283"/>
      <c r="L403" s="33" t="s">
        <v>351</v>
      </c>
      <c r="M403" s="33" t="s">
        <v>529</v>
      </c>
      <c r="N403" s="33" t="s">
        <v>581</v>
      </c>
    </row>
    <row r="404" spans="7:14" ht="18" customHeight="1">
      <c r="G404" s="276">
        <v>2.5</v>
      </c>
      <c r="I404" s="36">
        <v>38040</v>
      </c>
      <c r="J404" s="36" t="s">
        <v>303</v>
      </c>
      <c r="K404" s="283"/>
      <c r="L404" s="33" t="s">
        <v>47</v>
      </c>
      <c r="M404" s="33" t="s">
        <v>142</v>
      </c>
      <c r="N404" s="33" t="s">
        <v>581</v>
      </c>
    </row>
    <row r="405" spans="7:14" ht="18" customHeight="1">
      <c r="G405" s="276">
        <v>2.5</v>
      </c>
      <c r="I405" s="36">
        <v>38037</v>
      </c>
      <c r="J405" s="36" t="s">
        <v>338</v>
      </c>
      <c r="K405" s="283"/>
      <c r="L405" s="33" t="s">
        <v>48</v>
      </c>
      <c r="M405" s="33" t="s">
        <v>345</v>
      </c>
      <c r="N405" s="33" t="s">
        <v>581</v>
      </c>
    </row>
    <row r="406" spans="7:14" ht="18" customHeight="1">
      <c r="G406" s="276">
        <v>2.5</v>
      </c>
      <c r="I406" s="36">
        <v>38037</v>
      </c>
      <c r="J406" s="36" t="s">
        <v>338</v>
      </c>
      <c r="K406" s="283"/>
      <c r="L406" s="33" t="s">
        <v>302</v>
      </c>
      <c r="M406" s="33" t="s">
        <v>344</v>
      </c>
      <c r="N406" s="33" t="s">
        <v>581</v>
      </c>
    </row>
    <row r="407" spans="7:14" ht="18" customHeight="1">
      <c r="G407" s="276">
        <v>2.5</v>
      </c>
      <c r="I407" s="36">
        <v>38037</v>
      </c>
      <c r="J407" s="36" t="s">
        <v>301</v>
      </c>
      <c r="K407" s="283"/>
      <c r="L407" s="33" t="s">
        <v>49</v>
      </c>
      <c r="M407" s="33" t="s">
        <v>345</v>
      </c>
      <c r="N407" s="33" t="s">
        <v>581</v>
      </c>
    </row>
  </sheetData>
  <sheetProtection password="E6A8" sheet="1" objects="1" scenarios="1"/>
  <mergeCells count="6">
    <mergeCell ref="I1:I2"/>
    <mergeCell ref="P1:P2"/>
    <mergeCell ref="J1:J2"/>
    <mergeCell ref="L1:L2"/>
    <mergeCell ref="M1:M2"/>
    <mergeCell ref="O1:O2"/>
  </mergeCells>
  <phoneticPr fontId="0" type="noConversion"/>
  <pageMargins left="0.75" right="0.75" top="1" bottom="1" header="0.5" footer="0.5"/>
  <pageSetup scale="58" orientation="portrait" r:id="rId1"/>
  <headerFooter alignWithMargins="0">
    <oddFooter>&amp;C&amp;P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ransitionEvaluation="1" codeName="Sheet04"/>
  <dimension ref="A1:DB274"/>
  <sheetViews>
    <sheetView showGridLines="0" defaultGridColor="0" view="pageBreakPreview" topLeftCell="D1" colorId="22" zoomScale="75" zoomScaleNormal="75" zoomScaleSheetLayoutView="75" workbookViewId="0">
      <selection activeCell="D2" sqref="D2"/>
    </sheetView>
  </sheetViews>
  <sheetFormatPr defaultColWidth="0" defaultRowHeight="15.75" zeroHeight="1"/>
  <cols>
    <col min="1" max="1" width="4.33203125" style="20" customWidth="1"/>
    <col min="2" max="2" width="3.5546875" style="155" customWidth="1"/>
    <col min="3" max="3" width="7.77734375" style="155" customWidth="1"/>
    <col min="4" max="4" width="9.21875" style="20" customWidth="1"/>
    <col min="5" max="5" width="15.6640625" style="20" customWidth="1"/>
    <col min="6" max="7" width="7.77734375" style="20" customWidth="1"/>
    <col min="8" max="8" width="12.33203125" style="33" customWidth="1"/>
    <col min="9" max="9" width="37.6640625" style="20" customWidth="1"/>
    <col min="10" max="13" width="4.77734375" style="20" customWidth="1"/>
    <col min="14" max="14" width="6.5546875" style="155" customWidth="1"/>
    <col min="15" max="15" width="6.5546875" style="20" customWidth="1"/>
    <col min="16" max="16" width="9.6640625" style="20" customWidth="1"/>
    <col min="17" max="18" width="3.33203125" style="20" customWidth="1"/>
    <col min="19" max="22" width="11.21875" style="20" customWidth="1"/>
    <col min="23" max="37" width="10.109375" style="20" customWidth="1"/>
    <col min="38" max="41" width="6.5546875" style="20" customWidth="1"/>
    <col min="42" max="42" width="10.6640625" style="20" customWidth="1"/>
    <col min="43" max="46" width="6.5546875" style="20" customWidth="1"/>
    <col min="47" max="47" width="10.6640625" style="20" customWidth="1"/>
    <col min="48" max="48" width="8.33203125" style="20" bestFit="1" customWidth="1"/>
    <col min="49" max="49" width="2.77734375" style="20" customWidth="1"/>
    <col min="50" max="50" width="5.5546875" style="20" bestFit="1" customWidth="1"/>
    <col min="51" max="51" width="4.21875" style="20" customWidth="1"/>
    <col min="52" max="52" width="4.33203125" style="20" customWidth="1"/>
    <col min="53" max="53" width="20.109375" style="20" bestFit="1" customWidth="1"/>
    <col min="54" max="54" width="9.6640625" style="20" customWidth="1"/>
    <col min="55" max="55" width="16.77734375" style="20" bestFit="1" customWidth="1"/>
    <col min="56" max="56" width="20.109375" style="20" bestFit="1" customWidth="1"/>
    <col min="57" max="57" width="18.5546875" style="20" customWidth="1"/>
    <col min="58" max="58" width="13.88671875" style="20" customWidth="1"/>
    <col min="59" max="60" width="13.44140625" style="20" customWidth="1"/>
    <col min="61" max="61" width="7" style="20" customWidth="1"/>
    <col min="62" max="62" width="8.109375" style="20" bestFit="1" customWidth="1"/>
    <col min="63" max="63" width="8.33203125" style="20" bestFit="1" customWidth="1"/>
    <col min="64" max="64" width="19.6640625" style="20" customWidth="1"/>
    <col min="65" max="65" width="8.33203125" style="20" customWidth="1"/>
    <col min="66" max="68" width="28.44140625" style="20" customWidth="1"/>
    <col min="69" max="69" width="8.33203125" style="20" customWidth="1"/>
    <col min="70" max="72" width="19.6640625" style="20" hidden="1" customWidth="1"/>
    <col min="73" max="73" width="8.33203125" style="20" bestFit="1" customWidth="1"/>
    <col min="74" max="76" width="19.6640625" style="20" hidden="1" customWidth="1"/>
    <col min="77" max="77" width="38.21875" style="20" hidden="1" customWidth="1"/>
    <col min="78" max="87" width="9.5546875" style="20" hidden="1" customWidth="1"/>
    <col min="88" max="88" width="1.88671875" style="20" customWidth="1"/>
    <col min="89" max="93" width="9.5546875" style="20" customWidth="1"/>
    <col min="94" max="94" width="2.5546875" style="20" customWidth="1"/>
    <col min="95" max="95" width="25.88671875" style="23" customWidth="1"/>
    <col min="96" max="97" width="24.88671875" style="23" customWidth="1"/>
    <col min="98" max="98" width="20.88671875" style="23" customWidth="1"/>
    <col min="99" max="99" width="2.33203125" style="23" customWidth="1"/>
    <col min="100" max="100" width="21" style="145" customWidth="1"/>
    <col min="101" max="102" width="15.6640625" style="146" customWidth="1"/>
    <col min="103" max="103" width="15.6640625" style="20" customWidth="1"/>
    <col min="104" max="104" width="9.77734375" style="20" customWidth="1"/>
    <col min="105" max="106" width="9.77734375" style="23" customWidth="1"/>
    <col min="107" max="16384" width="9.77734375" style="20" hidden="1"/>
  </cols>
  <sheetData>
    <row r="1" spans="1:106" ht="15.75" customHeight="1" thickBot="1">
      <c r="A1" s="290"/>
      <c r="B1" s="291"/>
      <c r="C1" s="291"/>
      <c r="D1" s="292" t="str">
        <f>Version</f>
        <v>14.75 Version</v>
      </c>
      <c r="E1" s="290"/>
      <c r="F1" s="293"/>
      <c r="G1" s="293"/>
      <c r="H1" s="293"/>
      <c r="I1" s="293"/>
      <c r="J1" s="294"/>
      <c r="K1" s="295"/>
      <c r="L1" s="295"/>
      <c r="M1" s="295"/>
      <c r="N1" s="295"/>
      <c r="O1" s="295"/>
      <c r="P1" s="295"/>
      <c r="Q1" s="295"/>
      <c r="R1" s="295"/>
      <c r="S1" s="295"/>
      <c r="T1" s="295"/>
      <c r="U1" s="295"/>
      <c r="V1" s="295"/>
      <c r="W1" s="295"/>
      <c r="X1" s="295"/>
      <c r="Y1" s="295"/>
      <c r="Z1" s="295"/>
      <c r="AA1" s="295"/>
      <c r="AB1" s="295"/>
      <c r="AC1" s="295"/>
      <c r="AD1" s="295"/>
      <c r="AE1" s="295"/>
      <c r="AF1" s="295"/>
      <c r="AG1" s="295"/>
      <c r="AH1" s="295"/>
      <c r="AI1" s="403"/>
      <c r="AJ1" s="403"/>
      <c r="AK1" s="403"/>
      <c r="AL1" s="403"/>
      <c r="AM1" s="403"/>
      <c r="AN1" s="403"/>
      <c r="AO1" s="403"/>
      <c r="AP1" s="403"/>
      <c r="AQ1" s="403"/>
      <c r="AR1" s="403"/>
      <c r="AS1" s="403"/>
      <c r="AT1" s="403"/>
      <c r="AU1" s="403"/>
      <c r="AV1" s="403"/>
      <c r="AW1" s="296"/>
      <c r="AX1" s="296"/>
      <c r="AY1" s="296"/>
      <c r="AZ1" s="296"/>
      <c r="BA1" s="296"/>
      <c r="BB1" s="296"/>
      <c r="BC1" s="296"/>
      <c r="BD1" s="296"/>
      <c r="BE1" s="296"/>
      <c r="BF1" s="296"/>
      <c r="BG1" s="296"/>
      <c r="BH1" s="296"/>
      <c r="BI1" s="296"/>
      <c r="BJ1" s="296"/>
      <c r="BK1" s="296"/>
      <c r="BL1" s="296"/>
      <c r="BM1" s="296"/>
      <c r="BN1" s="296"/>
      <c r="BO1" s="296"/>
      <c r="BP1" s="296"/>
      <c r="BQ1" s="296"/>
      <c r="BR1" s="296"/>
      <c r="BS1" s="296"/>
      <c r="BT1" s="296"/>
      <c r="BU1" s="296"/>
      <c r="BV1" s="296"/>
      <c r="BW1" s="296"/>
      <c r="BX1" s="296"/>
      <c r="BY1" s="296"/>
      <c r="BZ1" s="296"/>
      <c r="CA1" s="296"/>
      <c r="CB1" s="296"/>
      <c r="CC1" s="296"/>
      <c r="CD1" s="296"/>
      <c r="CE1" s="296"/>
      <c r="CF1" s="296"/>
      <c r="CG1" s="296"/>
      <c r="CH1" s="296"/>
      <c r="CI1" s="296"/>
      <c r="CJ1" s="296"/>
      <c r="CK1" s="296"/>
      <c r="CL1" s="296"/>
      <c r="CM1" s="296"/>
      <c r="CN1" s="296"/>
      <c r="CO1" s="296"/>
      <c r="CP1" s="296"/>
      <c r="CQ1" s="175"/>
      <c r="CT1" s="144" t="s">
        <v>352</v>
      </c>
      <c r="DA1" s="423" t="s">
        <v>168</v>
      </c>
      <c r="DB1" s="23" t="s">
        <v>169</v>
      </c>
    </row>
    <row r="2" spans="1:106" ht="15.95" customHeight="1">
      <c r="A2" s="508" t="s">
        <v>161</v>
      </c>
      <c r="B2" s="508"/>
      <c r="C2" s="508"/>
      <c r="D2" s="297"/>
      <c r="E2" s="509" t="s">
        <v>313</v>
      </c>
      <c r="F2" s="510"/>
      <c r="G2" s="511"/>
      <c r="H2" s="512"/>
      <c r="I2" s="293"/>
      <c r="J2" s="298" t="s">
        <v>119</v>
      </c>
      <c r="K2" s="299"/>
      <c r="L2" s="299"/>
      <c r="M2" s="299"/>
      <c r="N2" s="300"/>
      <c r="O2" s="299"/>
      <c r="P2" s="299"/>
      <c r="Q2" s="299"/>
      <c r="R2" s="299"/>
      <c r="S2" s="301"/>
      <c r="T2" s="301"/>
      <c r="U2" s="301"/>
      <c r="V2" s="301"/>
      <c r="W2" s="298"/>
      <c r="X2" s="302"/>
      <c r="Y2" s="303"/>
      <c r="Z2" s="303"/>
      <c r="AA2" s="303"/>
      <c r="AB2" s="303"/>
      <c r="AC2" s="303"/>
      <c r="AD2" s="303"/>
      <c r="AE2" s="303"/>
      <c r="AF2" s="303"/>
      <c r="AG2" s="303"/>
      <c r="AH2" s="304"/>
      <c r="AI2" s="315"/>
      <c r="AJ2" s="315"/>
      <c r="AK2" s="315"/>
      <c r="AL2" s="315"/>
      <c r="AM2" s="315"/>
      <c r="AN2" s="315"/>
      <c r="AO2" s="315"/>
      <c r="AP2" s="315"/>
      <c r="AQ2" s="315"/>
      <c r="AR2" s="315"/>
      <c r="AS2" s="315"/>
      <c r="AT2" s="315"/>
      <c r="AU2" s="315"/>
      <c r="AV2" s="315"/>
      <c r="AW2" s="305"/>
      <c r="AX2" s="305"/>
      <c r="AY2" s="305"/>
      <c r="AZ2" s="305"/>
      <c r="BA2" s="305"/>
      <c r="BB2" s="305"/>
      <c r="BC2" s="305"/>
      <c r="BD2" s="305"/>
      <c r="BE2" s="305"/>
      <c r="BF2" s="305"/>
      <c r="BG2" s="305"/>
      <c r="BH2" s="305"/>
      <c r="BI2" s="305"/>
      <c r="BJ2" s="305"/>
      <c r="BK2" s="305"/>
      <c r="BL2" s="305"/>
      <c r="BM2" s="305"/>
      <c r="BN2" s="305"/>
      <c r="BO2" s="305"/>
      <c r="BP2" s="305"/>
      <c r="BQ2" s="305"/>
      <c r="BR2" s="305"/>
      <c r="BS2" s="305"/>
      <c r="BT2" s="305"/>
      <c r="BU2" s="305"/>
      <c r="BV2" s="305"/>
      <c r="BW2" s="305"/>
      <c r="BX2" s="305"/>
      <c r="BY2" s="305"/>
      <c r="BZ2" s="305"/>
      <c r="CA2" s="305"/>
      <c r="CB2" s="305"/>
      <c r="CC2" s="305"/>
      <c r="CD2" s="305"/>
      <c r="CE2" s="305"/>
      <c r="CF2" s="305"/>
      <c r="CG2" s="305"/>
      <c r="CH2" s="305"/>
      <c r="CI2" s="305"/>
      <c r="CJ2" s="305"/>
      <c r="CK2" s="305"/>
      <c r="CL2" s="305"/>
      <c r="CM2" s="305"/>
      <c r="CN2" s="305"/>
      <c r="CO2" s="305"/>
      <c r="CP2" s="305"/>
      <c r="CQ2" s="174"/>
      <c r="CS2" s="29" t="s">
        <v>334</v>
      </c>
      <c r="DA2" s="423" t="s">
        <v>253</v>
      </c>
      <c r="DB2" s="23">
        <v>1.5</v>
      </c>
    </row>
    <row r="3" spans="1:106" ht="24.95" customHeight="1" thickBot="1">
      <c r="A3" s="2" t="s">
        <v>86</v>
      </c>
      <c r="B3" s="518">
        <v>1</v>
      </c>
      <c r="C3" s="519"/>
      <c r="D3" s="8" t="s">
        <v>87</v>
      </c>
      <c r="E3" s="306"/>
      <c r="F3" s="307" t="s">
        <v>335</v>
      </c>
      <c r="G3" s="515"/>
      <c r="H3" s="516"/>
      <c r="I3" s="293"/>
      <c r="J3" s="534" t="s">
        <v>417</v>
      </c>
      <c r="K3" s="535"/>
      <c r="L3" s="535"/>
      <c r="M3" s="308"/>
      <c r="N3" s="309"/>
      <c r="O3" s="310"/>
      <c r="P3" s="310"/>
      <c r="Q3" s="310"/>
      <c r="R3" s="310"/>
      <c r="S3" s="310"/>
      <c r="T3" s="310"/>
      <c r="U3" s="311"/>
      <c r="V3" s="312"/>
      <c r="W3" s="313"/>
      <c r="X3" s="542" t="s">
        <v>148</v>
      </c>
      <c r="Y3" s="543"/>
      <c r="Z3" s="314"/>
      <c r="AA3" s="314"/>
      <c r="AB3" s="314"/>
      <c r="AC3" s="314"/>
      <c r="AD3" s="314"/>
      <c r="AE3" s="314"/>
      <c r="AF3" s="314"/>
      <c r="AG3" s="314"/>
      <c r="AH3" s="406"/>
      <c r="AI3" s="409"/>
      <c r="AJ3" s="409"/>
      <c r="AK3" s="401"/>
      <c r="AL3" s="315"/>
      <c r="AM3" s="315"/>
      <c r="AN3" s="315"/>
      <c r="AO3" s="316"/>
      <c r="AP3" s="317" t="s">
        <v>85</v>
      </c>
      <c r="AQ3" s="317"/>
      <c r="AR3" s="317"/>
      <c r="AS3" s="11" t="s">
        <v>85</v>
      </c>
      <c r="AT3" s="11"/>
      <c r="AU3" s="11"/>
      <c r="AV3" s="11"/>
      <c r="AW3" s="140"/>
      <c r="AX3" s="140"/>
      <c r="AY3" s="140"/>
      <c r="AZ3" s="140"/>
      <c r="BA3" s="140"/>
      <c r="BB3" s="140"/>
      <c r="BC3" s="140"/>
      <c r="BD3" s="140"/>
      <c r="BE3" s="140"/>
      <c r="BF3" s="140"/>
      <c r="BG3" s="140"/>
      <c r="BH3" s="140"/>
      <c r="BI3" s="140"/>
      <c r="BJ3" s="140"/>
      <c r="BK3" s="140"/>
      <c r="BL3" s="140"/>
      <c r="BM3" s="140"/>
      <c r="BN3" s="140"/>
      <c r="BO3" s="140"/>
      <c r="BP3" s="140"/>
      <c r="BQ3" s="140"/>
      <c r="BR3" s="140"/>
      <c r="BS3" s="140"/>
      <c r="BT3" s="140"/>
      <c r="BU3" s="140"/>
      <c r="BV3" s="140"/>
      <c r="BW3" s="140"/>
      <c r="BX3" s="140"/>
      <c r="BY3" s="140"/>
      <c r="BZ3" s="140"/>
      <c r="CA3" s="140"/>
      <c r="CB3" s="140"/>
      <c r="CC3" s="140"/>
      <c r="CD3" s="140"/>
      <c r="CE3" s="140"/>
      <c r="CF3" s="140"/>
      <c r="CG3" s="140"/>
      <c r="CH3" s="140"/>
      <c r="CI3" s="140"/>
      <c r="CJ3" s="140"/>
      <c r="CK3" s="140"/>
      <c r="CL3" s="140"/>
      <c r="CM3" s="140"/>
      <c r="CN3" s="140"/>
      <c r="CO3" s="140"/>
      <c r="CP3" s="140"/>
      <c r="CQ3" s="176"/>
      <c r="CR3" s="549" t="s">
        <v>503</v>
      </c>
      <c r="CS3" s="549" t="s">
        <v>292</v>
      </c>
      <c r="CV3" s="145" t="s">
        <v>30</v>
      </c>
      <c r="DA3" s="423" t="s">
        <v>254</v>
      </c>
      <c r="DB3" s="23">
        <v>0.75</v>
      </c>
    </row>
    <row r="4" spans="1:106" ht="30.75" thickTop="1">
      <c r="A4" s="513" t="s">
        <v>152</v>
      </c>
      <c r="B4" s="514"/>
      <c r="C4" s="514"/>
      <c r="D4" s="514"/>
      <c r="E4" s="319" t="str">
        <f>IF(N3="","",IF(N3="D",CV4,IF(N5="","Need "&amp;J5,IF(N5="S",CV4,""))))</f>
        <v/>
      </c>
      <c r="F4" s="517" t="s">
        <v>153</v>
      </c>
      <c r="G4" s="517"/>
      <c r="H4" s="320"/>
      <c r="I4" s="503" t="s">
        <v>88</v>
      </c>
      <c r="J4" s="504" t="s">
        <v>418</v>
      </c>
      <c r="K4" s="505"/>
      <c r="L4" s="505"/>
      <c r="M4" s="321"/>
      <c r="N4" s="322"/>
      <c r="O4" s="323"/>
      <c r="P4" s="323"/>
      <c r="Q4" s="324"/>
      <c r="R4" s="324"/>
      <c r="S4" s="325" t="s">
        <v>415</v>
      </c>
      <c r="T4" s="326"/>
      <c r="U4" s="327">
        <v>1</v>
      </c>
      <c r="V4" s="328"/>
      <c r="W4" s="313"/>
      <c r="X4" s="550"/>
      <c r="Y4" s="551"/>
      <c r="Z4" s="551"/>
      <c r="AA4" s="551"/>
      <c r="AB4" s="551"/>
      <c r="AC4" s="551"/>
      <c r="AD4" s="551"/>
      <c r="AE4" s="551"/>
      <c r="AF4" s="552"/>
      <c r="AG4" s="329"/>
      <c r="AH4" s="407"/>
      <c r="AI4" s="330"/>
      <c r="AJ4" s="330"/>
      <c r="AK4" s="330"/>
      <c r="AL4" s="331"/>
      <c r="AM4" s="331"/>
      <c r="AN4" s="331"/>
      <c r="AO4" s="331"/>
      <c r="AP4" s="331"/>
      <c r="AQ4" s="331"/>
      <c r="AR4" s="331"/>
      <c r="AS4" s="331"/>
      <c r="AT4" s="331"/>
      <c r="AU4" s="331"/>
      <c r="AV4" s="331"/>
      <c r="AW4" s="332"/>
      <c r="AX4" s="332"/>
      <c r="AY4" s="332"/>
      <c r="AZ4" s="333"/>
      <c r="BA4" s="333"/>
      <c r="BB4" s="334"/>
      <c r="BC4" s="334"/>
      <c r="BD4" s="332"/>
      <c r="BE4" s="332"/>
      <c r="BF4" s="332"/>
      <c r="BG4" s="332"/>
      <c r="BH4" s="332"/>
      <c r="BI4" s="332"/>
      <c r="BJ4" s="332"/>
      <c r="BK4" s="332"/>
      <c r="BL4" s="332"/>
      <c r="BM4" s="332"/>
      <c r="BN4" s="332"/>
      <c r="BO4" s="332"/>
      <c r="BP4" s="332"/>
      <c r="BQ4" s="332"/>
      <c r="BR4" s="332"/>
      <c r="BS4" s="332"/>
      <c r="BT4" s="332"/>
      <c r="BU4" s="332"/>
      <c r="BV4" s="332"/>
      <c r="BW4" s="332"/>
      <c r="BX4" s="332"/>
      <c r="BY4" s="332"/>
      <c r="BZ4" s="332"/>
      <c r="CA4" s="332"/>
      <c r="CB4" s="332"/>
      <c r="CC4" s="332"/>
      <c r="CD4" s="332"/>
      <c r="CE4" s="332"/>
      <c r="CF4" s="332"/>
      <c r="CG4" s="332"/>
      <c r="CH4" s="332"/>
      <c r="CI4" s="332"/>
      <c r="CJ4" s="332"/>
      <c r="CK4" s="332"/>
      <c r="CL4" s="332"/>
      <c r="CM4" s="332"/>
      <c r="CN4" s="332"/>
      <c r="CO4" s="332"/>
      <c r="CP4" s="332"/>
      <c r="CR4" s="549"/>
      <c r="CS4" s="549"/>
      <c r="CU4" s="415"/>
      <c r="CV4" s="145" t="s">
        <v>28</v>
      </c>
      <c r="DA4" s="423" t="s">
        <v>255</v>
      </c>
      <c r="DB4" s="23">
        <v>1.25</v>
      </c>
    </row>
    <row r="5" spans="1:106">
      <c r="A5" s="485" t="s">
        <v>323</v>
      </c>
      <c r="B5" s="486"/>
      <c r="C5" s="486"/>
      <c r="D5" s="486"/>
      <c r="E5" s="335" t="str">
        <f>IF(N3="","",IF(N3="D",CV4,IF(N5="","Need "&amp;J5,IF(N5="S",CV4,""))))</f>
        <v/>
      </c>
      <c r="F5" s="499"/>
      <c r="G5" s="499"/>
      <c r="H5" s="336"/>
      <c r="I5" s="503"/>
      <c r="J5" s="500" t="s">
        <v>157</v>
      </c>
      <c r="K5" s="502"/>
      <c r="L5" s="502"/>
      <c r="M5" s="337"/>
      <c r="N5" s="540"/>
      <c r="O5" s="540"/>
      <c r="P5" s="338"/>
      <c r="Q5" s="324"/>
      <c r="R5" s="324"/>
      <c r="S5" s="325" t="s">
        <v>416</v>
      </c>
      <c r="T5" s="326"/>
      <c r="U5" s="327">
        <v>1</v>
      </c>
      <c r="V5" s="328"/>
      <c r="W5" s="313"/>
      <c r="X5" s="553"/>
      <c r="Y5" s="554"/>
      <c r="Z5" s="554"/>
      <c r="AA5" s="554"/>
      <c r="AB5" s="554"/>
      <c r="AC5" s="554"/>
      <c r="AD5" s="554"/>
      <c r="AE5" s="554"/>
      <c r="AF5" s="555"/>
      <c r="AG5" s="329"/>
      <c r="AH5" s="407"/>
      <c r="AI5" s="330"/>
      <c r="AJ5" s="330"/>
      <c r="AK5" s="330"/>
      <c r="AL5" s="331"/>
      <c r="AM5" s="331"/>
      <c r="AN5" s="331"/>
      <c r="AO5" s="331"/>
      <c r="AP5" s="331"/>
      <c r="AQ5" s="331"/>
      <c r="AR5" s="331"/>
      <c r="AS5" s="331"/>
      <c r="AT5" s="331"/>
      <c r="AU5" s="331"/>
      <c r="AV5" s="331"/>
      <c r="AW5" s="332"/>
      <c r="AX5" s="332"/>
      <c r="AY5" s="332"/>
      <c r="AZ5" s="332"/>
      <c r="BA5" s="140"/>
      <c r="BB5" s="130"/>
      <c r="BC5" s="130"/>
      <c r="BD5" s="332"/>
      <c r="BE5" s="290"/>
      <c r="BF5" s="290"/>
      <c r="BG5" s="290"/>
      <c r="BH5" s="290"/>
      <c r="BI5" s="290"/>
      <c r="BJ5" s="290"/>
      <c r="BK5" s="290"/>
      <c r="BL5" s="290"/>
      <c r="BM5" s="290"/>
      <c r="BN5" s="290"/>
      <c r="BO5" s="290"/>
      <c r="BP5" s="290"/>
      <c r="BQ5" s="290"/>
      <c r="BR5" s="290"/>
      <c r="BS5" s="290"/>
      <c r="BT5" s="290"/>
      <c r="BU5" s="290"/>
      <c r="BV5" s="290"/>
      <c r="BW5" s="290"/>
      <c r="BX5" s="290"/>
      <c r="BY5" s="290"/>
      <c r="BZ5" s="290"/>
      <c r="CA5" s="290"/>
      <c r="CB5" s="290"/>
      <c r="CC5" s="290"/>
      <c r="CD5" s="290"/>
      <c r="CE5" s="290"/>
      <c r="CF5" s="290"/>
      <c r="CG5" s="290"/>
      <c r="CH5" s="290"/>
      <c r="CI5" s="290"/>
      <c r="CJ5" s="290"/>
      <c r="CK5" s="290"/>
      <c r="CL5" s="290"/>
      <c r="CM5" s="290"/>
      <c r="CN5" s="290"/>
      <c r="CO5" s="290"/>
      <c r="CP5" s="290"/>
      <c r="CR5" s="549"/>
      <c r="CS5" s="549"/>
      <c r="CT5" s="449" t="s">
        <v>734</v>
      </c>
      <c r="CU5" s="449"/>
      <c r="CV5" s="145" t="s">
        <v>29</v>
      </c>
      <c r="DA5" s="423" t="s">
        <v>256</v>
      </c>
      <c r="DB5" s="23">
        <v>2</v>
      </c>
    </row>
    <row r="6" spans="1:106">
      <c r="A6" s="485" t="s">
        <v>324</v>
      </c>
      <c r="B6" s="499"/>
      <c r="C6" s="499"/>
      <c r="D6" s="499"/>
      <c r="E6" s="335" t="str">
        <f>IF(N3="","",IF(N3="D",CV4,IF(N5="","Need "&amp;J5,IF(N5="S",CV4,""))))</f>
        <v/>
      </c>
      <c r="F6" s="499" t="s">
        <v>154</v>
      </c>
      <c r="G6" s="499"/>
      <c r="H6" s="339"/>
      <c r="I6" s="503"/>
      <c r="J6" s="500" t="s">
        <v>688</v>
      </c>
      <c r="K6" s="502"/>
      <c r="L6" s="502"/>
      <c r="M6" s="337"/>
      <c r="N6" s="539"/>
      <c r="O6" s="539"/>
      <c r="P6" s="338"/>
      <c r="Q6" s="324"/>
      <c r="R6" s="324"/>
      <c r="S6" s="340"/>
      <c r="T6" s="340"/>
      <c r="U6" s="341"/>
      <c r="V6" s="342"/>
      <c r="W6" s="313"/>
      <c r="X6" s="553"/>
      <c r="Y6" s="554"/>
      <c r="Z6" s="554"/>
      <c r="AA6" s="554"/>
      <c r="AB6" s="554"/>
      <c r="AC6" s="554"/>
      <c r="AD6" s="554"/>
      <c r="AE6" s="554"/>
      <c r="AF6" s="555"/>
      <c r="AG6" s="329"/>
      <c r="AH6" s="407"/>
      <c r="AI6" s="330"/>
      <c r="AJ6" s="330"/>
      <c r="AK6" s="330"/>
      <c r="AL6" s="331"/>
      <c r="AM6" s="331"/>
      <c r="AN6" s="331"/>
      <c r="AO6" s="331"/>
      <c r="AP6" s="331"/>
      <c r="AQ6" s="331"/>
      <c r="AR6" s="331"/>
      <c r="AS6" s="331"/>
      <c r="AT6" s="331"/>
      <c r="AU6" s="331"/>
      <c r="AV6" s="331"/>
      <c r="AW6" s="332"/>
      <c r="AX6" s="332"/>
      <c r="AY6" s="332"/>
      <c r="AZ6" s="333"/>
      <c r="BA6" s="333"/>
      <c r="BB6" s="334"/>
      <c r="BC6" s="334"/>
      <c r="BD6" s="332"/>
      <c r="BE6" s="290"/>
      <c r="BF6" s="290"/>
      <c r="BG6" s="290"/>
      <c r="BH6" s="290"/>
      <c r="BI6" s="290"/>
      <c r="BJ6" s="290"/>
      <c r="BK6" s="290"/>
      <c r="BL6" s="290"/>
      <c r="BM6" s="290"/>
      <c r="BN6" s="290"/>
      <c r="BO6" s="290"/>
      <c r="BP6" s="290"/>
      <c r="BQ6" s="290"/>
      <c r="BR6" s="290"/>
      <c r="BS6" s="290"/>
      <c r="BT6" s="290"/>
      <c r="BU6" s="290"/>
      <c r="BV6" s="290"/>
      <c r="BW6" s="290"/>
      <c r="BX6" s="290"/>
      <c r="BY6" s="290"/>
      <c r="BZ6" s="290"/>
      <c r="CA6" s="290"/>
      <c r="CB6" s="290"/>
      <c r="CC6" s="290"/>
      <c r="CD6" s="290"/>
      <c r="CE6" s="290"/>
      <c r="CF6" s="290"/>
      <c r="CG6" s="290"/>
      <c r="CH6" s="290"/>
      <c r="CI6" s="290"/>
      <c r="CJ6" s="290"/>
      <c r="CK6" s="290"/>
      <c r="CL6" s="290"/>
      <c r="CM6" s="290"/>
      <c r="CN6" s="290"/>
      <c r="CO6" s="290"/>
      <c r="CP6" s="290"/>
      <c r="CR6" s="549"/>
      <c r="CS6" s="549"/>
      <c r="CT6" s="449"/>
      <c r="CU6" s="450"/>
      <c r="DA6" s="423" t="s">
        <v>257</v>
      </c>
      <c r="DB6" s="23">
        <v>3</v>
      </c>
    </row>
    <row r="7" spans="1:106">
      <c r="A7" s="485" t="s">
        <v>326</v>
      </c>
      <c r="B7" s="499"/>
      <c r="C7" s="499"/>
      <c r="D7" s="499"/>
      <c r="E7" s="343" t="str">
        <f>IF(N3="","",IF(N3="D",CV4,IF(N8="","",IF(N8="Y",IF(N5="","Need "&amp;J5,IF(N5="S","",CV4)),IF(N5="","Need "&amp;J5,IF(N5="S",CV4,""))))))</f>
        <v/>
      </c>
      <c r="F7" s="499"/>
      <c r="G7" s="499"/>
      <c r="H7" s="344"/>
      <c r="I7" s="345" t="s">
        <v>328</v>
      </c>
      <c r="J7" s="500" t="s">
        <v>158</v>
      </c>
      <c r="K7" s="501"/>
      <c r="L7" s="501"/>
      <c r="M7" s="346"/>
      <c r="N7" s="538"/>
      <c r="O7" s="538"/>
      <c r="P7" s="347"/>
      <c r="Q7" s="324"/>
      <c r="R7" s="324"/>
      <c r="S7" s="324"/>
      <c r="T7" s="324"/>
      <c r="U7" s="341"/>
      <c r="V7" s="342"/>
      <c r="W7" s="313"/>
      <c r="X7" s="553"/>
      <c r="Y7" s="554"/>
      <c r="Z7" s="554"/>
      <c r="AA7" s="554"/>
      <c r="AB7" s="554"/>
      <c r="AC7" s="554"/>
      <c r="AD7" s="554"/>
      <c r="AE7" s="554"/>
      <c r="AF7" s="555"/>
      <c r="AG7" s="329"/>
      <c r="AH7" s="407"/>
      <c r="AI7" s="330"/>
      <c r="AJ7" s="330"/>
      <c r="AK7" s="330"/>
      <c r="AL7" s="331"/>
      <c r="AM7" s="331"/>
      <c r="AN7" s="331"/>
      <c r="AO7" s="331"/>
      <c r="AP7" s="331"/>
      <c r="AQ7" s="331"/>
      <c r="AR7" s="331"/>
      <c r="AS7" s="331"/>
      <c r="AT7" s="331"/>
      <c r="AU7" s="331"/>
      <c r="AV7" s="331"/>
      <c r="AW7" s="332"/>
      <c r="AX7" s="332"/>
      <c r="AY7" s="332"/>
      <c r="AZ7" s="332"/>
      <c r="BA7" s="140"/>
      <c r="BB7" s="130"/>
      <c r="BC7" s="130"/>
      <c r="BD7" s="332"/>
      <c r="BE7" s="290"/>
      <c r="BF7" s="290"/>
      <c r="BG7" s="290"/>
      <c r="BH7" s="290"/>
      <c r="BI7" s="290"/>
      <c r="BJ7" s="290"/>
      <c r="BK7" s="290"/>
      <c r="BL7" s="290"/>
      <c r="BM7" s="290"/>
      <c r="BN7" s="290"/>
      <c r="BO7" s="290"/>
      <c r="BP7" s="290"/>
      <c r="BQ7" s="290"/>
      <c r="BR7" s="290"/>
      <c r="BS7" s="290"/>
      <c r="BT7" s="290"/>
      <c r="BU7" s="290"/>
      <c r="BV7" s="290"/>
      <c r="BW7" s="290"/>
      <c r="BX7" s="290"/>
      <c r="BY7" s="290"/>
      <c r="BZ7" s="290"/>
      <c r="CA7" s="290"/>
      <c r="CB7" s="290"/>
      <c r="CC7" s="290"/>
      <c r="CD7" s="290"/>
      <c r="CE7" s="290"/>
      <c r="CF7" s="290"/>
      <c r="CG7" s="290"/>
      <c r="CH7" s="290"/>
      <c r="CI7" s="290"/>
      <c r="CJ7" s="290"/>
      <c r="CK7" s="290"/>
      <c r="CL7" s="290"/>
      <c r="CM7" s="290"/>
      <c r="CN7" s="290"/>
      <c r="CO7" s="290"/>
      <c r="CP7" s="290"/>
      <c r="CR7" s="549"/>
      <c r="CS7" s="549"/>
      <c r="CT7" s="449"/>
      <c r="CU7" s="450"/>
      <c r="DA7" s="423" t="s">
        <v>259</v>
      </c>
      <c r="DB7" s="23">
        <v>3</v>
      </c>
    </row>
    <row r="8" spans="1:106" ht="23.25">
      <c r="A8" s="485" t="s">
        <v>325</v>
      </c>
      <c r="B8" s="486"/>
      <c r="C8" s="486"/>
      <c r="D8" s="486"/>
      <c r="E8" s="343" t="str">
        <f>IF(N3="","",IF(N3="D",CV4,IF(N10="","",IF(N10="N",IF(N5="","Need Item Type",IF(N5="SEASONAL","No Signature Required","")),CV4))))</f>
        <v/>
      </c>
      <c r="F8" s="529" t="s">
        <v>342</v>
      </c>
      <c r="G8" s="530"/>
      <c r="H8" s="531"/>
      <c r="I8" s="293"/>
      <c r="J8" s="500" t="s">
        <v>391</v>
      </c>
      <c r="K8" s="501"/>
      <c r="L8" s="501"/>
      <c r="M8" s="346"/>
      <c r="N8" s="539"/>
      <c r="O8" s="539"/>
      <c r="P8" s="338"/>
      <c r="Q8" s="324"/>
      <c r="R8" s="324"/>
      <c r="S8" s="326" t="str">
        <f>IF(N5="R","","Additional Cost Per Unit")</f>
        <v/>
      </c>
      <c r="T8" s="326"/>
      <c r="U8" s="348"/>
      <c r="V8" s="349"/>
      <c r="W8" s="313"/>
      <c r="X8" s="553"/>
      <c r="Y8" s="554"/>
      <c r="Z8" s="554"/>
      <c r="AA8" s="554"/>
      <c r="AB8" s="554"/>
      <c r="AC8" s="554"/>
      <c r="AD8" s="554"/>
      <c r="AE8" s="554"/>
      <c r="AF8" s="555"/>
      <c r="AG8" s="329"/>
      <c r="AH8" s="407"/>
      <c r="AI8" s="330"/>
      <c r="AJ8" s="330"/>
      <c r="AK8" s="330"/>
      <c r="AL8" s="331"/>
      <c r="AM8" s="331"/>
      <c r="AN8" s="331"/>
      <c r="AO8" s="331"/>
      <c r="AP8" s="331"/>
      <c r="AQ8" s="331"/>
      <c r="AR8" s="331"/>
      <c r="AS8" s="331"/>
      <c r="AT8" s="331"/>
      <c r="AU8" s="331"/>
      <c r="AV8" s="331"/>
      <c r="AW8" s="332"/>
      <c r="AX8" s="332"/>
      <c r="AY8" s="332"/>
      <c r="AZ8" s="333"/>
      <c r="BA8" s="333"/>
      <c r="BB8" s="334"/>
      <c r="BC8" s="334"/>
      <c r="BD8" s="332"/>
      <c r="BE8" s="332"/>
      <c r="BF8" s="332"/>
      <c r="BG8" s="332"/>
      <c r="BH8" s="332"/>
      <c r="BI8" s="332"/>
      <c r="BJ8" s="332"/>
      <c r="BK8" s="332"/>
      <c r="BL8" s="332"/>
      <c r="BM8" s="332"/>
      <c r="BN8" s="332"/>
      <c r="BO8" s="332"/>
      <c r="BP8" s="332"/>
      <c r="BQ8" s="332"/>
      <c r="BR8" s="332"/>
      <c r="BS8" s="332"/>
      <c r="BT8" s="332"/>
      <c r="BU8" s="332"/>
      <c r="BV8" s="332"/>
      <c r="BW8" s="332"/>
      <c r="BX8" s="332"/>
      <c r="BY8" s="332"/>
      <c r="BZ8" s="332"/>
      <c r="CA8" s="332"/>
      <c r="CB8" s="332"/>
      <c r="CC8" s="332"/>
      <c r="CD8" s="332"/>
      <c r="CE8" s="332"/>
      <c r="CF8" s="332"/>
      <c r="CG8" s="332"/>
      <c r="CH8" s="332"/>
      <c r="CI8" s="332"/>
      <c r="CJ8" s="332"/>
      <c r="CK8" s="332"/>
      <c r="CL8" s="332"/>
      <c r="CM8" s="332"/>
      <c r="CN8" s="332"/>
      <c r="CO8" s="332"/>
      <c r="CP8" s="332"/>
      <c r="CQ8" s="177"/>
      <c r="CR8" s="549"/>
      <c r="CS8" s="549"/>
      <c r="CT8" s="449"/>
      <c r="CU8" s="450"/>
      <c r="DA8" s="423" t="s">
        <v>290</v>
      </c>
      <c r="DB8" s="23">
        <v>2</v>
      </c>
    </row>
    <row r="9" spans="1:106" ht="24" thickBot="1">
      <c r="A9" s="532" t="s">
        <v>327</v>
      </c>
      <c r="B9" s="533"/>
      <c r="C9" s="533"/>
      <c r="D9" s="533"/>
      <c r="E9" s="350" t="str">
        <f>IF(N7="","",IF(N7="N",IF(N5="","Need item type",IF(N5="SEASONAL","No Signature Required","")),IF(N5="","Need item type",IF(N5="SEASONAL","","No Signature Required"))))</f>
        <v/>
      </c>
      <c r="F9" s="526"/>
      <c r="G9" s="527"/>
      <c r="H9" s="528"/>
      <c r="I9" s="2"/>
      <c r="J9" s="500" t="s">
        <v>404</v>
      </c>
      <c r="K9" s="501"/>
      <c r="L9" s="501"/>
      <c r="M9" s="346"/>
      <c r="N9" s="539"/>
      <c r="O9" s="539"/>
      <c r="P9" s="338"/>
      <c r="Q9" s="323"/>
      <c r="R9" s="323"/>
      <c r="S9" s="323"/>
      <c r="T9" s="323"/>
      <c r="U9" s="341"/>
      <c r="V9" s="342"/>
      <c r="W9" s="313"/>
      <c r="X9" s="553"/>
      <c r="Y9" s="554"/>
      <c r="Z9" s="554"/>
      <c r="AA9" s="554"/>
      <c r="AB9" s="554"/>
      <c r="AC9" s="554"/>
      <c r="AD9" s="554"/>
      <c r="AE9" s="554"/>
      <c r="AF9" s="555"/>
      <c r="AG9" s="329"/>
      <c r="AH9" s="407"/>
      <c r="AI9" s="330"/>
      <c r="AJ9" s="330"/>
      <c r="AK9" s="330"/>
      <c r="AL9" s="331"/>
      <c r="AM9" s="331"/>
      <c r="AN9" s="331"/>
      <c r="AO9" s="331"/>
      <c r="AP9" s="331"/>
      <c r="AQ9" s="331"/>
      <c r="AR9" s="331"/>
      <c r="AS9" s="331"/>
      <c r="AT9" s="331"/>
      <c r="AU9" s="331"/>
      <c r="AV9" s="331"/>
      <c r="AW9" s="332"/>
      <c r="AX9" s="332"/>
      <c r="AY9" s="332"/>
      <c r="AZ9" s="332"/>
      <c r="BA9" s="305"/>
      <c r="BB9" s="130"/>
      <c r="BC9" s="130"/>
      <c r="BD9" s="332"/>
      <c r="BE9" s="332"/>
      <c r="BF9" s="332"/>
      <c r="BG9" s="332"/>
      <c r="BH9" s="332"/>
      <c r="BI9" s="332"/>
      <c r="BJ9" s="332"/>
      <c r="BK9" s="332"/>
      <c r="BL9" s="332"/>
      <c r="BM9" s="332"/>
      <c r="BN9" s="332"/>
      <c r="BO9" s="332"/>
      <c r="BP9" s="332"/>
      <c r="BQ9" s="332"/>
      <c r="BR9" s="332"/>
      <c r="BS9" s="332"/>
      <c r="BT9" s="332"/>
      <c r="BU9" s="332"/>
      <c r="BV9" s="332"/>
      <c r="BW9" s="332"/>
      <c r="BX9" s="332"/>
      <c r="BY9" s="332"/>
      <c r="BZ9" s="332"/>
      <c r="CA9" s="332"/>
      <c r="CB9" s="332"/>
      <c r="CC9" s="332"/>
      <c r="CD9" s="332"/>
      <c r="CE9" s="332"/>
      <c r="CF9" s="332"/>
      <c r="CG9" s="332"/>
      <c r="CH9" s="332"/>
      <c r="CI9" s="332"/>
      <c r="CJ9" s="332"/>
      <c r="CK9" s="332"/>
      <c r="CL9" s="332"/>
      <c r="CM9" s="332"/>
      <c r="CN9" s="332"/>
      <c r="CO9" s="332"/>
      <c r="CP9" s="332"/>
      <c r="CQ9" s="177"/>
      <c r="CR9" s="549"/>
      <c r="CS9" s="549"/>
      <c r="CT9" s="449"/>
      <c r="CU9" s="450"/>
      <c r="DA9" s="423" t="s">
        <v>260</v>
      </c>
      <c r="DB9" s="23">
        <v>1.25</v>
      </c>
    </row>
    <row r="10" spans="1:106" ht="24" thickBot="1">
      <c r="A10" s="523" t="s">
        <v>306</v>
      </c>
      <c r="B10" s="524"/>
      <c r="C10" s="524"/>
      <c r="D10" s="524"/>
      <c r="E10" s="351"/>
      <c r="F10" s="525" t="s">
        <v>332</v>
      </c>
      <c r="G10" s="509"/>
      <c r="H10" s="509"/>
      <c r="I10" s="352"/>
      <c r="J10" s="500" t="s">
        <v>162</v>
      </c>
      <c r="K10" s="501"/>
      <c r="L10" s="501"/>
      <c r="M10" s="346"/>
      <c r="N10" s="541"/>
      <c r="O10" s="541"/>
      <c r="P10" s="322"/>
      <c r="Q10" s="324"/>
      <c r="R10" s="324"/>
      <c r="S10" s="324"/>
      <c r="T10" s="324"/>
      <c r="U10" s="341"/>
      <c r="V10" s="342"/>
      <c r="W10" s="313"/>
      <c r="X10" s="556"/>
      <c r="Y10" s="557"/>
      <c r="Z10" s="557"/>
      <c r="AA10" s="557"/>
      <c r="AB10" s="557"/>
      <c r="AC10" s="557"/>
      <c r="AD10" s="557"/>
      <c r="AE10" s="557"/>
      <c r="AF10" s="558"/>
      <c r="AG10" s="329"/>
      <c r="AH10" s="407"/>
      <c r="AI10" s="330"/>
      <c r="AJ10" s="330"/>
      <c r="AK10" s="330"/>
      <c r="AL10" s="331"/>
      <c r="AM10" s="331"/>
      <c r="AN10" s="331"/>
      <c r="AO10" s="331"/>
      <c r="AP10" s="331"/>
      <c r="AQ10" s="331"/>
      <c r="AR10" s="331"/>
      <c r="AS10" s="331"/>
      <c r="AT10" s="331"/>
      <c r="AU10" s="331"/>
      <c r="AV10" s="331"/>
      <c r="AW10" s="332"/>
      <c r="AX10" s="332"/>
      <c r="AY10" s="332"/>
      <c r="AZ10" s="333"/>
      <c r="BA10" s="333"/>
      <c r="BB10" s="353"/>
      <c r="BC10" s="353"/>
      <c r="BD10" s="332"/>
      <c r="BE10" s="332"/>
      <c r="BF10" s="332"/>
      <c r="BG10" s="332"/>
      <c r="BH10" s="332"/>
      <c r="BI10" s="332"/>
      <c r="BJ10" s="332"/>
      <c r="BK10" s="332"/>
      <c r="BL10" s="332"/>
      <c r="BM10" s="332"/>
      <c r="BN10" s="332"/>
      <c r="BO10" s="332"/>
      <c r="BP10" s="332"/>
      <c r="BQ10" s="332"/>
      <c r="BR10" s="332"/>
      <c r="BS10" s="332"/>
      <c r="BT10" s="332"/>
      <c r="BU10" s="332"/>
      <c r="BV10" s="332"/>
      <c r="BW10" s="332"/>
      <c r="BX10" s="332"/>
      <c r="BY10" s="332"/>
      <c r="BZ10" s="332"/>
      <c r="CA10" s="332"/>
      <c r="CB10" s="332"/>
      <c r="CC10" s="332"/>
      <c r="CD10" s="332"/>
      <c r="CE10" s="332"/>
      <c r="CF10" s="332"/>
      <c r="CG10" s="332"/>
      <c r="CH10" s="332"/>
      <c r="CI10" s="332"/>
      <c r="CJ10" s="332"/>
      <c r="CK10" s="332"/>
      <c r="CL10" s="332"/>
      <c r="CM10" s="332"/>
      <c r="CN10" s="332"/>
      <c r="CO10" s="332"/>
      <c r="CP10" s="332"/>
      <c r="CQ10" s="177"/>
      <c r="CR10" s="549"/>
      <c r="CS10" s="549"/>
      <c r="CT10" s="449"/>
      <c r="CU10" s="450"/>
      <c r="DA10" s="423" t="s">
        <v>261</v>
      </c>
      <c r="DB10" s="23">
        <v>2.5</v>
      </c>
    </row>
    <row r="11" spans="1:106" ht="16.5" thickTop="1">
      <c r="A11" s="520" t="s">
        <v>316</v>
      </c>
      <c r="B11" s="521"/>
      <c r="C11" s="521"/>
      <c r="D11" s="521"/>
      <c r="E11" s="351"/>
      <c r="F11" s="525" t="s">
        <v>331</v>
      </c>
      <c r="G11" s="509"/>
      <c r="H11" s="509"/>
      <c r="I11" s="355"/>
      <c r="J11" s="536" t="s">
        <v>392</v>
      </c>
      <c r="K11" s="510"/>
      <c r="L11" s="510"/>
      <c r="M11" s="356"/>
      <c r="N11" s="537"/>
      <c r="O11" s="537"/>
      <c r="P11" s="357"/>
      <c r="Q11" s="290"/>
      <c r="R11" s="290"/>
      <c r="S11" s="290"/>
      <c r="T11" s="290"/>
      <c r="U11" s="305"/>
      <c r="V11" s="358"/>
      <c r="W11" s="359"/>
      <c r="X11" s="360"/>
      <c r="Y11" s="360"/>
      <c r="Z11" s="360"/>
      <c r="AA11" s="360"/>
      <c r="AB11" s="360"/>
      <c r="AC11" s="360"/>
      <c r="AD11" s="360"/>
      <c r="AE11" s="360"/>
      <c r="AF11" s="360"/>
      <c r="AG11" s="360"/>
      <c r="AH11" s="361"/>
      <c r="AI11" s="360"/>
      <c r="AJ11" s="360"/>
      <c r="AK11" s="360"/>
      <c r="AL11" s="360"/>
      <c r="AM11" s="360"/>
      <c r="AN11" s="360"/>
      <c r="AO11" s="360"/>
      <c r="AP11" s="360"/>
      <c r="AQ11" s="360"/>
      <c r="AR11" s="360"/>
      <c r="AS11" s="360"/>
      <c r="AT11" s="360"/>
      <c r="AU11" s="360"/>
      <c r="AV11" s="360"/>
      <c r="AW11" s="360"/>
      <c r="AX11" s="360"/>
      <c r="AY11" s="360"/>
      <c r="AZ11" s="360"/>
      <c r="BA11" s="305"/>
      <c r="BB11" s="130"/>
      <c r="BC11" s="130"/>
      <c r="BD11" s="360"/>
      <c r="BE11" s="360"/>
      <c r="BF11" s="360"/>
      <c r="BG11" s="360"/>
      <c r="BH11" s="360"/>
      <c r="BI11" s="360"/>
      <c r="BJ11" s="360"/>
      <c r="BK11" s="360"/>
      <c r="BL11" s="360"/>
      <c r="BM11" s="360"/>
      <c r="BN11" s="360"/>
      <c r="BO11" s="360"/>
      <c r="BP11" s="360"/>
      <c r="BQ11" s="360"/>
      <c r="BR11" s="360"/>
      <c r="BS11" s="360"/>
      <c r="BT11" s="360"/>
      <c r="BU11" s="360"/>
      <c r="BV11" s="360"/>
      <c r="BW11" s="360"/>
      <c r="BX11" s="360"/>
      <c r="BY11" s="360"/>
      <c r="BZ11" s="360"/>
      <c r="CA11" s="360"/>
      <c r="CB11" s="360"/>
      <c r="CC11" s="360"/>
      <c r="CD11" s="360"/>
      <c r="CE11" s="360"/>
      <c r="CF11" s="360"/>
      <c r="CG11" s="360"/>
      <c r="CH11" s="360"/>
      <c r="CI11" s="360"/>
      <c r="CJ11" s="360"/>
      <c r="CK11" s="360"/>
      <c r="CL11" s="360"/>
      <c r="CM11" s="360"/>
      <c r="CN11" s="360"/>
      <c r="CO11" s="360"/>
      <c r="CP11" s="360"/>
      <c r="CQ11" s="174"/>
      <c r="CR11" s="549"/>
      <c r="CS11" s="549"/>
      <c r="CT11" s="449"/>
      <c r="CU11" s="450"/>
      <c r="DA11" s="423" t="s">
        <v>177</v>
      </c>
      <c r="DB11" s="23">
        <v>1</v>
      </c>
    </row>
    <row r="12" spans="1:106">
      <c r="A12" s="354"/>
      <c r="B12" s="354"/>
      <c r="C12" s="354"/>
      <c r="D12" s="354"/>
      <c r="E12" s="354"/>
      <c r="F12" s="354"/>
      <c r="G12" s="354"/>
      <c r="H12" s="354"/>
      <c r="I12" s="362"/>
      <c r="J12" s="451" t="s">
        <v>128</v>
      </c>
      <c r="K12" s="452"/>
      <c r="L12" s="452"/>
      <c r="M12" s="452"/>
      <c r="N12" s="452"/>
      <c r="O12" s="452"/>
      <c r="P12" s="452"/>
      <c r="Q12" s="452"/>
      <c r="R12" s="452"/>
      <c r="S12" s="452"/>
      <c r="T12" s="452"/>
      <c r="U12" s="452"/>
      <c r="V12" s="363"/>
      <c r="W12" s="313"/>
      <c r="X12" s="400" t="s">
        <v>322</v>
      </c>
      <c r="Y12" s="547"/>
      <c r="Z12" s="548"/>
      <c r="AA12" s="548"/>
      <c r="AB12" s="548"/>
      <c r="AC12" s="548"/>
      <c r="AD12" s="548"/>
      <c r="AE12" s="548"/>
      <c r="AF12" s="548"/>
      <c r="AG12" s="548"/>
      <c r="AH12" s="407"/>
      <c r="AI12" s="330"/>
      <c r="AJ12" s="330"/>
      <c r="AK12" s="404"/>
      <c r="AL12" s="405"/>
      <c r="AM12" s="405"/>
      <c r="AN12" s="405"/>
      <c r="AO12" s="405"/>
      <c r="AP12" s="405"/>
      <c r="AQ12" s="405"/>
      <c r="AR12" s="405"/>
      <c r="AS12" s="405"/>
      <c r="AT12" s="405"/>
      <c r="AU12" s="405"/>
      <c r="AV12" s="315"/>
      <c r="AW12" s="305"/>
      <c r="AX12" s="305"/>
      <c r="AY12" s="305"/>
      <c r="AZ12" s="333"/>
      <c r="BA12" s="333"/>
      <c r="BB12" s="130"/>
      <c r="BC12" s="130"/>
      <c r="BD12" s="305"/>
      <c r="BE12" s="305"/>
      <c r="BF12" s="305"/>
      <c r="BG12" s="365"/>
      <c r="BH12" s="305"/>
      <c r="BI12" s="305"/>
      <c r="BJ12" s="305"/>
      <c r="BK12" s="305"/>
      <c r="BL12" s="305"/>
      <c r="BM12" s="305"/>
      <c r="BN12" s="305"/>
      <c r="BO12" s="305"/>
      <c r="BP12" s="305"/>
      <c r="BQ12" s="305"/>
      <c r="BR12" s="305"/>
      <c r="BS12" s="305"/>
      <c r="BT12" s="305"/>
      <c r="BU12" s="305"/>
      <c r="BV12" s="305"/>
      <c r="BW12" s="305"/>
      <c r="BX12" s="305"/>
      <c r="BY12" s="305"/>
      <c r="BZ12" s="305"/>
      <c r="CA12" s="305"/>
      <c r="CB12" s="305"/>
      <c r="CC12" s="305"/>
      <c r="CD12" s="305"/>
      <c r="CE12" s="305"/>
      <c r="CF12" s="305"/>
      <c r="CG12" s="305"/>
      <c r="CH12" s="305"/>
      <c r="CI12" s="305"/>
      <c r="CJ12" s="305"/>
      <c r="CK12" s="305"/>
      <c r="CL12" s="305"/>
      <c r="CM12" s="305"/>
      <c r="CN12" s="305"/>
      <c r="CO12" s="305"/>
      <c r="CP12" s="305"/>
      <c r="CQ12" s="174"/>
      <c r="CR12" s="549"/>
      <c r="CS12" s="549"/>
      <c r="CT12" s="449"/>
      <c r="CU12" s="450"/>
      <c r="DA12" s="423" t="s">
        <v>178</v>
      </c>
      <c r="DB12" s="23">
        <v>2.5</v>
      </c>
    </row>
    <row r="13" spans="1:106">
      <c r="A13" s="520" t="s">
        <v>336</v>
      </c>
      <c r="B13" s="521"/>
      <c r="C13" s="521"/>
      <c r="D13" s="366"/>
      <c r="E13" s="3"/>
      <c r="F13" s="293"/>
      <c r="G13" s="522" t="s">
        <v>89</v>
      </c>
      <c r="H13" s="501"/>
      <c r="I13" s="367"/>
      <c r="J13" s="368"/>
      <c r="K13" s="369"/>
      <c r="L13" s="315"/>
      <c r="M13" s="315"/>
      <c r="N13" s="370"/>
      <c r="O13" s="315"/>
      <c r="P13" s="315"/>
      <c r="Q13" s="315"/>
      <c r="R13" s="315"/>
      <c r="S13" s="315"/>
      <c r="T13" s="315"/>
      <c r="U13" s="315"/>
      <c r="V13" s="364"/>
      <c r="W13" s="313"/>
      <c r="X13" s="371"/>
      <c r="Y13" s="11"/>
      <c r="Z13" s="11"/>
      <c r="AA13" s="11"/>
      <c r="AB13" s="11"/>
      <c r="AC13" s="11"/>
      <c r="AD13" s="11"/>
      <c r="AE13" s="11"/>
      <c r="AF13" s="11"/>
      <c r="AG13" s="11"/>
      <c r="AH13" s="318"/>
      <c r="AI13" s="11"/>
      <c r="AJ13" s="11"/>
      <c r="AK13" s="11"/>
      <c r="AL13" s="11"/>
      <c r="AM13" s="11"/>
      <c r="AN13" s="372"/>
      <c r="AO13" s="11"/>
      <c r="AP13" s="315"/>
      <c r="AQ13" s="315"/>
      <c r="AR13" s="315"/>
      <c r="AS13" s="315"/>
      <c r="AT13" s="315"/>
      <c r="AU13" s="315"/>
      <c r="AV13" s="315"/>
      <c r="AW13" s="305"/>
      <c r="AX13" s="305"/>
      <c r="AY13" s="305"/>
      <c r="AZ13" s="305"/>
      <c r="BA13" s="305"/>
      <c r="BB13" s="305"/>
      <c r="BC13" s="305"/>
      <c r="BD13" s="305"/>
      <c r="BE13" s="305"/>
      <c r="BF13" s="305"/>
      <c r="BG13" s="305"/>
      <c r="BH13" s="305"/>
      <c r="BI13" s="305"/>
      <c r="BJ13" s="305"/>
      <c r="BK13" s="305"/>
      <c r="BL13" s="305"/>
      <c r="BM13" s="305"/>
      <c r="BN13" s="305"/>
      <c r="BO13" s="305"/>
      <c r="BP13" s="305"/>
      <c r="BQ13" s="305"/>
      <c r="BR13" s="305"/>
      <c r="BS13" s="305"/>
      <c r="BT13" s="305"/>
      <c r="BU13" s="305"/>
      <c r="BV13" s="305"/>
      <c r="BW13" s="305"/>
      <c r="BX13" s="305"/>
      <c r="BY13" s="305"/>
      <c r="BZ13" s="305"/>
      <c r="CA13" s="305"/>
      <c r="CB13" s="305"/>
      <c r="CC13" s="305"/>
      <c r="CD13" s="305"/>
      <c r="CE13" s="305"/>
      <c r="CF13" s="305"/>
      <c r="CG13" s="305"/>
      <c r="CH13" s="305"/>
      <c r="CI13" s="305"/>
      <c r="CJ13" s="305"/>
      <c r="CK13" s="305"/>
      <c r="CL13" s="305"/>
      <c r="CM13" s="305"/>
      <c r="CN13" s="305"/>
      <c r="CO13" s="305"/>
      <c r="CP13" s="305"/>
      <c r="CQ13" s="174"/>
      <c r="CR13" s="549"/>
      <c r="CS13" s="549"/>
      <c r="CT13" s="449"/>
      <c r="CU13" s="450"/>
      <c r="DA13" s="423" t="s">
        <v>288</v>
      </c>
      <c r="DB13" s="23">
        <v>5</v>
      </c>
    </row>
    <row r="14" spans="1:106" ht="6" customHeight="1">
      <c r="A14"/>
      <c r="B14" s="14"/>
      <c r="C14" s="14"/>
      <c r="D14"/>
      <c r="E14"/>
      <c r="F14" s="1"/>
      <c r="G14" s="1"/>
      <c r="H14" s="1"/>
      <c r="I14" s="14"/>
      <c r="J14" s="5"/>
      <c r="K14" s="4"/>
      <c r="L14" s="4"/>
      <c r="M14" s="4"/>
      <c r="N14" s="13"/>
      <c r="O14" s="4"/>
      <c r="P14" s="4"/>
      <c r="Q14" s="4"/>
      <c r="R14" s="4"/>
      <c r="S14" s="4"/>
      <c r="T14" s="4"/>
      <c r="U14" s="4"/>
      <c r="V14" s="28"/>
      <c r="W14" s="5"/>
      <c r="X14" s="4"/>
      <c r="Y14" s="6"/>
      <c r="Z14" s="6"/>
      <c r="AA14" s="6"/>
      <c r="AB14" s="6"/>
      <c r="AC14" s="6"/>
      <c r="AD14" s="6"/>
      <c r="AE14" s="6"/>
      <c r="AF14" s="6"/>
      <c r="AG14" s="6"/>
      <c r="AH14" s="289"/>
      <c r="AI14" s="6"/>
      <c r="AJ14" s="6"/>
      <c r="AK14" s="6"/>
      <c r="AL14" s="6"/>
      <c r="AM14" s="6"/>
      <c r="AN14" s="6"/>
      <c r="AO14" s="6"/>
      <c r="AP14" s="6"/>
      <c r="AQ14" s="6"/>
      <c r="AR14" s="6"/>
      <c r="AS14" s="6"/>
      <c r="AT14" s="6"/>
      <c r="AU14" s="6"/>
      <c r="AV14" s="6"/>
      <c r="AW14" s="142"/>
      <c r="AX14" s="142"/>
      <c r="AY14" s="142"/>
      <c r="AZ14" s="142"/>
      <c r="BA14" s="142"/>
      <c r="BB14" s="142"/>
      <c r="BC14" s="142"/>
      <c r="BD14" s="142"/>
      <c r="BE14" s="142"/>
      <c r="BF14" s="142"/>
      <c r="BG14" s="142"/>
      <c r="BH14" s="142"/>
      <c r="BI14" s="142"/>
      <c r="BJ14" s="142"/>
      <c r="BK14" s="142"/>
      <c r="BL14" s="142"/>
      <c r="BM14" s="142"/>
      <c r="BN14" s="142"/>
      <c r="BO14" s="142"/>
      <c r="BP14" s="142"/>
      <c r="BQ14" s="142"/>
      <c r="BR14" s="142"/>
      <c r="BS14" s="142"/>
      <c r="BT14" s="142"/>
      <c r="BU14" s="142"/>
      <c r="BV14" s="142"/>
      <c r="BW14" s="142"/>
      <c r="BX14" s="142"/>
      <c r="BY14" s="142"/>
      <c r="BZ14" s="142"/>
      <c r="CA14" s="142"/>
      <c r="CB14" s="142"/>
      <c r="CC14" s="142"/>
      <c r="CD14" s="142"/>
      <c r="CE14" s="142"/>
      <c r="CF14" s="142"/>
      <c r="CG14" s="142"/>
      <c r="CH14" s="142"/>
      <c r="CI14" s="142"/>
      <c r="CJ14" s="142"/>
      <c r="CK14" s="142"/>
      <c r="CL14" s="142"/>
      <c r="CM14" s="142"/>
      <c r="CN14" s="142"/>
      <c r="CO14" s="142"/>
      <c r="CP14" s="142"/>
      <c r="CQ14" s="178"/>
      <c r="CR14" s="549"/>
      <c r="CS14" s="549"/>
      <c r="CT14" s="449"/>
      <c r="CU14" s="450"/>
      <c r="DA14" s="423" t="s">
        <v>287</v>
      </c>
      <c r="DB14" s="23">
        <v>2</v>
      </c>
    </row>
    <row r="15" spans="1:106" ht="12.75" customHeight="1">
      <c r="A15" s="7"/>
      <c r="B15" s="18">
        <v>1</v>
      </c>
      <c r="C15" s="18">
        <v>2</v>
      </c>
      <c r="D15" s="15">
        <v>3</v>
      </c>
      <c r="E15" s="17">
        <v>4</v>
      </c>
      <c r="F15" s="15">
        <v>5</v>
      </c>
      <c r="G15" s="15">
        <v>6</v>
      </c>
      <c r="H15" s="17">
        <v>7</v>
      </c>
      <c r="I15" s="17">
        <v>8</v>
      </c>
      <c r="J15" s="465">
        <v>9</v>
      </c>
      <c r="K15" s="466"/>
      <c r="L15" s="466"/>
      <c r="M15" s="467"/>
      <c r="N15" s="16">
        <v>10</v>
      </c>
      <c r="O15" s="16">
        <v>11</v>
      </c>
      <c r="P15" s="16">
        <v>12</v>
      </c>
      <c r="Q15" s="16">
        <v>13</v>
      </c>
      <c r="R15" s="16">
        <v>14</v>
      </c>
      <c r="S15" s="16">
        <v>15</v>
      </c>
      <c r="T15" s="16">
        <v>16</v>
      </c>
      <c r="U15" s="19">
        <v>17</v>
      </c>
      <c r="V15" s="19">
        <v>18</v>
      </c>
      <c r="W15" s="15">
        <v>19</v>
      </c>
      <c r="X15" s="15">
        <v>20</v>
      </c>
      <c r="Y15" s="15">
        <v>21</v>
      </c>
      <c r="Z15" s="15">
        <v>22</v>
      </c>
      <c r="AA15" s="15">
        <v>23</v>
      </c>
      <c r="AB15" s="15">
        <v>24</v>
      </c>
      <c r="AC15" s="15">
        <v>25</v>
      </c>
      <c r="AD15" s="15">
        <v>26</v>
      </c>
      <c r="AE15" s="15">
        <v>27</v>
      </c>
      <c r="AF15" s="15">
        <v>28</v>
      </c>
      <c r="AG15" s="15">
        <v>29</v>
      </c>
      <c r="AH15" s="15">
        <v>30</v>
      </c>
      <c r="AI15" s="15">
        <v>31</v>
      </c>
      <c r="AJ15" s="15">
        <v>32</v>
      </c>
      <c r="AK15" s="15">
        <v>33</v>
      </c>
      <c r="AL15" s="15">
        <v>34</v>
      </c>
      <c r="AM15" s="15">
        <v>35</v>
      </c>
      <c r="AN15" s="15">
        <v>36</v>
      </c>
      <c r="AO15" s="15">
        <v>37</v>
      </c>
      <c r="AP15" s="15">
        <v>38</v>
      </c>
      <c r="AQ15" s="15">
        <v>39</v>
      </c>
      <c r="AR15" s="15">
        <v>40</v>
      </c>
      <c r="AS15" s="15">
        <v>41</v>
      </c>
      <c r="AT15" s="15">
        <v>42</v>
      </c>
      <c r="AU15" s="15">
        <v>43</v>
      </c>
      <c r="AV15" s="15">
        <v>44</v>
      </c>
      <c r="AW15" s="15">
        <v>45</v>
      </c>
      <c r="AX15" s="15">
        <v>46</v>
      </c>
      <c r="AY15" s="15">
        <v>47</v>
      </c>
      <c r="AZ15" s="15">
        <v>48</v>
      </c>
      <c r="BA15" s="15">
        <v>49</v>
      </c>
      <c r="BB15" s="15">
        <v>50</v>
      </c>
      <c r="BC15" s="15">
        <v>51</v>
      </c>
      <c r="BD15" s="15">
        <v>52</v>
      </c>
      <c r="BE15" s="15">
        <v>53</v>
      </c>
      <c r="BF15" s="15">
        <v>54</v>
      </c>
      <c r="BG15" s="15">
        <v>55</v>
      </c>
      <c r="BH15" s="15">
        <v>56</v>
      </c>
      <c r="BI15" s="15">
        <v>57</v>
      </c>
      <c r="BJ15" s="15">
        <v>58</v>
      </c>
      <c r="BK15" s="15">
        <v>59</v>
      </c>
      <c r="BL15" s="15">
        <v>60</v>
      </c>
      <c r="BM15" s="15">
        <v>61</v>
      </c>
      <c r="BN15" s="15">
        <v>62</v>
      </c>
      <c r="BO15" s="15">
        <v>63</v>
      </c>
      <c r="BP15" s="15">
        <v>64</v>
      </c>
      <c r="BQ15" s="15">
        <v>65</v>
      </c>
      <c r="BR15" s="15">
        <v>66</v>
      </c>
      <c r="BS15" s="15">
        <v>67</v>
      </c>
      <c r="BT15" s="15">
        <v>68</v>
      </c>
      <c r="BU15" s="15">
        <v>69</v>
      </c>
      <c r="BV15" s="15">
        <v>70</v>
      </c>
      <c r="BW15" s="15">
        <v>71</v>
      </c>
      <c r="BX15" s="15">
        <v>72</v>
      </c>
      <c r="BY15" s="15">
        <v>73</v>
      </c>
      <c r="BZ15" s="15">
        <v>74</v>
      </c>
      <c r="CA15" s="15">
        <v>75</v>
      </c>
      <c r="CB15" s="15">
        <v>76</v>
      </c>
      <c r="CC15" s="15">
        <v>77</v>
      </c>
      <c r="CD15" s="15">
        <v>78</v>
      </c>
      <c r="CE15" s="15">
        <v>79</v>
      </c>
      <c r="CF15" s="15">
        <v>80</v>
      </c>
      <c r="CG15" s="15">
        <v>81</v>
      </c>
      <c r="CH15" s="15">
        <v>82</v>
      </c>
      <c r="CI15" s="15">
        <v>83</v>
      </c>
      <c r="CJ15" s="180"/>
      <c r="CK15" s="426"/>
      <c r="CL15" s="426"/>
      <c r="CM15" s="426"/>
      <c r="CN15" s="426"/>
      <c r="CO15" s="426"/>
      <c r="CP15" s="426"/>
      <c r="CQ15" s="147"/>
      <c r="CR15" s="549"/>
      <c r="CS15" s="549"/>
      <c r="CT15" s="449"/>
      <c r="CU15" s="450"/>
      <c r="CW15" s="148"/>
      <c r="CX15" s="148"/>
      <c r="CY15" s="149"/>
      <c r="CZ15" s="149"/>
      <c r="DA15" s="423" t="s">
        <v>286</v>
      </c>
      <c r="DB15" s="23">
        <v>1.25</v>
      </c>
    </row>
    <row r="16" spans="1:106" ht="21.75" customHeight="1" thickBot="1">
      <c r="A16"/>
      <c r="B16" s="38" t="s">
        <v>85</v>
      </c>
      <c r="C16" s="493" t="s">
        <v>0</v>
      </c>
      <c r="D16" s="40" t="s">
        <v>90</v>
      </c>
      <c r="E16" s="41" t="s">
        <v>91</v>
      </c>
      <c r="F16" s="496" t="s">
        <v>114</v>
      </c>
      <c r="G16" s="496" t="s">
        <v>314</v>
      </c>
      <c r="H16" s="112"/>
      <c r="I16" s="79" t="s">
        <v>92</v>
      </c>
      <c r="J16" s="468" t="s">
        <v>9</v>
      </c>
      <c r="K16" s="469"/>
      <c r="L16" s="469"/>
      <c r="M16" s="467"/>
      <c r="N16" s="274"/>
      <c r="O16" s="275"/>
      <c r="P16" s="100"/>
      <c r="Q16" s="478" t="s">
        <v>426</v>
      </c>
      <c r="R16" s="475" t="s">
        <v>425</v>
      </c>
      <c r="S16" s="472" t="s">
        <v>125</v>
      </c>
      <c r="T16" s="473"/>
      <c r="U16" s="474"/>
      <c r="V16" s="271"/>
      <c r="W16" s="487" t="s">
        <v>122</v>
      </c>
      <c r="X16" s="488"/>
      <c r="Y16" s="488"/>
      <c r="Z16" s="489"/>
      <c r="AA16" s="489"/>
      <c r="AB16" s="489"/>
      <c r="AC16" s="489"/>
      <c r="AD16" s="489"/>
      <c r="AE16" s="489"/>
      <c r="AF16" s="489"/>
      <c r="AG16" s="489"/>
      <c r="AH16" s="489"/>
      <c r="AI16" s="489"/>
      <c r="AJ16" s="489"/>
      <c r="AK16" s="489"/>
      <c r="AL16" s="463" t="s">
        <v>104</v>
      </c>
      <c r="AM16" s="460"/>
      <c r="AN16" s="460"/>
      <c r="AO16" s="460"/>
      <c r="AP16" s="460"/>
      <c r="AQ16" s="459" t="s">
        <v>103</v>
      </c>
      <c r="AR16" s="460"/>
      <c r="AS16" s="460"/>
      <c r="AT16" s="460"/>
      <c r="AU16" s="460"/>
      <c r="AV16" s="107"/>
      <c r="AW16" s="122"/>
      <c r="AX16" s="123"/>
      <c r="AY16" s="128"/>
      <c r="AZ16" s="562" t="s">
        <v>402</v>
      </c>
      <c r="BA16" s="562"/>
      <c r="BB16" s="562"/>
      <c r="BC16" s="562"/>
      <c r="BD16" s="562"/>
      <c r="BE16" s="562"/>
      <c r="BF16" s="562"/>
      <c r="BG16" s="562"/>
      <c r="BH16" s="563"/>
      <c r="BI16" s="564" t="s">
        <v>680</v>
      </c>
      <c r="BJ16" s="460"/>
      <c r="BK16" s="565"/>
      <c r="BL16" s="440"/>
      <c r="BM16" s="483" t="s">
        <v>922</v>
      </c>
      <c r="BN16" s="443" t="s">
        <v>928</v>
      </c>
      <c r="BO16" s="444"/>
      <c r="BP16" s="445"/>
      <c r="BQ16" s="483" t="s">
        <v>922</v>
      </c>
      <c r="BR16" s="443" t="s">
        <v>928</v>
      </c>
      <c r="BS16" s="444"/>
      <c r="BT16" s="445"/>
      <c r="BU16" s="483" t="s">
        <v>922</v>
      </c>
      <c r="BV16" s="443" t="s">
        <v>928</v>
      </c>
      <c r="BW16" s="444"/>
      <c r="BX16" s="445"/>
      <c r="BY16" s="107"/>
      <c r="BZ16" s="107"/>
      <c r="CA16" s="107"/>
      <c r="CB16" s="107"/>
      <c r="CC16" s="107"/>
      <c r="CD16" s="107"/>
      <c r="CE16" s="107"/>
      <c r="CF16" s="107"/>
      <c r="CG16" s="107"/>
      <c r="CH16" s="107"/>
      <c r="CI16" s="107"/>
      <c r="CJ16" s="181"/>
      <c r="CK16" s="427"/>
      <c r="CL16" s="427"/>
      <c r="CM16" s="427"/>
      <c r="CN16" s="427"/>
      <c r="CO16" s="427"/>
      <c r="CP16" s="427"/>
      <c r="CQ16" s="174"/>
      <c r="CR16" s="549"/>
      <c r="CS16" s="549"/>
      <c r="CT16" s="449"/>
      <c r="CU16" s="450"/>
      <c r="DA16" s="423" t="s">
        <v>285</v>
      </c>
      <c r="DB16" s="23">
        <v>0.4</v>
      </c>
    </row>
    <row r="17" spans="1:106" ht="21.75" customHeight="1" thickBot="1">
      <c r="A17"/>
      <c r="B17" s="102" t="s">
        <v>93</v>
      </c>
      <c r="C17" s="494"/>
      <c r="D17" s="42" t="s">
        <v>94</v>
      </c>
      <c r="E17" s="43" t="s">
        <v>95</v>
      </c>
      <c r="F17" s="497"/>
      <c r="G17" s="506"/>
      <c r="H17" s="59" t="s">
        <v>96</v>
      </c>
      <c r="I17" s="79" t="s">
        <v>97</v>
      </c>
      <c r="J17" s="470" t="s">
        <v>414</v>
      </c>
      <c r="K17" s="470" t="s">
        <v>413</v>
      </c>
      <c r="L17" s="470" t="s">
        <v>10</v>
      </c>
      <c r="M17" s="470" t="s">
        <v>436</v>
      </c>
      <c r="N17" s="101" t="s">
        <v>341</v>
      </c>
      <c r="O17" s="100" t="s">
        <v>341</v>
      </c>
      <c r="P17" s="100"/>
      <c r="Q17" s="479"/>
      <c r="R17" s="476"/>
      <c r="S17" s="490" t="s">
        <v>347</v>
      </c>
      <c r="T17" s="491"/>
      <c r="U17" s="491"/>
      <c r="V17" s="491"/>
      <c r="W17" s="491"/>
      <c r="X17" s="491"/>
      <c r="Y17" s="491"/>
      <c r="Z17" s="492"/>
      <c r="AA17" s="492"/>
      <c r="AB17" s="492"/>
      <c r="AC17" s="492"/>
      <c r="AD17" s="492"/>
      <c r="AE17" s="492"/>
      <c r="AF17" s="492"/>
      <c r="AG17" s="492"/>
      <c r="AH17" s="492"/>
      <c r="AI17" s="492"/>
      <c r="AJ17" s="492"/>
      <c r="AK17" s="492"/>
      <c r="AL17" s="464" t="s">
        <v>129</v>
      </c>
      <c r="AM17" s="462"/>
      <c r="AN17" s="462"/>
      <c r="AO17" s="462"/>
      <c r="AP17" s="462"/>
      <c r="AQ17" s="461" t="s">
        <v>129</v>
      </c>
      <c r="AR17" s="462"/>
      <c r="AS17" s="462"/>
      <c r="AT17" s="462"/>
      <c r="AU17" s="462"/>
      <c r="AV17" s="108"/>
      <c r="AW17" s="124"/>
      <c r="AX17" s="125"/>
      <c r="AY17" s="113"/>
      <c r="AZ17" s="559" t="s">
        <v>403</v>
      </c>
      <c r="BA17" s="560"/>
      <c r="BB17" s="560"/>
      <c r="BC17" s="560"/>
      <c r="BD17" s="560"/>
      <c r="BE17" s="560"/>
      <c r="BF17" s="560"/>
      <c r="BG17" s="560"/>
      <c r="BH17" s="561"/>
      <c r="BI17" s="566" t="s">
        <v>681</v>
      </c>
      <c r="BJ17" s="462"/>
      <c r="BK17" s="567"/>
      <c r="BL17" s="5"/>
      <c r="BM17" s="484"/>
      <c r="BN17" s="446"/>
      <c r="BO17" s="447"/>
      <c r="BP17" s="448"/>
      <c r="BQ17" s="484"/>
      <c r="BR17" s="446"/>
      <c r="BS17" s="447"/>
      <c r="BT17" s="448"/>
      <c r="BU17" s="484"/>
      <c r="BV17" s="446"/>
      <c r="BW17" s="447"/>
      <c r="BX17" s="448"/>
      <c r="BY17" s="108"/>
      <c r="BZ17" s="108"/>
      <c r="CA17" s="108"/>
      <c r="CB17" s="108"/>
      <c r="CC17" s="108"/>
      <c r="CD17" s="108"/>
      <c r="CE17" s="108"/>
      <c r="CF17" s="108"/>
      <c r="CG17" s="108"/>
      <c r="CH17" s="108"/>
      <c r="CI17" s="108"/>
      <c r="CJ17" s="181"/>
      <c r="CK17" s="427"/>
      <c r="CL17" s="427"/>
      <c r="CM17" s="427"/>
      <c r="CN17" s="427"/>
      <c r="CO17" s="427"/>
      <c r="CP17" s="427"/>
      <c r="CQ17" s="481" t="s">
        <v>506</v>
      </c>
      <c r="CR17" s="549"/>
      <c r="CS17" s="549"/>
      <c r="CT17" s="449"/>
      <c r="CU17" s="450"/>
      <c r="DA17" s="423" t="s">
        <v>284</v>
      </c>
      <c r="DB17" s="23">
        <v>3.5</v>
      </c>
    </row>
    <row r="18" spans="1:106" ht="21.75" customHeight="1">
      <c r="A18"/>
      <c r="B18" s="102" t="s">
        <v>99</v>
      </c>
      <c r="C18" s="494"/>
      <c r="D18" s="42" t="s">
        <v>100</v>
      </c>
      <c r="E18" s="43" t="s">
        <v>101</v>
      </c>
      <c r="F18" s="497"/>
      <c r="G18" s="506"/>
      <c r="H18" s="48" t="s">
        <v>102</v>
      </c>
      <c r="I18" s="99" t="s">
        <v>118</v>
      </c>
      <c r="J18" s="470"/>
      <c r="K18" s="470"/>
      <c r="L18" s="470"/>
      <c r="M18" s="470"/>
      <c r="N18" s="101" t="s">
        <v>98</v>
      </c>
      <c r="O18" s="100" t="s">
        <v>98</v>
      </c>
      <c r="P18" s="100" t="s">
        <v>670</v>
      </c>
      <c r="Q18" s="479"/>
      <c r="R18" s="476"/>
      <c r="S18" s="134" t="s">
        <v>124</v>
      </c>
      <c r="T18" s="134" t="s">
        <v>642</v>
      </c>
      <c r="U18" s="134" t="s">
        <v>127</v>
      </c>
      <c r="V18" s="134" t="s">
        <v>643</v>
      </c>
      <c r="W18" s="132" t="s">
        <v>422</v>
      </c>
      <c r="X18" s="132" t="s">
        <v>422</v>
      </c>
      <c r="Y18" s="132"/>
      <c r="Z18" s="132"/>
      <c r="AA18" s="132"/>
      <c r="AB18" s="132" t="s">
        <v>586</v>
      </c>
      <c r="AC18" s="132" t="s">
        <v>586</v>
      </c>
      <c r="AD18" s="132" t="s">
        <v>587</v>
      </c>
      <c r="AE18" s="132" t="s">
        <v>586</v>
      </c>
      <c r="AF18" s="132" t="s">
        <v>422</v>
      </c>
      <c r="AG18" s="132" t="s">
        <v>589</v>
      </c>
      <c r="AH18" s="132" t="s">
        <v>589</v>
      </c>
      <c r="AI18" s="132" t="s">
        <v>590</v>
      </c>
      <c r="AJ18" s="132"/>
      <c r="AK18" s="132"/>
      <c r="AL18" s="51"/>
      <c r="AM18" s="51"/>
      <c r="AN18" s="52"/>
      <c r="AO18" s="53"/>
      <c r="AP18" s="544" t="s">
        <v>380</v>
      </c>
      <c r="AQ18" s="67"/>
      <c r="AR18" s="51"/>
      <c r="AS18" s="52"/>
      <c r="AT18" s="52"/>
      <c r="AU18" s="456" t="s">
        <v>394</v>
      </c>
      <c r="AV18" s="103" t="s">
        <v>411</v>
      </c>
      <c r="AW18" s="453" t="s">
        <v>424</v>
      </c>
      <c r="AX18" s="126" t="s">
        <v>393</v>
      </c>
      <c r="AY18" s="568" t="s">
        <v>402</v>
      </c>
      <c r="AZ18" s="453" t="s">
        <v>398</v>
      </c>
      <c r="BA18" s="106"/>
      <c r="BB18" s="106"/>
      <c r="BC18" s="51"/>
      <c r="BD18" s="114"/>
      <c r="BE18" s="116"/>
      <c r="BF18" s="114"/>
      <c r="BG18" s="114"/>
      <c r="BH18" s="118"/>
      <c r="BI18" s="67"/>
      <c r="BJ18" s="51"/>
      <c r="BK18" s="120" t="s">
        <v>685</v>
      </c>
      <c r="BL18" s="103" t="s">
        <v>731</v>
      </c>
      <c r="BM18" s="437"/>
      <c r="BN18" s="437" t="s">
        <v>682</v>
      </c>
      <c r="BO18" s="437" t="s">
        <v>682</v>
      </c>
      <c r="BP18" s="437" t="s">
        <v>682</v>
      </c>
      <c r="BQ18" s="437"/>
      <c r="BR18" s="437" t="s">
        <v>683</v>
      </c>
      <c r="BS18" s="437" t="s">
        <v>683</v>
      </c>
      <c r="BT18" s="437" t="s">
        <v>683</v>
      </c>
      <c r="BU18" s="437"/>
      <c r="BV18" s="437" t="s">
        <v>762</v>
      </c>
      <c r="BW18" s="437" t="s">
        <v>762</v>
      </c>
      <c r="BX18" s="437" t="s">
        <v>762</v>
      </c>
      <c r="BY18" s="414"/>
      <c r="BZ18" s="103"/>
      <c r="CA18" s="103"/>
      <c r="CB18" s="103"/>
      <c r="CC18" s="103"/>
      <c r="CD18" s="103"/>
      <c r="CE18" s="103"/>
      <c r="CF18" s="103"/>
      <c r="CG18" s="103"/>
      <c r="CH18" s="103"/>
      <c r="CI18" s="103"/>
      <c r="CJ18" s="12"/>
      <c r="CK18" s="139"/>
      <c r="CL18" s="139"/>
      <c r="CM18" s="139"/>
      <c r="CN18" s="139"/>
      <c r="CO18" s="139"/>
      <c r="CP18" s="139"/>
      <c r="CQ18" s="482"/>
      <c r="CR18" s="549"/>
      <c r="CS18" s="549"/>
      <c r="CT18" s="449"/>
      <c r="CU18" s="450"/>
      <c r="CW18" s="150"/>
      <c r="CX18" s="150"/>
      <c r="DA18" s="423" t="s">
        <v>283</v>
      </c>
      <c r="DB18" s="23">
        <v>10</v>
      </c>
    </row>
    <row r="19" spans="1:106" ht="21.75" customHeight="1">
      <c r="A19"/>
      <c r="B19" s="102" t="s">
        <v>105</v>
      </c>
      <c r="C19" s="494"/>
      <c r="D19" s="42" t="s">
        <v>106</v>
      </c>
      <c r="E19" s="44"/>
      <c r="F19" s="497"/>
      <c r="G19" s="506"/>
      <c r="H19" s="59" t="s">
        <v>107</v>
      </c>
      <c r="I19" s="99" t="s">
        <v>108</v>
      </c>
      <c r="J19" s="470"/>
      <c r="K19" s="470"/>
      <c r="L19" s="470"/>
      <c r="M19" s="470"/>
      <c r="N19" s="101" t="s">
        <v>103</v>
      </c>
      <c r="O19" s="100" t="s">
        <v>104</v>
      </c>
      <c r="P19" s="100" t="s">
        <v>644</v>
      </c>
      <c r="Q19" s="479"/>
      <c r="R19" s="476"/>
      <c r="S19" s="135" t="s">
        <v>123</v>
      </c>
      <c r="T19" s="135" t="s">
        <v>123</v>
      </c>
      <c r="U19" s="135" t="s">
        <v>123</v>
      </c>
      <c r="V19" s="135" t="s">
        <v>123</v>
      </c>
      <c r="W19" s="133">
        <v>1</v>
      </c>
      <c r="X19" s="133">
        <v>2</v>
      </c>
      <c r="Y19" s="133" t="s">
        <v>378</v>
      </c>
      <c r="Z19" s="133" t="s">
        <v>423</v>
      </c>
      <c r="AA19" s="133" t="s">
        <v>126</v>
      </c>
      <c r="AB19" s="133">
        <v>2</v>
      </c>
      <c r="AC19" s="133">
        <v>3</v>
      </c>
      <c r="AD19" s="133" t="s">
        <v>588</v>
      </c>
      <c r="AE19" s="133">
        <v>1</v>
      </c>
      <c r="AF19" s="133">
        <v>3</v>
      </c>
      <c r="AG19" s="133">
        <v>1</v>
      </c>
      <c r="AH19" s="133">
        <v>2</v>
      </c>
      <c r="AI19" s="133" t="s">
        <v>591</v>
      </c>
      <c r="AJ19" s="133"/>
      <c r="AK19" s="133"/>
      <c r="AL19" s="54"/>
      <c r="AM19" s="54"/>
      <c r="AN19" s="55"/>
      <c r="AO19" s="56"/>
      <c r="AP19" s="545"/>
      <c r="AQ19" s="67"/>
      <c r="AR19" s="54"/>
      <c r="AS19" s="55"/>
      <c r="AT19" s="55"/>
      <c r="AU19" s="457"/>
      <c r="AV19" s="104" t="s">
        <v>87</v>
      </c>
      <c r="AW19" s="454"/>
      <c r="AX19" s="127" t="s">
        <v>395</v>
      </c>
      <c r="AY19" s="569"/>
      <c r="AZ19" s="454"/>
      <c r="BA19" s="96" t="s">
        <v>399</v>
      </c>
      <c r="BB19" s="96" t="s">
        <v>399</v>
      </c>
      <c r="BC19" s="54" t="s">
        <v>396</v>
      </c>
      <c r="BD19" s="54" t="s">
        <v>407</v>
      </c>
      <c r="BE19" s="96" t="s">
        <v>405</v>
      </c>
      <c r="BF19" s="54" t="s">
        <v>407</v>
      </c>
      <c r="BG19" s="54" t="s">
        <v>407</v>
      </c>
      <c r="BH19" s="119" t="s">
        <v>407</v>
      </c>
      <c r="BI19" s="287" t="s">
        <v>682</v>
      </c>
      <c r="BJ19" s="288" t="s">
        <v>683</v>
      </c>
      <c r="BK19" s="120" t="s">
        <v>686</v>
      </c>
      <c r="BL19" s="104" t="s">
        <v>732</v>
      </c>
      <c r="BM19" s="438"/>
      <c r="BN19" s="438" t="s">
        <v>755</v>
      </c>
      <c r="BO19" s="438" t="s">
        <v>876</v>
      </c>
      <c r="BP19" s="438" t="s">
        <v>756</v>
      </c>
      <c r="BQ19" s="438"/>
      <c r="BR19" s="438" t="s">
        <v>684</v>
      </c>
      <c r="BS19" s="438" t="s">
        <v>684</v>
      </c>
      <c r="BT19" s="438" t="s">
        <v>684</v>
      </c>
      <c r="BU19" s="438" t="s">
        <v>685</v>
      </c>
      <c r="BV19" s="438" t="s">
        <v>687</v>
      </c>
      <c r="BW19" s="438" t="s">
        <v>687</v>
      </c>
      <c r="BX19" s="438" t="s">
        <v>687</v>
      </c>
      <c r="BY19" s="421" t="s">
        <v>798</v>
      </c>
      <c r="BZ19" s="104"/>
      <c r="CA19" s="104"/>
      <c r="CB19" s="104"/>
      <c r="CC19" s="104"/>
      <c r="CD19" s="104"/>
      <c r="CE19" s="104"/>
      <c r="CF19" s="104"/>
      <c r="CG19" s="104"/>
      <c r="CH19" s="104"/>
      <c r="CI19" s="104"/>
      <c r="CJ19" s="182"/>
      <c r="CK19" s="428"/>
      <c r="CL19" s="428"/>
      <c r="CM19" s="428"/>
      <c r="CN19" s="428"/>
      <c r="CO19" s="428"/>
      <c r="CP19" s="428"/>
      <c r="CQ19" s="482"/>
      <c r="CR19" s="549"/>
      <c r="CS19" s="549"/>
      <c r="CT19" s="449"/>
      <c r="CU19" s="450"/>
      <c r="CW19" s="150">
        <f>COUNTIF(CW23:CW122,0)</f>
        <v>0</v>
      </c>
      <c r="CX19" s="150">
        <f>COUNTIF(CX23:CX122,0)</f>
        <v>0</v>
      </c>
      <c r="CY19" s="150">
        <f>COUNTIF(CY23:CY122,"Match")</f>
        <v>0</v>
      </c>
      <c r="DA19" s="423" t="s">
        <v>282</v>
      </c>
      <c r="DB19" s="23">
        <v>0.75</v>
      </c>
    </row>
    <row r="20" spans="1:106" ht="21.75" customHeight="1">
      <c r="A20" s="9"/>
      <c r="B20" s="102"/>
      <c r="C20" s="494"/>
      <c r="D20" s="42" t="s">
        <v>113</v>
      </c>
      <c r="E20" s="45"/>
      <c r="F20" s="497"/>
      <c r="G20" s="506"/>
      <c r="H20" s="55"/>
      <c r="I20" s="99" t="s">
        <v>115</v>
      </c>
      <c r="J20" s="470"/>
      <c r="K20" s="470"/>
      <c r="L20" s="470"/>
      <c r="M20" s="470"/>
      <c r="N20" s="101" t="s">
        <v>109</v>
      </c>
      <c r="O20" s="100" t="s">
        <v>110</v>
      </c>
      <c r="P20" s="100" t="s">
        <v>465</v>
      </c>
      <c r="Q20" s="479"/>
      <c r="R20" s="476"/>
      <c r="S20" s="135" t="s">
        <v>111</v>
      </c>
      <c r="T20" s="135" t="s">
        <v>111</v>
      </c>
      <c r="U20" s="135" t="s">
        <v>111</v>
      </c>
      <c r="V20" s="135" t="s">
        <v>111</v>
      </c>
      <c r="W20" s="133" t="s">
        <v>112</v>
      </c>
      <c r="X20" s="133" t="s">
        <v>112</v>
      </c>
      <c r="Y20" s="133" t="s">
        <v>112</v>
      </c>
      <c r="Z20" s="133" t="s">
        <v>112</v>
      </c>
      <c r="AA20" s="133" t="s">
        <v>112</v>
      </c>
      <c r="AB20" s="133" t="s">
        <v>112</v>
      </c>
      <c r="AC20" s="133" t="s">
        <v>112</v>
      </c>
      <c r="AD20" s="133" t="s">
        <v>112</v>
      </c>
      <c r="AE20" s="133" t="s">
        <v>112</v>
      </c>
      <c r="AF20" s="133" t="s">
        <v>112</v>
      </c>
      <c r="AG20" s="133" t="s">
        <v>112</v>
      </c>
      <c r="AH20" s="133" t="s">
        <v>112</v>
      </c>
      <c r="AI20" s="133" t="s">
        <v>112</v>
      </c>
      <c r="AJ20" s="133" t="s">
        <v>724</v>
      </c>
      <c r="AK20" s="133" t="s">
        <v>725</v>
      </c>
      <c r="AL20" s="54" t="s">
        <v>116</v>
      </c>
      <c r="AM20" s="54" t="s">
        <v>117</v>
      </c>
      <c r="AN20" s="54" t="s">
        <v>120</v>
      </c>
      <c r="AO20" s="97" t="s">
        <v>121</v>
      </c>
      <c r="AP20" s="545"/>
      <c r="AQ20" s="67" t="s">
        <v>116</v>
      </c>
      <c r="AR20" s="54" t="s">
        <v>117</v>
      </c>
      <c r="AS20" s="54" t="s">
        <v>120</v>
      </c>
      <c r="AT20" s="54" t="s">
        <v>121</v>
      </c>
      <c r="AU20" s="457"/>
      <c r="AV20" s="104" t="s">
        <v>412</v>
      </c>
      <c r="AW20" s="454"/>
      <c r="AX20" s="127" t="s">
        <v>389</v>
      </c>
      <c r="AY20" s="569"/>
      <c r="AZ20" s="454"/>
      <c r="BA20" s="96" t="s">
        <v>400</v>
      </c>
      <c r="BB20" s="96" t="s">
        <v>401</v>
      </c>
      <c r="BC20" s="54" t="s">
        <v>397</v>
      </c>
      <c r="BD20" s="54" t="s">
        <v>408</v>
      </c>
      <c r="BE20" s="96" t="s">
        <v>406</v>
      </c>
      <c r="BF20" s="54" t="s">
        <v>409</v>
      </c>
      <c r="BG20" s="54" t="s">
        <v>410</v>
      </c>
      <c r="BH20" s="120" t="s">
        <v>411</v>
      </c>
      <c r="BI20" s="67"/>
      <c r="BJ20" s="288" t="s">
        <v>684</v>
      </c>
      <c r="BK20" s="120" t="s">
        <v>687</v>
      </c>
      <c r="BL20" s="104" t="s">
        <v>733</v>
      </c>
      <c r="BM20" s="438" t="s">
        <v>682</v>
      </c>
      <c r="BN20" s="438" t="s">
        <v>97</v>
      </c>
      <c r="BO20" s="438" t="s">
        <v>97</v>
      </c>
      <c r="BP20" s="438" t="s">
        <v>97</v>
      </c>
      <c r="BQ20" s="438" t="s">
        <v>683</v>
      </c>
      <c r="BR20" s="438" t="s">
        <v>759</v>
      </c>
      <c r="BS20" s="438" t="s">
        <v>879</v>
      </c>
      <c r="BT20" s="438" t="s">
        <v>761</v>
      </c>
      <c r="BU20" s="438" t="s">
        <v>686</v>
      </c>
      <c r="BV20" s="438" t="s">
        <v>759</v>
      </c>
      <c r="BW20" s="438" t="s">
        <v>879</v>
      </c>
      <c r="BX20" s="438" t="s">
        <v>761</v>
      </c>
      <c r="BY20" s="421" t="s">
        <v>97</v>
      </c>
      <c r="BZ20" s="104"/>
      <c r="CA20" s="104"/>
      <c r="CB20" s="104"/>
      <c r="CC20" s="104"/>
      <c r="CD20" s="104"/>
      <c r="CE20" s="104"/>
      <c r="CF20" s="104"/>
      <c r="CG20" s="104"/>
      <c r="CH20" s="104"/>
      <c r="CI20" s="104"/>
      <c r="CJ20" s="183"/>
      <c r="CK20" s="429"/>
      <c r="CL20" s="429"/>
      <c r="CM20" s="429"/>
      <c r="CN20" s="429"/>
      <c r="CO20" s="429"/>
      <c r="CP20" s="429"/>
      <c r="CQ20" s="482"/>
      <c r="CR20" s="549"/>
      <c r="CS20" s="549"/>
      <c r="CT20" s="449"/>
      <c r="CU20" s="450"/>
      <c r="DA20" s="423" t="s">
        <v>289</v>
      </c>
      <c r="DB20" s="23">
        <v>7</v>
      </c>
    </row>
    <row r="21" spans="1:106" ht="23.25" customHeight="1" thickBot="1">
      <c r="A21" s="9"/>
      <c r="B21" s="39"/>
      <c r="C21" s="495"/>
      <c r="D21" s="46"/>
      <c r="E21" s="47"/>
      <c r="F21" s="498"/>
      <c r="G21" s="507"/>
      <c r="H21" s="47"/>
      <c r="I21" s="80"/>
      <c r="J21" s="471"/>
      <c r="K21" s="471"/>
      <c r="L21" s="471"/>
      <c r="M21" s="471"/>
      <c r="N21" s="78"/>
      <c r="O21" s="50"/>
      <c r="P21" s="50"/>
      <c r="Q21" s="480"/>
      <c r="R21" s="477"/>
      <c r="S21" s="136"/>
      <c r="T21" s="136"/>
      <c r="U21" s="136"/>
      <c r="V21" s="136"/>
      <c r="W21" s="266" t="s">
        <v>585</v>
      </c>
      <c r="X21" s="266" t="s">
        <v>585</v>
      </c>
      <c r="Y21" s="266" t="s">
        <v>585</v>
      </c>
      <c r="Z21" s="266" t="s">
        <v>585</v>
      </c>
      <c r="AA21" s="266" t="s">
        <v>585</v>
      </c>
      <c r="AB21" s="266" t="s">
        <v>585</v>
      </c>
      <c r="AC21" s="266" t="s">
        <v>585</v>
      </c>
      <c r="AD21" s="266" t="s">
        <v>585</v>
      </c>
      <c r="AE21" s="266" t="s">
        <v>585</v>
      </c>
      <c r="AF21" s="266" t="s">
        <v>585</v>
      </c>
      <c r="AG21" s="266" t="s">
        <v>585</v>
      </c>
      <c r="AH21" s="266" t="s">
        <v>585</v>
      </c>
      <c r="AI21" s="266" t="s">
        <v>585</v>
      </c>
      <c r="AJ21" s="266" t="s">
        <v>585</v>
      </c>
      <c r="AK21" s="266" t="s">
        <v>585</v>
      </c>
      <c r="AL21" s="57"/>
      <c r="AM21" s="57"/>
      <c r="AN21" s="57"/>
      <c r="AO21" s="58"/>
      <c r="AP21" s="546"/>
      <c r="AQ21" s="68"/>
      <c r="AR21" s="57"/>
      <c r="AS21" s="57"/>
      <c r="AT21" s="57"/>
      <c r="AU21" s="458"/>
      <c r="AV21" s="105"/>
      <c r="AW21" s="455"/>
      <c r="AX21" s="110"/>
      <c r="AY21" s="570"/>
      <c r="AZ21" s="455"/>
      <c r="BA21" s="111"/>
      <c r="BB21" s="111"/>
      <c r="BC21" s="57"/>
      <c r="BD21" s="115"/>
      <c r="BE21" s="117"/>
      <c r="BF21" s="115"/>
      <c r="BG21" s="115"/>
      <c r="BH21" s="121"/>
      <c r="BI21" s="68"/>
      <c r="BJ21" s="57"/>
      <c r="BK21" s="121"/>
      <c r="BL21" s="105"/>
      <c r="BM21" s="439"/>
      <c r="BN21" s="439" t="s">
        <v>758</v>
      </c>
      <c r="BO21" s="439" t="s">
        <v>877</v>
      </c>
      <c r="BP21" s="439" t="s">
        <v>878</v>
      </c>
      <c r="BQ21" s="439" t="s">
        <v>684</v>
      </c>
      <c r="BR21" s="439" t="s">
        <v>760</v>
      </c>
      <c r="BS21" s="439" t="s">
        <v>877</v>
      </c>
      <c r="BT21" s="439" t="s">
        <v>878</v>
      </c>
      <c r="BU21" s="439" t="s">
        <v>687</v>
      </c>
      <c r="BV21" s="439" t="s">
        <v>760</v>
      </c>
      <c r="BW21" s="439" t="s">
        <v>877</v>
      </c>
      <c r="BX21" s="439" t="s">
        <v>878</v>
      </c>
      <c r="BY21" s="105"/>
      <c r="BZ21" s="105"/>
      <c r="CA21" s="105"/>
      <c r="CB21" s="105"/>
      <c r="CC21" s="105"/>
      <c r="CD21" s="105"/>
      <c r="CE21" s="105"/>
      <c r="CF21" s="105"/>
      <c r="CG21" s="105"/>
      <c r="CH21" s="105"/>
      <c r="CI21" s="105"/>
      <c r="CJ21" s="12"/>
      <c r="CK21" s="139"/>
      <c r="CL21" s="139"/>
      <c r="CM21" s="139"/>
      <c r="CN21" s="139"/>
      <c r="CO21" s="139"/>
      <c r="CP21" s="139"/>
      <c r="CQ21" s="75" t="s">
        <v>135</v>
      </c>
      <c r="CR21" s="549"/>
      <c r="CS21" s="549"/>
      <c r="CT21" s="449"/>
      <c r="CU21" s="450"/>
      <c r="CW21" s="146" t="s">
        <v>356</v>
      </c>
      <c r="CX21" s="146" t="s">
        <v>355</v>
      </c>
      <c r="CY21" s="146" t="s">
        <v>355</v>
      </c>
      <c r="DA21" s="423" t="s">
        <v>179</v>
      </c>
      <c r="DB21" s="23">
        <v>1.5</v>
      </c>
    </row>
    <row r="22" spans="1:106" ht="21.75" hidden="1" customHeight="1" thickBot="1">
      <c r="A22" s="9"/>
      <c r="B22" s="89"/>
      <c r="C22" s="83"/>
      <c r="D22" s="90"/>
      <c r="E22" s="91"/>
      <c r="F22" s="87"/>
      <c r="G22" s="86"/>
      <c r="H22" s="92"/>
      <c r="I22" s="93"/>
      <c r="J22" s="88"/>
      <c r="K22" s="88"/>
      <c r="L22" s="88"/>
      <c r="M22" s="138"/>
      <c r="N22" s="77"/>
      <c r="O22" s="49"/>
      <c r="P22" s="49"/>
      <c r="Q22" s="49"/>
      <c r="R22" s="49"/>
      <c r="S22" s="55"/>
      <c r="T22" s="56"/>
      <c r="U22" s="56"/>
      <c r="V22" s="56"/>
      <c r="W22" s="94"/>
      <c r="X22" s="95"/>
      <c r="Y22" s="137"/>
      <c r="Z22" s="131"/>
      <c r="AA22" s="131"/>
      <c r="AB22" s="131"/>
      <c r="AC22" s="131"/>
      <c r="AD22" s="131"/>
      <c r="AE22" s="131"/>
      <c r="AF22" s="131"/>
      <c r="AG22" s="131"/>
      <c r="AH22" s="131"/>
      <c r="AI22" s="131"/>
      <c r="AJ22" s="131"/>
      <c r="AK22" s="131"/>
      <c r="AL22" s="96"/>
      <c r="AM22" s="54"/>
      <c r="AN22" s="54"/>
      <c r="AO22" s="97"/>
      <c r="AP22" s="85"/>
      <c r="AQ22" s="67"/>
      <c r="AR22" s="54"/>
      <c r="AS22" s="54"/>
      <c r="AT22" s="54"/>
      <c r="AU22" s="84"/>
      <c r="AV22" s="98"/>
      <c r="AW22" s="67"/>
      <c r="AX22" s="109"/>
      <c r="AY22" s="129"/>
      <c r="AZ22" s="96"/>
      <c r="BA22" s="54"/>
      <c r="BB22" s="54"/>
      <c r="BC22" s="109"/>
      <c r="BD22" s="98"/>
      <c r="BE22" s="96"/>
      <c r="BF22" s="54"/>
      <c r="BG22" s="54"/>
      <c r="BH22" s="109"/>
      <c r="BI22" s="99"/>
      <c r="BJ22" s="99"/>
      <c r="BK22" s="99"/>
      <c r="BL22" s="98"/>
      <c r="BM22" s="98"/>
      <c r="BN22" s="98"/>
      <c r="BO22" s="98"/>
      <c r="BP22" s="98"/>
      <c r="BQ22" s="98"/>
      <c r="BR22" s="98"/>
      <c r="BS22" s="98"/>
      <c r="BT22" s="98"/>
      <c r="BU22" s="98"/>
      <c r="BV22" s="98"/>
      <c r="BW22" s="98"/>
      <c r="BX22" s="98"/>
      <c r="BY22" s="98"/>
      <c r="BZ22" s="98"/>
      <c r="CA22" s="98"/>
      <c r="CB22" s="98"/>
      <c r="CC22" s="98"/>
      <c r="CD22" s="98"/>
      <c r="CE22" s="98"/>
      <c r="CF22" s="98"/>
      <c r="CG22" s="98"/>
      <c r="CH22" s="98"/>
      <c r="CI22" s="98"/>
      <c r="CJ22" s="99"/>
      <c r="CK22" s="430"/>
      <c r="CL22" s="430"/>
      <c r="CM22" s="430"/>
      <c r="CN22" s="430"/>
      <c r="CO22" s="430"/>
      <c r="CP22" s="430"/>
      <c r="CQ22" s="179" t="s">
        <v>135</v>
      </c>
      <c r="CU22" s="151"/>
      <c r="CY22" s="146"/>
      <c r="DA22" s="423"/>
    </row>
    <row r="23" spans="1:106" ht="19.5" customHeight="1">
      <c r="A23" s="10">
        <v>1</v>
      </c>
      <c r="B23" s="373"/>
      <c r="C23" s="373"/>
      <c r="D23" s="374"/>
      <c r="E23" s="375"/>
      <c r="F23" s="373"/>
      <c r="G23" s="373"/>
      <c r="H23" s="376"/>
      <c r="I23" s="377"/>
      <c r="J23" s="378"/>
      <c r="K23" s="379"/>
      <c r="L23" s="374"/>
      <c r="M23" s="380" t="str">
        <f ca="1">IF(L23="","",TODAY()+L23+14)</f>
        <v/>
      </c>
      <c r="N23" s="373"/>
      <c r="O23" s="381"/>
      <c r="P23" s="381"/>
      <c r="Q23" s="382"/>
      <c r="R23" s="381"/>
      <c r="S23" s="383"/>
      <c r="T23" s="384" t="str">
        <f>IF(S23="","",IF(AND(IF($N$5="C",1,0),IF(C23&lt;&gt;"C",1,0))=1,S23+$U$8,S23))</f>
        <v/>
      </c>
      <c r="U23" s="385"/>
      <c r="V23" s="384" t="str">
        <f>IF(U23="","",IF(AND(IF($N$5="C",1,0),IF(C23&lt;&gt;"C",1,0))=1,U23+$U$8,U23))</f>
        <v/>
      </c>
      <c r="W23" s="386"/>
      <c r="X23" s="386" t="str">
        <f>IF(W23="","",W23)</f>
        <v/>
      </c>
      <c r="Y23" s="386"/>
      <c r="Z23" s="386"/>
      <c r="AA23" s="387"/>
      <c r="AB23" s="386" t="str">
        <f>IF(W23="","",W23)</f>
        <v/>
      </c>
      <c r="AC23" s="386" t="str">
        <f>IF(W23="","",W23)</f>
        <v/>
      </c>
      <c r="AD23" s="386" t="str">
        <f>IF(W23="","",W23)</f>
        <v/>
      </c>
      <c r="AE23" s="386" t="str">
        <f>IF(W23="","",W23)</f>
        <v/>
      </c>
      <c r="AF23" s="386" t="str">
        <f>IF(W23="","",W23)</f>
        <v/>
      </c>
      <c r="AG23" s="386" t="str">
        <f>IF(W23="","",W23)</f>
        <v/>
      </c>
      <c r="AH23" s="386" t="str">
        <f>IF(W23="","",W23)</f>
        <v/>
      </c>
      <c r="AI23" s="386" t="str">
        <f>IF(W23="","",W23)</f>
        <v/>
      </c>
      <c r="AJ23" s="386" t="str">
        <f>IF(W23="","",W23)</f>
        <v/>
      </c>
      <c r="AK23" s="386" t="str">
        <f>IF(Z23="","",Z23)</f>
        <v/>
      </c>
      <c r="AL23" s="388"/>
      <c r="AM23" s="388"/>
      <c r="AN23" s="388"/>
      <c r="AO23" s="388"/>
      <c r="AP23" s="402" t="str">
        <f>IF(AND(AL23="",AM23="",AN23="",AO23=""),"",IF(AL23="","Missing Height",IF(AM23="","Missing Width",IF(AN23="","Missing Length",AL23*AM23*AN23/1728))))</f>
        <v/>
      </c>
      <c r="AQ23" s="388"/>
      <c r="AR23" s="388"/>
      <c r="AS23" s="388"/>
      <c r="AT23" s="388"/>
      <c r="AU23" s="402" t="str">
        <f>IF(AND(AQ23="",AR23="",AS23="",AT23=""),"",IF(AQ23="","Missing Height",IF(AR23="","Missing Width",IF(AS23="","Missing Length",AQ23*AR23*AS23/1728))))</f>
        <v/>
      </c>
      <c r="AV23" s="389"/>
      <c r="AW23" s="381"/>
      <c r="AX23" s="381"/>
      <c r="AY23" s="373"/>
      <c r="AZ23" s="390"/>
      <c r="BA23" s="390"/>
      <c r="BB23" s="391"/>
      <c r="BC23" s="392"/>
      <c r="BD23" s="393"/>
      <c r="BE23" s="393"/>
      <c r="BF23" s="393"/>
      <c r="BG23" s="394"/>
      <c r="BH23" s="395"/>
      <c r="BI23" s="374"/>
      <c r="BJ23" s="374"/>
      <c r="BK23" s="374"/>
      <c r="BL23" s="389"/>
      <c r="BM23" s="397"/>
      <c r="BN23" s="389"/>
      <c r="BO23" s="419" t="str">
        <f>IF(I23="","",I23)</f>
        <v/>
      </c>
      <c r="BP23" s="389"/>
      <c r="BQ23" s="397"/>
      <c r="BR23" s="419"/>
      <c r="BS23" s="419"/>
      <c r="BT23" s="419"/>
      <c r="BU23" s="432"/>
      <c r="BV23" s="419"/>
      <c r="BW23" s="419"/>
      <c r="BX23" s="419"/>
      <c r="BY23" s="389"/>
      <c r="BZ23" s="389"/>
      <c r="CA23" s="389"/>
      <c r="CB23" s="389"/>
      <c r="CC23" s="389"/>
      <c r="CD23" s="389"/>
      <c r="CE23" s="389"/>
      <c r="CF23" s="389"/>
      <c r="CG23" s="389"/>
      <c r="CH23" s="389"/>
      <c r="CI23" s="389"/>
      <c r="CJ23" s="422"/>
      <c r="CK23" s="422"/>
      <c r="CL23" s="422"/>
      <c r="CM23" s="422"/>
      <c r="CN23" s="422"/>
      <c r="CO23" s="422"/>
      <c r="CP23" s="422"/>
      <c r="CQ23" s="434">
        <v>1000</v>
      </c>
      <c r="CR23" s="431" t="str">
        <f t="shared" ref="CR23:CR38" si="0">IF(N23="","",IF(MOD(N23,O23)=0,"","CASE PACK Problems"))</f>
        <v/>
      </c>
      <c r="CS23" s="35" t="str">
        <f t="shared" ref="CS23:CS38" si="1">IF($N$3="","Direct or WHSE.",IF(N23="","Need Master Pack QTY.",IF(O23="","Need Inner Pack QTY.",IF($N$3="W",IF(MOD(N23,O23)=0,"","Inner Pack is not a Multiple of the Master pack."),IF(O23="","",IF(O23=N23,"","Master PK and Inner PK don't equal."))))))</f>
        <v>Direct or WHSE.</v>
      </c>
      <c r="CT23" s="411" t="s">
        <v>735</v>
      </c>
      <c r="CU23" s="411"/>
      <c r="CW23" s="152" t="str">
        <f t="shared" ref="CW23:CW38" si="2">IF(W23="","",MOD(W23,1))</f>
        <v/>
      </c>
      <c r="CX23" s="152" t="str">
        <f t="shared" ref="CX23:CX38" si="3">IF(X23="","",MOD(X23,1))</f>
        <v/>
      </c>
      <c r="CY23" s="152" t="str">
        <f t="shared" ref="CY23:CY38" si="4">IF(W23="","",IF(W23=X23,"Match",""))</f>
        <v/>
      </c>
      <c r="DA23" s="423" t="s">
        <v>170</v>
      </c>
      <c r="DB23" s="23">
        <v>2.5</v>
      </c>
    </row>
    <row r="24" spans="1:106" ht="19.5" customHeight="1">
      <c r="A24" s="10">
        <v>2</v>
      </c>
      <c r="B24" s="373"/>
      <c r="C24" s="373"/>
      <c r="D24" s="395"/>
      <c r="E24" s="375"/>
      <c r="F24" s="373"/>
      <c r="G24" s="373"/>
      <c r="H24" s="376"/>
      <c r="I24" s="433"/>
      <c r="J24" s="378"/>
      <c r="K24" s="379"/>
      <c r="L24" s="374"/>
      <c r="M24" s="380" t="str">
        <f ca="1">IF(L24="","",TODAY()+L24+14)</f>
        <v/>
      </c>
      <c r="N24" s="373"/>
      <c r="O24" s="381"/>
      <c r="P24" s="381"/>
      <c r="Q24" s="382"/>
      <c r="R24" s="381"/>
      <c r="S24" s="383"/>
      <c r="T24" s="384" t="str">
        <f>IF(S24="","",IF(AND(IF($N$5="C",1,0),IF(C24&lt;&gt;"C",1,0))=1,S24+$U$8,S24))</f>
        <v/>
      </c>
      <c r="U24" s="385"/>
      <c r="V24" s="384" t="str">
        <f t="shared" ref="V24:V88" si="5">IF(U24="","",IF(AND(IF($N$5="C",1,0),IF(C24&lt;&gt;"C",1,0))=1,U24+$U$8,U24))</f>
        <v/>
      </c>
      <c r="W24" s="386"/>
      <c r="X24" s="386" t="str">
        <f>IF(W24="","",W24)</f>
        <v/>
      </c>
      <c r="Y24" s="386" t="str">
        <f>IF(W24="","",W24)</f>
        <v/>
      </c>
      <c r="Z24" s="386" t="str">
        <f>IF(Q24="N","",IF(Q24="","",IF(W24="","",W24)))</f>
        <v/>
      </c>
      <c r="AA24" s="387"/>
      <c r="AB24" s="386" t="str">
        <f>IF(W24="","",W24)</f>
        <v/>
      </c>
      <c r="AC24" s="386" t="str">
        <f>IF(W24="","",W24)</f>
        <v/>
      </c>
      <c r="AD24" s="386" t="str">
        <f>IF(W24="","",W24)</f>
        <v/>
      </c>
      <c r="AE24" s="386" t="str">
        <f>IF(W24="","",W24)</f>
        <v/>
      </c>
      <c r="AF24" s="386" t="str">
        <f>IF(W24="","",W24)</f>
        <v/>
      </c>
      <c r="AG24" s="386" t="str">
        <f>IF(W24="","",W24)</f>
        <v/>
      </c>
      <c r="AH24" s="386" t="str">
        <f>IF(W24="","",W24)</f>
        <v/>
      </c>
      <c r="AI24" s="386" t="str">
        <f t="shared" ref="AI24" si="6">IF(W24="","",W24)</f>
        <v/>
      </c>
      <c r="AJ24" s="386" t="str">
        <f t="shared" ref="AJ24" si="7">IF(W24="","",W24)</f>
        <v/>
      </c>
      <c r="AK24" s="386" t="str">
        <f t="shared" ref="AK24" si="8">IF(Z24="","",Z24)</f>
        <v/>
      </c>
      <c r="AL24" s="388"/>
      <c r="AM24" s="388"/>
      <c r="AN24" s="388"/>
      <c r="AO24" s="388"/>
      <c r="AP24" s="402" t="str">
        <f>IF(AND(AL24="",AM24="",AN24="",AO24=""),"",IF(AL24="","Missing Height",IF(AM24="","Missing Width",IF(AN24="","Missing Length",AL24*AM24*AN24/1728))))</f>
        <v/>
      </c>
      <c r="AQ24" s="388"/>
      <c r="AR24" s="388"/>
      <c r="AS24" s="388"/>
      <c r="AT24" s="388"/>
      <c r="AU24" s="402" t="str">
        <f>IF(AND(AQ24="",AR24="",AS24="",AT24=""),"",IF(AQ24="","Missing Height",IF(AR24="","Missing Width",IF(AS24="","Missing Length",AQ24*AR24*AS24/1728))))</f>
        <v/>
      </c>
      <c r="AV24" s="389"/>
      <c r="AW24" s="381"/>
      <c r="AX24" s="381"/>
      <c r="AY24" s="373"/>
      <c r="AZ24" s="390"/>
      <c r="BA24" s="390"/>
      <c r="BB24" s="391"/>
      <c r="BC24" s="392"/>
      <c r="BD24" s="393"/>
      <c r="BE24" s="393"/>
      <c r="BF24" s="393"/>
      <c r="BG24" s="394"/>
      <c r="BH24" s="395"/>
      <c r="BI24" s="374"/>
      <c r="BJ24" s="374"/>
      <c r="BK24" s="374"/>
      <c r="BL24" s="389"/>
      <c r="BM24" s="397"/>
      <c r="BN24" s="389"/>
      <c r="BO24" s="419" t="str">
        <f>IF(I24="","",I24)</f>
        <v/>
      </c>
      <c r="BP24" s="389"/>
      <c r="BQ24" s="397"/>
      <c r="BR24" s="419"/>
      <c r="BS24" s="419"/>
      <c r="BT24" s="419"/>
      <c r="BU24" s="432"/>
      <c r="BV24" s="419"/>
      <c r="BW24" s="419"/>
      <c r="BX24" s="419"/>
      <c r="BY24" s="389"/>
      <c r="BZ24" s="389"/>
      <c r="CA24" s="389"/>
      <c r="CB24" s="389"/>
      <c r="CC24" s="389"/>
      <c r="CD24" s="389"/>
      <c r="CE24" s="389"/>
      <c r="CF24" s="389"/>
      <c r="CG24" s="389"/>
      <c r="CH24" s="389"/>
      <c r="CI24" s="389"/>
      <c r="CJ24" s="422"/>
      <c r="CK24" s="422"/>
      <c r="CL24" s="422"/>
      <c r="CM24" s="422"/>
      <c r="CN24" s="422"/>
      <c r="CO24" s="422"/>
      <c r="CP24" s="422"/>
      <c r="CQ24" s="433" t="s">
        <v>446</v>
      </c>
      <c r="CR24" s="431" t="str">
        <f t="shared" si="0"/>
        <v/>
      </c>
      <c r="CS24" s="35" t="str">
        <f t="shared" si="1"/>
        <v>Direct or WHSE.</v>
      </c>
      <c r="CT24" s="412" t="s">
        <v>736</v>
      </c>
      <c r="CU24" s="411"/>
      <c r="CW24" s="153" t="str">
        <f t="shared" si="2"/>
        <v/>
      </c>
      <c r="CX24" s="153" t="str">
        <f t="shared" si="3"/>
        <v/>
      </c>
      <c r="CY24" s="153" t="str">
        <f t="shared" si="4"/>
        <v/>
      </c>
      <c r="DA24" s="423" t="s">
        <v>262</v>
      </c>
      <c r="DB24" s="23">
        <v>3</v>
      </c>
    </row>
    <row r="25" spans="1:106" ht="19.5" customHeight="1">
      <c r="A25" s="10">
        <v>3</v>
      </c>
      <c r="B25" s="373"/>
      <c r="C25" s="373"/>
      <c r="D25" s="395"/>
      <c r="E25" s="375"/>
      <c r="F25" s="373"/>
      <c r="G25" s="373"/>
      <c r="H25" s="376"/>
      <c r="I25" s="377"/>
      <c r="J25" s="378"/>
      <c r="K25" s="379"/>
      <c r="L25" s="374"/>
      <c r="M25" s="380" t="str">
        <f t="shared" ref="M25:M88" ca="1" si="9">IF(L25="","",TODAY()+L25+14)</f>
        <v/>
      </c>
      <c r="N25" s="373"/>
      <c r="O25" s="381"/>
      <c r="P25" s="381"/>
      <c r="Q25" s="382"/>
      <c r="R25" s="381"/>
      <c r="S25" s="383"/>
      <c r="T25" s="384" t="str">
        <f t="shared" ref="T25:T88" si="10">IF(S25="","",IF(AND(IF($N$5="C",1,0),IF(C25&lt;&gt;"C",1,0))=1,S25+$U$8,S25))</f>
        <v/>
      </c>
      <c r="U25" s="385"/>
      <c r="V25" s="384" t="str">
        <f t="shared" si="5"/>
        <v/>
      </c>
      <c r="W25" s="386"/>
      <c r="X25" s="386" t="str">
        <f t="shared" ref="X25:X88" si="11">IF(W25="","",W25)</f>
        <v/>
      </c>
      <c r="Y25" s="386" t="str">
        <f t="shared" ref="Y25:Y88" si="12">IF(W25="","",W25)</f>
        <v/>
      </c>
      <c r="Z25" s="386" t="str">
        <f t="shared" ref="Z25:Z88" si="13">IF(Q25="N","",IF(Q25="","",IF(W25="","",W25)))</f>
        <v/>
      </c>
      <c r="AA25" s="387"/>
      <c r="AB25" s="386" t="str">
        <f t="shared" ref="AB25:AB88" si="14">IF(W25="","",W25)</f>
        <v/>
      </c>
      <c r="AC25" s="386" t="str">
        <f t="shared" ref="AC25:AC88" si="15">IF(W25="","",W25)</f>
        <v/>
      </c>
      <c r="AD25" s="386" t="str">
        <f t="shared" ref="AD25:AD88" si="16">IF(W25="","",W25)</f>
        <v/>
      </c>
      <c r="AE25" s="386" t="str">
        <f t="shared" ref="AE25:AE88" si="17">IF(W25="","",W25)</f>
        <v/>
      </c>
      <c r="AF25" s="386" t="str">
        <f t="shared" ref="AF25:AF88" si="18">IF(W25="","",W25)</f>
        <v/>
      </c>
      <c r="AG25" s="386" t="str">
        <f t="shared" ref="AG25:AG88" si="19">IF(W25="","",W25)</f>
        <v/>
      </c>
      <c r="AH25" s="386" t="str">
        <f t="shared" ref="AH25:AH88" si="20">IF(W25="","",W25)</f>
        <v/>
      </c>
      <c r="AI25" s="386" t="str">
        <f t="shared" ref="AI25:AI88" si="21">IF(W25="","",W25)</f>
        <v/>
      </c>
      <c r="AJ25" s="386" t="str">
        <f t="shared" ref="AJ25:AJ88" si="22">IF(W25="","",W25)</f>
        <v/>
      </c>
      <c r="AK25" s="386" t="str">
        <f t="shared" ref="AK25:AK88" si="23">IF(Z25="","",Z25)</f>
        <v/>
      </c>
      <c r="AL25" s="388"/>
      <c r="AM25" s="388"/>
      <c r="AN25" s="388"/>
      <c r="AO25" s="388"/>
      <c r="AP25" s="402" t="str">
        <f t="shared" ref="AP25:AP88" si="24">IF(AND(AL25="",AM25="",AN25="",AO25=""),"",IF(AL25="","Missing Height",IF(AM25="","Missing Width",IF(AN25="","Missing Length",AL25*AM25*AN25/1728))))</f>
        <v/>
      </c>
      <c r="AQ25" s="388"/>
      <c r="AR25" s="388"/>
      <c r="AS25" s="388"/>
      <c r="AT25" s="388"/>
      <c r="AU25" s="402" t="str">
        <f t="shared" ref="AU25:AU88" si="25">IF(AND(AQ25="",AR25="",AS25="",AT25=""),"",IF(AQ25="","Missing Height",IF(AR25="","Missing Width",IF(AS25="","Missing Length",AQ25*AR25*AS25/1728))))</f>
        <v/>
      </c>
      <c r="AV25" s="389"/>
      <c r="AW25" s="381"/>
      <c r="AX25" s="381"/>
      <c r="AY25" s="373"/>
      <c r="AZ25" s="390"/>
      <c r="BA25" s="390"/>
      <c r="BB25" s="391"/>
      <c r="BC25" s="392"/>
      <c r="BD25" s="393"/>
      <c r="BE25" s="393"/>
      <c r="BF25" s="393"/>
      <c r="BG25" s="394"/>
      <c r="BH25" s="395"/>
      <c r="BI25" s="374"/>
      <c r="BJ25" s="374"/>
      <c r="BK25" s="374"/>
      <c r="BL25" s="389"/>
      <c r="BM25" s="397"/>
      <c r="BN25" s="389"/>
      <c r="BO25" s="419" t="str">
        <f t="shared" ref="BO25:BO88" si="26">IF(I25="","",I25)</f>
        <v/>
      </c>
      <c r="BP25" s="389"/>
      <c r="BQ25" s="397"/>
      <c r="BR25" s="419"/>
      <c r="BS25" s="419"/>
      <c r="BT25" s="419"/>
      <c r="BU25" s="432"/>
      <c r="BV25" s="419"/>
      <c r="BW25" s="419"/>
      <c r="BX25" s="419"/>
      <c r="BY25" s="389"/>
      <c r="BZ25" s="389"/>
      <c r="CA25" s="389"/>
      <c r="CB25" s="389"/>
      <c r="CC25" s="389"/>
      <c r="CD25" s="389"/>
      <c r="CE25" s="389"/>
      <c r="CF25" s="389"/>
      <c r="CG25" s="389"/>
      <c r="CH25" s="389"/>
      <c r="CI25" s="389"/>
      <c r="CJ25" s="422"/>
      <c r="CK25" s="422"/>
      <c r="CL25" s="422"/>
      <c r="CM25" s="422"/>
      <c r="CN25" s="422"/>
      <c r="CO25" s="422"/>
      <c r="CP25" s="422"/>
      <c r="CQ25" s="433" t="s">
        <v>447</v>
      </c>
      <c r="CR25" s="431" t="str">
        <f t="shared" si="0"/>
        <v/>
      </c>
      <c r="CS25" s="35" t="str">
        <f t="shared" si="1"/>
        <v>Direct or WHSE.</v>
      </c>
      <c r="CT25" s="412" t="s">
        <v>737</v>
      </c>
      <c r="CU25" s="411"/>
      <c r="CW25" s="153" t="str">
        <f t="shared" si="2"/>
        <v/>
      </c>
      <c r="CX25" s="153" t="str">
        <f t="shared" si="3"/>
        <v/>
      </c>
      <c r="CY25" s="153" t="str">
        <f t="shared" si="4"/>
        <v/>
      </c>
      <c r="DA25" s="423" t="s">
        <v>180</v>
      </c>
      <c r="DB25" s="23">
        <v>6</v>
      </c>
    </row>
    <row r="26" spans="1:106" ht="19.5" customHeight="1">
      <c r="A26" s="10">
        <v>4</v>
      </c>
      <c r="B26" s="373"/>
      <c r="C26" s="373"/>
      <c r="D26" s="395"/>
      <c r="E26" s="375"/>
      <c r="F26" s="373"/>
      <c r="G26" s="373"/>
      <c r="H26" s="376"/>
      <c r="I26" s="377"/>
      <c r="J26" s="378"/>
      <c r="K26" s="379"/>
      <c r="L26" s="374"/>
      <c r="M26" s="380" t="str">
        <f t="shared" ca="1" si="9"/>
        <v/>
      </c>
      <c r="N26" s="373"/>
      <c r="O26" s="381"/>
      <c r="P26" s="381"/>
      <c r="Q26" s="382"/>
      <c r="R26" s="381"/>
      <c r="S26" s="383"/>
      <c r="T26" s="384" t="str">
        <f t="shared" si="10"/>
        <v/>
      </c>
      <c r="U26" s="385"/>
      <c r="V26" s="384" t="str">
        <f t="shared" si="5"/>
        <v/>
      </c>
      <c r="W26" s="386"/>
      <c r="X26" s="386" t="str">
        <f t="shared" si="11"/>
        <v/>
      </c>
      <c r="Y26" s="386" t="str">
        <f t="shared" si="12"/>
        <v/>
      </c>
      <c r="Z26" s="386" t="str">
        <f t="shared" si="13"/>
        <v/>
      </c>
      <c r="AA26" s="387"/>
      <c r="AB26" s="386" t="str">
        <f t="shared" si="14"/>
        <v/>
      </c>
      <c r="AC26" s="386" t="str">
        <f t="shared" si="15"/>
        <v/>
      </c>
      <c r="AD26" s="386" t="str">
        <f t="shared" si="16"/>
        <v/>
      </c>
      <c r="AE26" s="386" t="str">
        <f t="shared" si="17"/>
        <v/>
      </c>
      <c r="AF26" s="386" t="str">
        <f t="shared" si="18"/>
        <v/>
      </c>
      <c r="AG26" s="386" t="str">
        <f t="shared" si="19"/>
        <v/>
      </c>
      <c r="AH26" s="386" t="str">
        <f t="shared" si="20"/>
        <v/>
      </c>
      <c r="AI26" s="386" t="str">
        <f t="shared" si="21"/>
        <v/>
      </c>
      <c r="AJ26" s="386" t="str">
        <f t="shared" si="22"/>
        <v/>
      </c>
      <c r="AK26" s="386" t="str">
        <f t="shared" si="23"/>
        <v/>
      </c>
      <c r="AL26" s="388"/>
      <c r="AM26" s="388"/>
      <c r="AN26" s="388"/>
      <c r="AO26" s="388"/>
      <c r="AP26" s="402" t="str">
        <f t="shared" si="24"/>
        <v/>
      </c>
      <c r="AQ26" s="388"/>
      <c r="AR26" s="388"/>
      <c r="AS26" s="388"/>
      <c r="AT26" s="388"/>
      <c r="AU26" s="402" t="str">
        <f t="shared" si="25"/>
        <v/>
      </c>
      <c r="AV26" s="389"/>
      <c r="AW26" s="381"/>
      <c r="AX26" s="381"/>
      <c r="AY26" s="373"/>
      <c r="AZ26" s="390"/>
      <c r="BA26" s="390"/>
      <c r="BB26" s="391"/>
      <c r="BC26" s="392"/>
      <c r="BD26" s="393"/>
      <c r="BE26" s="393"/>
      <c r="BF26" s="393"/>
      <c r="BG26" s="394"/>
      <c r="BH26" s="395"/>
      <c r="BI26" s="374"/>
      <c r="BJ26" s="374"/>
      <c r="BK26" s="374"/>
      <c r="BL26" s="389"/>
      <c r="BM26" s="397"/>
      <c r="BN26" s="389"/>
      <c r="BO26" s="419" t="str">
        <f t="shared" si="26"/>
        <v/>
      </c>
      <c r="BP26" s="389"/>
      <c r="BQ26" s="397"/>
      <c r="BR26" s="419"/>
      <c r="BS26" s="419"/>
      <c r="BT26" s="419"/>
      <c r="BU26" s="432"/>
      <c r="BV26" s="419"/>
      <c r="BW26" s="419"/>
      <c r="BX26" s="419"/>
      <c r="BY26" s="389"/>
      <c r="BZ26" s="389"/>
      <c r="CA26" s="389"/>
      <c r="CB26" s="389"/>
      <c r="CC26" s="389"/>
      <c r="CD26" s="389"/>
      <c r="CE26" s="389"/>
      <c r="CF26" s="389"/>
      <c r="CG26" s="389"/>
      <c r="CH26" s="389"/>
      <c r="CI26" s="389"/>
      <c r="CJ26" s="422"/>
      <c r="CK26" s="422"/>
      <c r="CL26" s="422"/>
      <c r="CM26" s="422"/>
      <c r="CN26" s="422"/>
      <c r="CO26" s="422"/>
      <c r="CP26" s="422"/>
      <c r="CQ26" s="433" t="s">
        <v>448</v>
      </c>
      <c r="CR26" s="431" t="str">
        <f t="shared" si="0"/>
        <v/>
      </c>
      <c r="CS26" s="35" t="str">
        <f t="shared" si="1"/>
        <v>Direct or WHSE.</v>
      </c>
      <c r="CT26" s="412" t="s">
        <v>738</v>
      </c>
      <c r="CU26" s="411"/>
      <c r="CW26" s="153" t="str">
        <f t="shared" si="2"/>
        <v/>
      </c>
      <c r="CX26" s="153" t="str">
        <f t="shared" si="3"/>
        <v/>
      </c>
      <c r="CY26" s="153" t="str">
        <f t="shared" si="4"/>
        <v/>
      </c>
      <c r="DA26" s="423" t="s">
        <v>171</v>
      </c>
      <c r="DB26" s="23">
        <v>3</v>
      </c>
    </row>
    <row r="27" spans="1:106" ht="19.5" customHeight="1">
      <c r="A27" s="10">
        <v>5</v>
      </c>
      <c r="B27" s="373"/>
      <c r="C27" s="373"/>
      <c r="D27" s="395"/>
      <c r="E27" s="375"/>
      <c r="F27" s="373"/>
      <c r="G27" s="373"/>
      <c r="H27" s="376"/>
      <c r="I27" s="377"/>
      <c r="J27" s="378"/>
      <c r="K27" s="379"/>
      <c r="L27" s="374"/>
      <c r="M27" s="380" t="str">
        <f t="shared" ca="1" si="9"/>
        <v/>
      </c>
      <c r="N27" s="373"/>
      <c r="O27" s="381"/>
      <c r="P27" s="381"/>
      <c r="Q27" s="382"/>
      <c r="R27" s="381"/>
      <c r="S27" s="383"/>
      <c r="T27" s="384" t="str">
        <f t="shared" si="10"/>
        <v/>
      </c>
      <c r="U27" s="385"/>
      <c r="V27" s="384" t="str">
        <f t="shared" si="5"/>
        <v/>
      </c>
      <c r="W27" s="386"/>
      <c r="X27" s="386" t="str">
        <f t="shared" si="11"/>
        <v/>
      </c>
      <c r="Y27" s="386" t="str">
        <f t="shared" si="12"/>
        <v/>
      </c>
      <c r="Z27" s="386" t="str">
        <f t="shared" si="13"/>
        <v/>
      </c>
      <c r="AA27" s="387"/>
      <c r="AB27" s="386" t="str">
        <f t="shared" si="14"/>
        <v/>
      </c>
      <c r="AC27" s="386" t="str">
        <f t="shared" si="15"/>
        <v/>
      </c>
      <c r="AD27" s="386" t="str">
        <f t="shared" si="16"/>
        <v/>
      </c>
      <c r="AE27" s="386" t="str">
        <f t="shared" si="17"/>
        <v/>
      </c>
      <c r="AF27" s="386" t="str">
        <f t="shared" si="18"/>
        <v/>
      </c>
      <c r="AG27" s="386" t="str">
        <f t="shared" si="19"/>
        <v/>
      </c>
      <c r="AH27" s="386" t="str">
        <f t="shared" si="20"/>
        <v/>
      </c>
      <c r="AI27" s="386" t="str">
        <f t="shared" si="21"/>
        <v/>
      </c>
      <c r="AJ27" s="386" t="str">
        <f t="shared" si="22"/>
        <v/>
      </c>
      <c r="AK27" s="386" t="str">
        <f t="shared" si="23"/>
        <v/>
      </c>
      <c r="AL27" s="388"/>
      <c r="AM27" s="388"/>
      <c r="AN27" s="388"/>
      <c r="AO27" s="388"/>
      <c r="AP27" s="402" t="str">
        <f t="shared" si="24"/>
        <v/>
      </c>
      <c r="AQ27" s="388"/>
      <c r="AR27" s="388"/>
      <c r="AS27" s="388"/>
      <c r="AT27" s="388"/>
      <c r="AU27" s="402" t="str">
        <f t="shared" si="25"/>
        <v/>
      </c>
      <c r="AV27" s="389"/>
      <c r="AW27" s="381"/>
      <c r="AX27" s="381"/>
      <c r="AY27" s="373"/>
      <c r="AZ27" s="390"/>
      <c r="BA27" s="390"/>
      <c r="BB27" s="391"/>
      <c r="BC27" s="392"/>
      <c r="BD27" s="393"/>
      <c r="BE27" s="393"/>
      <c r="BF27" s="393"/>
      <c r="BG27" s="394"/>
      <c r="BH27" s="395"/>
      <c r="BI27" s="374"/>
      <c r="BJ27" s="374"/>
      <c r="BK27" s="374"/>
      <c r="BL27" s="389"/>
      <c r="BM27" s="397"/>
      <c r="BN27" s="389"/>
      <c r="BO27" s="419" t="str">
        <f t="shared" si="26"/>
        <v/>
      </c>
      <c r="BP27" s="389"/>
      <c r="BQ27" s="397"/>
      <c r="BR27" s="419"/>
      <c r="BS27" s="419"/>
      <c r="BT27" s="419"/>
      <c r="BU27" s="432"/>
      <c r="BV27" s="419"/>
      <c r="BW27" s="419"/>
      <c r="BX27" s="419"/>
      <c r="BY27" s="389"/>
      <c r="BZ27" s="389"/>
      <c r="CA27" s="389"/>
      <c r="CB27" s="389"/>
      <c r="CC27" s="389"/>
      <c r="CD27" s="389"/>
      <c r="CE27" s="389"/>
      <c r="CF27" s="389"/>
      <c r="CG27" s="389"/>
      <c r="CH27" s="389"/>
      <c r="CI27" s="389"/>
      <c r="CJ27" s="422"/>
      <c r="CK27" s="422"/>
      <c r="CL27" s="422"/>
      <c r="CM27" s="422"/>
      <c r="CN27" s="422"/>
      <c r="CO27" s="422"/>
      <c r="CP27" s="422"/>
      <c r="CQ27" s="433" t="s">
        <v>449</v>
      </c>
      <c r="CR27" s="431" t="str">
        <f t="shared" si="0"/>
        <v/>
      </c>
      <c r="CS27" s="35" t="str">
        <f t="shared" si="1"/>
        <v>Direct or WHSE.</v>
      </c>
      <c r="CT27" s="412" t="s">
        <v>739</v>
      </c>
      <c r="CU27" s="411"/>
      <c r="CW27" s="153" t="str">
        <f t="shared" si="2"/>
        <v/>
      </c>
      <c r="CX27" s="153" t="str">
        <f t="shared" si="3"/>
        <v/>
      </c>
      <c r="CY27" s="153" t="str">
        <f t="shared" si="4"/>
        <v/>
      </c>
      <c r="DA27" s="423" t="s">
        <v>172</v>
      </c>
      <c r="DB27" s="23">
        <v>2.5</v>
      </c>
    </row>
    <row r="28" spans="1:106" ht="19.5" customHeight="1">
      <c r="A28" s="10">
        <v>6</v>
      </c>
      <c r="B28" s="373"/>
      <c r="C28" s="373"/>
      <c r="D28" s="395"/>
      <c r="E28" s="375"/>
      <c r="F28" s="373"/>
      <c r="G28" s="373"/>
      <c r="H28" s="376"/>
      <c r="I28" s="377"/>
      <c r="J28" s="378"/>
      <c r="K28" s="379"/>
      <c r="L28" s="374"/>
      <c r="M28" s="380" t="str">
        <f t="shared" ca="1" si="9"/>
        <v/>
      </c>
      <c r="N28" s="373"/>
      <c r="O28" s="381"/>
      <c r="P28" s="381"/>
      <c r="Q28" s="382"/>
      <c r="R28" s="381"/>
      <c r="S28" s="383"/>
      <c r="T28" s="384" t="str">
        <f t="shared" si="10"/>
        <v/>
      </c>
      <c r="U28" s="385"/>
      <c r="V28" s="384" t="str">
        <f t="shared" si="5"/>
        <v/>
      </c>
      <c r="W28" s="386"/>
      <c r="X28" s="386" t="str">
        <f t="shared" si="11"/>
        <v/>
      </c>
      <c r="Y28" s="386" t="str">
        <f t="shared" si="12"/>
        <v/>
      </c>
      <c r="Z28" s="386" t="str">
        <f t="shared" si="13"/>
        <v/>
      </c>
      <c r="AA28" s="387"/>
      <c r="AB28" s="386" t="str">
        <f t="shared" si="14"/>
        <v/>
      </c>
      <c r="AC28" s="386" t="str">
        <f t="shared" si="15"/>
        <v/>
      </c>
      <c r="AD28" s="386" t="str">
        <f t="shared" si="16"/>
        <v/>
      </c>
      <c r="AE28" s="386" t="str">
        <f t="shared" si="17"/>
        <v/>
      </c>
      <c r="AF28" s="386" t="str">
        <f t="shared" si="18"/>
        <v/>
      </c>
      <c r="AG28" s="386" t="str">
        <f t="shared" si="19"/>
        <v/>
      </c>
      <c r="AH28" s="386" t="str">
        <f t="shared" si="20"/>
        <v/>
      </c>
      <c r="AI28" s="386" t="str">
        <f t="shared" si="21"/>
        <v/>
      </c>
      <c r="AJ28" s="386" t="str">
        <f t="shared" si="22"/>
        <v/>
      </c>
      <c r="AK28" s="386" t="str">
        <f t="shared" si="23"/>
        <v/>
      </c>
      <c r="AL28" s="388"/>
      <c r="AM28" s="388"/>
      <c r="AN28" s="388"/>
      <c r="AO28" s="388"/>
      <c r="AP28" s="402" t="str">
        <f t="shared" si="24"/>
        <v/>
      </c>
      <c r="AQ28" s="388"/>
      <c r="AR28" s="388"/>
      <c r="AS28" s="388"/>
      <c r="AT28" s="388"/>
      <c r="AU28" s="402" t="str">
        <f t="shared" si="25"/>
        <v/>
      </c>
      <c r="AV28" s="389"/>
      <c r="AW28" s="381"/>
      <c r="AX28" s="381"/>
      <c r="AY28" s="373"/>
      <c r="AZ28" s="390"/>
      <c r="BA28" s="390"/>
      <c r="BB28" s="391"/>
      <c r="BC28" s="392"/>
      <c r="BD28" s="393"/>
      <c r="BE28" s="393"/>
      <c r="BF28" s="393"/>
      <c r="BG28" s="394"/>
      <c r="BH28" s="395"/>
      <c r="BI28" s="374"/>
      <c r="BJ28" s="374"/>
      <c r="BK28" s="374"/>
      <c r="BL28" s="389"/>
      <c r="BM28" s="397"/>
      <c r="BN28" s="389"/>
      <c r="BO28" s="419" t="str">
        <f t="shared" si="26"/>
        <v/>
      </c>
      <c r="BP28" s="389"/>
      <c r="BQ28" s="397"/>
      <c r="BR28" s="419"/>
      <c r="BS28" s="419"/>
      <c r="BT28" s="419"/>
      <c r="BU28" s="432"/>
      <c r="BV28" s="419"/>
      <c r="BW28" s="419"/>
      <c r="BX28" s="419"/>
      <c r="BY28" s="389"/>
      <c r="BZ28" s="389"/>
      <c r="CA28" s="389"/>
      <c r="CB28" s="389"/>
      <c r="CC28" s="389"/>
      <c r="CD28" s="389"/>
      <c r="CE28" s="389"/>
      <c r="CF28" s="389"/>
      <c r="CG28" s="389"/>
      <c r="CH28" s="389"/>
      <c r="CI28" s="389"/>
      <c r="CJ28" s="422"/>
      <c r="CK28" s="422"/>
      <c r="CL28" s="422"/>
      <c r="CM28" s="422"/>
      <c r="CN28" s="422"/>
      <c r="CO28" s="422"/>
      <c r="CP28" s="422"/>
      <c r="CQ28" s="433" t="s">
        <v>450</v>
      </c>
      <c r="CR28" s="431" t="str">
        <f t="shared" si="0"/>
        <v/>
      </c>
      <c r="CS28" s="35" t="str">
        <f t="shared" si="1"/>
        <v>Direct or WHSE.</v>
      </c>
      <c r="CT28" s="412" t="s">
        <v>740</v>
      </c>
      <c r="CW28" s="153" t="str">
        <f t="shared" si="2"/>
        <v/>
      </c>
      <c r="CX28" s="153" t="str">
        <f t="shared" si="3"/>
        <v/>
      </c>
      <c r="CY28" s="153" t="str">
        <f t="shared" si="4"/>
        <v/>
      </c>
      <c r="DA28" s="423" t="s">
        <v>173</v>
      </c>
      <c r="DB28" s="23">
        <v>2</v>
      </c>
    </row>
    <row r="29" spans="1:106" ht="19.5" customHeight="1">
      <c r="A29" s="10">
        <v>7</v>
      </c>
      <c r="B29" s="373"/>
      <c r="C29" s="373"/>
      <c r="D29" s="395"/>
      <c r="E29" s="375"/>
      <c r="F29" s="373"/>
      <c r="G29" s="373"/>
      <c r="H29" s="376"/>
      <c r="I29" s="377"/>
      <c r="J29" s="378"/>
      <c r="K29" s="379"/>
      <c r="L29" s="374"/>
      <c r="M29" s="380" t="str">
        <f t="shared" ca="1" si="9"/>
        <v/>
      </c>
      <c r="N29" s="373"/>
      <c r="O29" s="381"/>
      <c r="P29" s="381"/>
      <c r="Q29" s="382"/>
      <c r="R29" s="381"/>
      <c r="S29" s="383"/>
      <c r="T29" s="384" t="str">
        <f t="shared" si="10"/>
        <v/>
      </c>
      <c r="U29" s="385"/>
      <c r="V29" s="384" t="str">
        <f t="shared" si="5"/>
        <v/>
      </c>
      <c r="W29" s="386"/>
      <c r="X29" s="386" t="str">
        <f t="shared" si="11"/>
        <v/>
      </c>
      <c r="Y29" s="386" t="str">
        <f t="shared" si="12"/>
        <v/>
      </c>
      <c r="Z29" s="386" t="str">
        <f t="shared" si="13"/>
        <v/>
      </c>
      <c r="AA29" s="387"/>
      <c r="AB29" s="386" t="str">
        <f t="shared" si="14"/>
        <v/>
      </c>
      <c r="AC29" s="386" t="str">
        <f t="shared" si="15"/>
        <v/>
      </c>
      <c r="AD29" s="386" t="str">
        <f t="shared" si="16"/>
        <v/>
      </c>
      <c r="AE29" s="386" t="str">
        <f t="shared" si="17"/>
        <v/>
      </c>
      <c r="AF29" s="386" t="str">
        <f t="shared" si="18"/>
        <v/>
      </c>
      <c r="AG29" s="386" t="str">
        <f t="shared" si="19"/>
        <v/>
      </c>
      <c r="AH29" s="386" t="str">
        <f t="shared" si="20"/>
        <v/>
      </c>
      <c r="AI29" s="386" t="str">
        <f t="shared" si="21"/>
        <v/>
      </c>
      <c r="AJ29" s="386" t="str">
        <f t="shared" si="22"/>
        <v/>
      </c>
      <c r="AK29" s="386" t="str">
        <f t="shared" si="23"/>
        <v/>
      </c>
      <c r="AL29" s="388"/>
      <c r="AM29" s="388"/>
      <c r="AN29" s="388"/>
      <c r="AO29" s="388"/>
      <c r="AP29" s="402" t="str">
        <f t="shared" si="24"/>
        <v/>
      </c>
      <c r="AQ29" s="388"/>
      <c r="AR29" s="388"/>
      <c r="AS29" s="388"/>
      <c r="AT29" s="388"/>
      <c r="AU29" s="402" t="str">
        <f t="shared" si="25"/>
        <v/>
      </c>
      <c r="AV29" s="389"/>
      <c r="AW29" s="381"/>
      <c r="AX29" s="381"/>
      <c r="AY29" s="373"/>
      <c r="AZ29" s="390"/>
      <c r="BA29" s="390"/>
      <c r="BB29" s="391"/>
      <c r="BC29" s="392"/>
      <c r="BD29" s="393"/>
      <c r="BE29" s="393"/>
      <c r="BF29" s="393"/>
      <c r="BG29" s="394"/>
      <c r="BH29" s="395"/>
      <c r="BI29" s="374"/>
      <c r="BJ29" s="374"/>
      <c r="BK29" s="374"/>
      <c r="BL29" s="389"/>
      <c r="BM29" s="397"/>
      <c r="BN29" s="389"/>
      <c r="BO29" s="419" t="str">
        <f t="shared" si="26"/>
        <v/>
      </c>
      <c r="BP29" s="389"/>
      <c r="BQ29" s="397"/>
      <c r="BR29" s="419"/>
      <c r="BS29" s="419"/>
      <c r="BT29" s="419"/>
      <c r="BU29" s="432"/>
      <c r="BV29" s="419"/>
      <c r="BW29" s="419"/>
      <c r="BX29" s="419"/>
      <c r="BY29" s="389"/>
      <c r="BZ29" s="389"/>
      <c r="CA29" s="389"/>
      <c r="CB29" s="389"/>
      <c r="CC29" s="389"/>
      <c r="CD29" s="389"/>
      <c r="CE29" s="389"/>
      <c r="CF29" s="389"/>
      <c r="CG29" s="389"/>
      <c r="CH29" s="389"/>
      <c r="CI29" s="389"/>
      <c r="CJ29" s="422"/>
      <c r="CK29" s="422"/>
      <c r="CL29" s="422"/>
      <c r="CM29" s="422"/>
      <c r="CN29" s="422"/>
      <c r="CO29" s="422"/>
      <c r="CP29" s="422"/>
      <c r="CQ29" s="433" t="s">
        <v>451</v>
      </c>
      <c r="CR29" s="431" t="str">
        <f t="shared" si="0"/>
        <v/>
      </c>
      <c r="CS29" s="35" t="str">
        <f t="shared" si="1"/>
        <v>Direct or WHSE.</v>
      </c>
      <c r="CT29" s="412" t="s">
        <v>741</v>
      </c>
      <c r="CW29" s="153" t="str">
        <f t="shared" si="2"/>
        <v/>
      </c>
      <c r="CX29" s="153" t="str">
        <f t="shared" si="3"/>
        <v/>
      </c>
      <c r="CY29" s="153" t="str">
        <f t="shared" si="4"/>
        <v/>
      </c>
      <c r="DA29" s="423" t="s">
        <v>174</v>
      </c>
      <c r="DB29" s="23">
        <v>3</v>
      </c>
    </row>
    <row r="30" spans="1:106" ht="19.5" customHeight="1">
      <c r="A30" s="10">
        <v>8</v>
      </c>
      <c r="B30" s="373"/>
      <c r="C30" s="373"/>
      <c r="D30" s="395"/>
      <c r="E30" s="375"/>
      <c r="F30" s="373"/>
      <c r="G30" s="373"/>
      <c r="H30" s="376"/>
      <c r="I30" s="377"/>
      <c r="J30" s="378"/>
      <c r="K30" s="379"/>
      <c r="L30" s="374"/>
      <c r="M30" s="380" t="str">
        <f t="shared" ca="1" si="9"/>
        <v/>
      </c>
      <c r="N30" s="373"/>
      <c r="O30" s="381"/>
      <c r="P30" s="381"/>
      <c r="Q30" s="382"/>
      <c r="R30" s="381"/>
      <c r="S30" s="383"/>
      <c r="T30" s="384" t="str">
        <f t="shared" si="10"/>
        <v/>
      </c>
      <c r="U30" s="385"/>
      <c r="V30" s="384" t="str">
        <f t="shared" si="5"/>
        <v/>
      </c>
      <c r="W30" s="386"/>
      <c r="X30" s="386" t="str">
        <f t="shared" si="11"/>
        <v/>
      </c>
      <c r="Y30" s="386" t="str">
        <f t="shared" si="12"/>
        <v/>
      </c>
      <c r="Z30" s="386" t="str">
        <f t="shared" si="13"/>
        <v/>
      </c>
      <c r="AA30" s="387"/>
      <c r="AB30" s="386" t="str">
        <f t="shared" si="14"/>
        <v/>
      </c>
      <c r="AC30" s="386" t="str">
        <f t="shared" si="15"/>
        <v/>
      </c>
      <c r="AD30" s="386" t="str">
        <f t="shared" si="16"/>
        <v/>
      </c>
      <c r="AE30" s="386" t="str">
        <f t="shared" si="17"/>
        <v/>
      </c>
      <c r="AF30" s="386" t="str">
        <f t="shared" si="18"/>
        <v/>
      </c>
      <c r="AG30" s="386" t="str">
        <f t="shared" si="19"/>
        <v/>
      </c>
      <c r="AH30" s="386" t="str">
        <f t="shared" si="20"/>
        <v/>
      </c>
      <c r="AI30" s="386" t="str">
        <f t="shared" si="21"/>
        <v/>
      </c>
      <c r="AJ30" s="386" t="str">
        <f t="shared" si="22"/>
        <v/>
      </c>
      <c r="AK30" s="386" t="str">
        <f t="shared" si="23"/>
        <v/>
      </c>
      <c r="AL30" s="388"/>
      <c r="AM30" s="388"/>
      <c r="AN30" s="388"/>
      <c r="AO30" s="388"/>
      <c r="AP30" s="402" t="str">
        <f t="shared" si="24"/>
        <v/>
      </c>
      <c r="AQ30" s="388"/>
      <c r="AR30" s="388"/>
      <c r="AS30" s="388"/>
      <c r="AT30" s="388"/>
      <c r="AU30" s="402" t="str">
        <f t="shared" si="25"/>
        <v/>
      </c>
      <c r="AV30" s="389"/>
      <c r="AW30" s="381"/>
      <c r="AX30" s="381"/>
      <c r="AY30" s="373"/>
      <c r="AZ30" s="390"/>
      <c r="BA30" s="390"/>
      <c r="BB30" s="391"/>
      <c r="BC30" s="392"/>
      <c r="BD30" s="393"/>
      <c r="BE30" s="393"/>
      <c r="BF30" s="393"/>
      <c r="BG30" s="394"/>
      <c r="BH30" s="395"/>
      <c r="BI30" s="374"/>
      <c r="BJ30" s="374"/>
      <c r="BK30" s="374"/>
      <c r="BL30" s="389"/>
      <c r="BM30" s="397"/>
      <c r="BN30" s="389"/>
      <c r="BO30" s="419" t="str">
        <f t="shared" si="26"/>
        <v/>
      </c>
      <c r="BP30" s="389"/>
      <c r="BQ30" s="397"/>
      <c r="BR30" s="419"/>
      <c r="BS30" s="419"/>
      <c r="BT30" s="419"/>
      <c r="BU30" s="432"/>
      <c r="BV30" s="419"/>
      <c r="BW30" s="419"/>
      <c r="BX30" s="419"/>
      <c r="BY30" s="389"/>
      <c r="BZ30" s="389"/>
      <c r="CA30" s="389"/>
      <c r="CB30" s="389"/>
      <c r="CC30" s="389"/>
      <c r="CD30" s="389"/>
      <c r="CE30" s="389"/>
      <c r="CF30" s="389"/>
      <c r="CG30" s="389"/>
      <c r="CH30" s="389"/>
      <c r="CI30" s="389"/>
      <c r="CJ30" s="422"/>
      <c r="CK30" s="422"/>
      <c r="CL30" s="422"/>
      <c r="CM30" s="422"/>
      <c r="CN30" s="422"/>
      <c r="CO30" s="422"/>
      <c r="CP30" s="422"/>
      <c r="CQ30" s="433" t="s">
        <v>452</v>
      </c>
      <c r="CR30" s="431" t="str">
        <f t="shared" si="0"/>
        <v/>
      </c>
      <c r="CS30" s="35" t="str">
        <f t="shared" si="1"/>
        <v>Direct or WHSE.</v>
      </c>
      <c r="CT30" s="412" t="s">
        <v>742</v>
      </c>
      <c r="CW30" s="153" t="str">
        <f t="shared" si="2"/>
        <v/>
      </c>
      <c r="CX30" s="153" t="str">
        <f t="shared" si="3"/>
        <v/>
      </c>
      <c r="CY30" s="153" t="str">
        <f t="shared" si="4"/>
        <v/>
      </c>
      <c r="DA30" s="423" t="s">
        <v>264</v>
      </c>
      <c r="DB30" s="23">
        <v>1.25</v>
      </c>
    </row>
    <row r="31" spans="1:106" ht="19.5" customHeight="1">
      <c r="A31" s="10">
        <v>9</v>
      </c>
      <c r="B31" s="373"/>
      <c r="C31" s="373"/>
      <c r="D31" s="395"/>
      <c r="E31" s="375"/>
      <c r="F31" s="373"/>
      <c r="G31" s="373"/>
      <c r="H31" s="376"/>
      <c r="I31" s="377"/>
      <c r="J31" s="378"/>
      <c r="K31" s="379"/>
      <c r="L31" s="374"/>
      <c r="M31" s="380" t="str">
        <f t="shared" ca="1" si="9"/>
        <v/>
      </c>
      <c r="N31" s="373"/>
      <c r="O31" s="381"/>
      <c r="P31" s="381"/>
      <c r="Q31" s="382"/>
      <c r="R31" s="381"/>
      <c r="S31" s="383"/>
      <c r="T31" s="384" t="str">
        <f t="shared" si="10"/>
        <v/>
      </c>
      <c r="U31" s="385"/>
      <c r="V31" s="384" t="str">
        <f t="shared" si="5"/>
        <v/>
      </c>
      <c r="W31" s="386"/>
      <c r="X31" s="386" t="str">
        <f t="shared" si="11"/>
        <v/>
      </c>
      <c r="Y31" s="386" t="str">
        <f t="shared" si="12"/>
        <v/>
      </c>
      <c r="Z31" s="386" t="str">
        <f t="shared" si="13"/>
        <v/>
      </c>
      <c r="AA31" s="387"/>
      <c r="AB31" s="386" t="str">
        <f t="shared" si="14"/>
        <v/>
      </c>
      <c r="AC31" s="386" t="str">
        <f t="shared" si="15"/>
        <v/>
      </c>
      <c r="AD31" s="386" t="str">
        <f t="shared" si="16"/>
        <v/>
      </c>
      <c r="AE31" s="386" t="str">
        <f t="shared" si="17"/>
        <v/>
      </c>
      <c r="AF31" s="386" t="str">
        <f t="shared" si="18"/>
        <v/>
      </c>
      <c r="AG31" s="386" t="str">
        <f t="shared" si="19"/>
        <v/>
      </c>
      <c r="AH31" s="386" t="str">
        <f t="shared" si="20"/>
        <v/>
      </c>
      <c r="AI31" s="386" t="str">
        <f t="shared" si="21"/>
        <v/>
      </c>
      <c r="AJ31" s="386" t="str">
        <f t="shared" si="22"/>
        <v/>
      </c>
      <c r="AK31" s="386" t="str">
        <f t="shared" si="23"/>
        <v/>
      </c>
      <c r="AL31" s="388"/>
      <c r="AM31" s="388"/>
      <c r="AN31" s="388"/>
      <c r="AO31" s="388"/>
      <c r="AP31" s="402" t="str">
        <f t="shared" si="24"/>
        <v/>
      </c>
      <c r="AQ31" s="388"/>
      <c r="AR31" s="388"/>
      <c r="AS31" s="388"/>
      <c r="AT31" s="388"/>
      <c r="AU31" s="402" t="str">
        <f t="shared" si="25"/>
        <v/>
      </c>
      <c r="AV31" s="389"/>
      <c r="AW31" s="381"/>
      <c r="AX31" s="381"/>
      <c r="AY31" s="373"/>
      <c r="AZ31" s="390"/>
      <c r="BA31" s="390"/>
      <c r="BB31" s="391"/>
      <c r="BC31" s="392"/>
      <c r="BD31" s="393"/>
      <c r="BE31" s="393"/>
      <c r="BF31" s="393"/>
      <c r="BG31" s="394"/>
      <c r="BH31" s="395"/>
      <c r="BI31" s="374"/>
      <c r="BJ31" s="374"/>
      <c r="BK31" s="374"/>
      <c r="BL31" s="389"/>
      <c r="BM31" s="397"/>
      <c r="BN31" s="389"/>
      <c r="BO31" s="419" t="str">
        <f t="shared" si="26"/>
        <v/>
      </c>
      <c r="BP31" s="389"/>
      <c r="BQ31" s="397"/>
      <c r="BR31" s="419"/>
      <c r="BS31" s="419"/>
      <c r="BT31" s="419"/>
      <c r="BU31" s="432"/>
      <c r="BV31" s="419"/>
      <c r="BW31" s="419"/>
      <c r="BX31" s="419"/>
      <c r="BY31" s="389"/>
      <c r="BZ31" s="389"/>
      <c r="CA31" s="389"/>
      <c r="CB31" s="389"/>
      <c r="CC31" s="389"/>
      <c r="CD31" s="389"/>
      <c r="CE31" s="389"/>
      <c r="CF31" s="389"/>
      <c r="CG31" s="389"/>
      <c r="CH31" s="389"/>
      <c r="CI31" s="389"/>
      <c r="CJ31" s="422"/>
      <c r="CK31" s="422"/>
      <c r="CL31" s="422"/>
      <c r="CM31" s="422"/>
      <c r="CN31" s="422"/>
      <c r="CO31" s="422"/>
      <c r="CP31" s="422"/>
      <c r="CQ31" s="433" t="s">
        <v>453</v>
      </c>
      <c r="CR31" s="431" t="str">
        <f t="shared" si="0"/>
        <v/>
      </c>
      <c r="CS31" s="35" t="str">
        <f t="shared" si="1"/>
        <v>Direct or WHSE.</v>
      </c>
      <c r="CT31" s="412" t="s">
        <v>743</v>
      </c>
      <c r="CW31" s="153" t="str">
        <f t="shared" si="2"/>
        <v/>
      </c>
      <c r="CX31" s="153" t="str">
        <f t="shared" si="3"/>
        <v/>
      </c>
      <c r="CY31" s="153" t="str">
        <f t="shared" si="4"/>
        <v/>
      </c>
      <c r="DA31" s="423" t="s">
        <v>265</v>
      </c>
      <c r="DB31" s="23">
        <v>0.5</v>
      </c>
    </row>
    <row r="32" spans="1:106" ht="19.5" customHeight="1">
      <c r="A32" s="10">
        <v>10</v>
      </c>
      <c r="B32" s="373"/>
      <c r="C32" s="373"/>
      <c r="D32" s="395"/>
      <c r="E32" s="375"/>
      <c r="F32" s="373"/>
      <c r="G32" s="373"/>
      <c r="H32" s="376"/>
      <c r="I32" s="377"/>
      <c r="J32" s="378"/>
      <c r="K32" s="379"/>
      <c r="L32" s="374"/>
      <c r="M32" s="380" t="str">
        <f t="shared" ca="1" si="9"/>
        <v/>
      </c>
      <c r="N32" s="373"/>
      <c r="O32" s="381"/>
      <c r="P32" s="381"/>
      <c r="Q32" s="382"/>
      <c r="R32" s="381"/>
      <c r="S32" s="383"/>
      <c r="T32" s="384" t="str">
        <f t="shared" si="10"/>
        <v/>
      </c>
      <c r="U32" s="385"/>
      <c r="V32" s="384" t="str">
        <f t="shared" si="5"/>
        <v/>
      </c>
      <c r="W32" s="386"/>
      <c r="X32" s="386" t="str">
        <f t="shared" si="11"/>
        <v/>
      </c>
      <c r="Y32" s="386" t="str">
        <f t="shared" si="12"/>
        <v/>
      </c>
      <c r="Z32" s="386" t="str">
        <f t="shared" si="13"/>
        <v/>
      </c>
      <c r="AA32" s="387"/>
      <c r="AB32" s="386" t="str">
        <f t="shared" si="14"/>
        <v/>
      </c>
      <c r="AC32" s="386" t="str">
        <f t="shared" si="15"/>
        <v/>
      </c>
      <c r="AD32" s="386" t="str">
        <f t="shared" si="16"/>
        <v/>
      </c>
      <c r="AE32" s="386" t="str">
        <f t="shared" si="17"/>
        <v/>
      </c>
      <c r="AF32" s="386" t="str">
        <f t="shared" si="18"/>
        <v/>
      </c>
      <c r="AG32" s="386" t="str">
        <f t="shared" si="19"/>
        <v/>
      </c>
      <c r="AH32" s="386" t="str">
        <f t="shared" si="20"/>
        <v/>
      </c>
      <c r="AI32" s="386" t="str">
        <f t="shared" si="21"/>
        <v/>
      </c>
      <c r="AJ32" s="386" t="str">
        <f t="shared" si="22"/>
        <v/>
      </c>
      <c r="AK32" s="386" t="str">
        <f t="shared" si="23"/>
        <v/>
      </c>
      <c r="AL32" s="388"/>
      <c r="AM32" s="388"/>
      <c r="AN32" s="388"/>
      <c r="AO32" s="388"/>
      <c r="AP32" s="402" t="str">
        <f t="shared" si="24"/>
        <v/>
      </c>
      <c r="AQ32" s="388"/>
      <c r="AR32" s="388"/>
      <c r="AS32" s="388"/>
      <c r="AT32" s="388"/>
      <c r="AU32" s="402" t="str">
        <f t="shared" si="25"/>
        <v/>
      </c>
      <c r="AV32" s="389"/>
      <c r="AW32" s="381"/>
      <c r="AX32" s="381"/>
      <c r="AY32" s="373"/>
      <c r="AZ32" s="390"/>
      <c r="BA32" s="390"/>
      <c r="BB32" s="391"/>
      <c r="BC32" s="392"/>
      <c r="BD32" s="393"/>
      <c r="BE32" s="393"/>
      <c r="BF32" s="393"/>
      <c r="BG32" s="394"/>
      <c r="BH32" s="395"/>
      <c r="BI32" s="374"/>
      <c r="BJ32" s="374"/>
      <c r="BK32" s="374"/>
      <c r="BL32" s="389"/>
      <c r="BM32" s="397"/>
      <c r="BN32" s="389"/>
      <c r="BO32" s="419" t="str">
        <f t="shared" si="26"/>
        <v/>
      </c>
      <c r="BP32" s="389"/>
      <c r="BQ32" s="397"/>
      <c r="BR32" s="419"/>
      <c r="BS32" s="419"/>
      <c r="BT32" s="419"/>
      <c r="BU32" s="432"/>
      <c r="BV32" s="419"/>
      <c r="BW32" s="419"/>
      <c r="BX32" s="419"/>
      <c r="BY32" s="389"/>
      <c r="BZ32" s="389"/>
      <c r="CA32" s="389"/>
      <c r="CB32" s="389"/>
      <c r="CC32" s="389"/>
      <c r="CD32" s="389"/>
      <c r="CE32" s="389"/>
      <c r="CF32" s="389"/>
      <c r="CG32" s="389"/>
      <c r="CH32" s="389"/>
      <c r="CI32" s="389"/>
      <c r="CJ32" s="422"/>
      <c r="CK32" s="422"/>
      <c r="CL32" s="422"/>
      <c r="CM32" s="422"/>
      <c r="CN32" s="422"/>
      <c r="CO32" s="422"/>
      <c r="CP32" s="422"/>
      <c r="CQ32" s="433" t="s">
        <v>454</v>
      </c>
      <c r="CR32" s="431" t="str">
        <f t="shared" si="0"/>
        <v/>
      </c>
      <c r="CS32" s="35" t="str">
        <f t="shared" si="1"/>
        <v>Direct or WHSE.</v>
      </c>
      <c r="CT32" s="412" t="s">
        <v>744</v>
      </c>
      <c r="CW32" s="153" t="str">
        <f t="shared" si="2"/>
        <v/>
      </c>
      <c r="CX32" s="153" t="str">
        <f t="shared" si="3"/>
        <v/>
      </c>
      <c r="CY32" s="153" t="str">
        <f t="shared" si="4"/>
        <v/>
      </c>
      <c r="DA32" s="423" t="s">
        <v>266</v>
      </c>
      <c r="DB32" s="23">
        <v>0.75</v>
      </c>
    </row>
    <row r="33" spans="1:106" ht="19.5" customHeight="1">
      <c r="A33" s="10">
        <v>11</v>
      </c>
      <c r="B33" s="373"/>
      <c r="C33" s="373"/>
      <c r="D33" s="395"/>
      <c r="E33" s="375"/>
      <c r="F33" s="373"/>
      <c r="G33" s="373"/>
      <c r="H33" s="376"/>
      <c r="I33" s="377"/>
      <c r="J33" s="378"/>
      <c r="K33" s="379"/>
      <c r="L33" s="374"/>
      <c r="M33" s="380" t="str">
        <f t="shared" ca="1" si="9"/>
        <v/>
      </c>
      <c r="N33" s="373"/>
      <c r="O33" s="381"/>
      <c r="P33" s="381"/>
      <c r="Q33" s="382"/>
      <c r="R33" s="381"/>
      <c r="S33" s="383"/>
      <c r="T33" s="384" t="str">
        <f t="shared" si="10"/>
        <v/>
      </c>
      <c r="U33" s="385"/>
      <c r="V33" s="384" t="str">
        <f t="shared" si="5"/>
        <v/>
      </c>
      <c r="W33" s="386"/>
      <c r="X33" s="386" t="str">
        <f t="shared" si="11"/>
        <v/>
      </c>
      <c r="Y33" s="386" t="str">
        <f t="shared" si="12"/>
        <v/>
      </c>
      <c r="Z33" s="386" t="str">
        <f t="shared" si="13"/>
        <v/>
      </c>
      <c r="AA33" s="387"/>
      <c r="AB33" s="386" t="str">
        <f t="shared" si="14"/>
        <v/>
      </c>
      <c r="AC33" s="386" t="str">
        <f t="shared" si="15"/>
        <v/>
      </c>
      <c r="AD33" s="386" t="str">
        <f t="shared" si="16"/>
        <v/>
      </c>
      <c r="AE33" s="386" t="str">
        <f t="shared" si="17"/>
        <v/>
      </c>
      <c r="AF33" s="386" t="str">
        <f t="shared" si="18"/>
        <v/>
      </c>
      <c r="AG33" s="386" t="str">
        <f t="shared" si="19"/>
        <v/>
      </c>
      <c r="AH33" s="386" t="str">
        <f t="shared" si="20"/>
        <v/>
      </c>
      <c r="AI33" s="386" t="str">
        <f t="shared" si="21"/>
        <v/>
      </c>
      <c r="AJ33" s="386" t="str">
        <f t="shared" si="22"/>
        <v/>
      </c>
      <c r="AK33" s="386" t="str">
        <f t="shared" si="23"/>
        <v/>
      </c>
      <c r="AL33" s="388"/>
      <c r="AM33" s="388"/>
      <c r="AN33" s="388"/>
      <c r="AO33" s="388"/>
      <c r="AP33" s="402" t="str">
        <f t="shared" si="24"/>
        <v/>
      </c>
      <c r="AQ33" s="388"/>
      <c r="AR33" s="388"/>
      <c r="AS33" s="388"/>
      <c r="AT33" s="388"/>
      <c r="AU33" s="402" t="str">
        <f t="shared" si="25"/>
        <v/>
      </c>
      <c r="AV33" s="389"/>
      <c r="AW33" s="381"/>
      <c r="AX33" s="381"/>
      <c r="AY33" s="373"/>
      <c r="AZ33" s="390"/>
      <c r="BA33" s="390"/>
      <c r="BB33" s="391"/>
      <c r="BC33" s="392"/>
      <c r="BD33" s="393"/>
      <c r="BE33" s="393"/>
      <c r="BF33" s="393"/>
      <c r="BG33" s="394"/>
      <c r="BH33" s="395"/>
      <c r="BI33" s="374"/>
      <c r="BJ33" s="374"/>
      <c r="BK33" s="374"/>
      <c r="BL33" s="389"/>
      <c r="BM33" s="397"/>
      <c r="BN33" s="389"/>
      <c r="BO33" s="419" t="str">
        <f t="shared" si="26"/>
        <v/>
      </c>
      <c r="BP33" s="389"/>
      <c r="BQ33" s="397"/>
      <c r="BR33" s="419"/>
      <c r="BS33" s="419"/>
      <c r="BT33" s="419"/>
      <c r="BU33" s="432"/>
      <c r="BV33" s="419"/>
      <c r="BW33" s="419"/>
      <c r="BX33" s="419"/>
      <c r="BY33" s="389"/>
      <c r="BZ33" s="389"/>
      <c r="CA33" s="389"/>
      <c r="CB33" s="389"/>
      <c r="CC33" s="389"/>
      <c r="CD33" s="389"/>
      <c r="CE33" s="389"/>
      <c r="CF33" s="389"/>
      <c r="CG33" s="389"/>
      <c r="CH33" s="389"/>
      <c r="CI33" s="389"/>
      <c r="CJ33" s="422"/>
      <c r="CK33" s="422"/>
      <c r="CL33" s="422"/>
      <c r="CM33" s="422"/>
      <c r="CN33" s="422"/>
      <c r="CO33" s="422"/>
      <c r="CP33" s="422"/>
      <c r="CQ33" s="433" t="s">
        <v>455</v>
      </c>
      <c r="CR33" s="431" t="str">
        <f t="shared" si="0"/>
        <v/>
      </c>
      <c r="CS33" s="35" t="str">
        <f t="shared" si="1"/>
        <v>Direct or WHSE.</v>
      </c>
      <c r="CT33" s="412" t="s">
        <v>745</v>
      </c>
      <c r="CW33" s="153" t="str">
        <f t="shared" si="2"/>
        <v/>
      </c>
      <c r="CX33" s="153" t="str">
        <f t="shared" si="3"/>
        <v/>
      </c>
      <c r="CY33" s="153" t="str">
        <f t="shared" si="4"/>
        <v/>
      </c>
      <c r="DA33" s="423" t="s">
        <v>267</v>
      </c>
      <c r="DB33" s="23">
        <v>0.25</v>
      </c>
    </row>
    <row r="34" spans="1:106" ht="19.5" customHeight="1">
      <c r="A34" s="10">
        <v>12</v>
      </c>
      <c r="B34" s="373"/>
      <c r="C34" s="373"/>
      <c r="D34" s="395"/>
      <c r="E34" s="375"/>
      <c r="F34" s="373"/>
      <c r="G34" s="373"/>
      <c r="H34" s="376"/>
      <c r="I34" s="377"/>
      <c r="J34" s="378"/>
      <c r="K34" s="379"/>
      <c r="L34" s="374"/>
      <c r="M34" s="380" t="str">
        <f t="shared" ca="1" si="9"/>
        <v/>
      </c>
      <c r="N34" s="373"/>
      <c r="O34" s="381"/>
      <c r="P34" s="381"/>
      <c r="Q34" s="382"/>
      <c r="R34" s="381"/>
      <c r="S34" s="383"/>
      <c r="T34" s="384" t="str">
        <f t="shared" si="10"/>
        <v/>
      </c>
      <c r="U34" s="385"/>
      <c r="V34" s="384" t="str">
        <f t="shared" si="5"/>
        <v/>
      </c>
      <c r="W34" s="386"/>
      <c r="X34" s="386" t="str">
        <f t="shared" si="11"/>
        <v/>
      </c>
      <c r="Y34" s="386" t="str">
        <f t="shared" si="12"/>
        <v/>
      </c>
      <c r="Z34" s="386" t="str">
        <f t="shared" si="13"/>
        <v/>
      </c>
      <c r="AA34" s="387"/>
      <c r="AB34" s="386" t="str">
        <f t="shared" si="14"/>
        <v/>
      </c>
      <c r="AC34" s="386" t="str">
        <f t="shared" si="15"/>
        <v/>
      </c>
      <c r="AD34" s="386" t="str">
        <f t="shared" si="16"/>
        <v/>
      </c>
      <c r="AE34" s="386" t="str">
        <f t="shared" si="17"/>
        <v/>
      </c>
      <c r="AF34" s="386" t="str">
        <f t="shared" si="18"/>
        <v/>
      </c>
      <c r="AG34" s="386" t="str">
        <f t="shared" si="19"/>
        <v/>
      </c>
      <c r="AH34" s="386" t="str">
        <f t="shared" si="20"/>
        <v/>
      </c>
      <c r="AI34" s="386" t="str">
        <f t="shared" si="21"/>
        <v/>
      </c>
      <c r="AJ34" s="386" t="str">
        <f t="shared" si="22"/>
        <v/>
      </c>
      <c r="AK34" s="386" t="str">
        <f t="shared" si="23"/>
        <v/>
      </c>
      <c r="AL34" s="388"/>
      <c r="AM34" s="388"/>
      <c r="AN34" s="388"/>
      <c r="AO34" s="388"/>
      <c r="AP34" s="402" t="str">
        <f t="shared" si="24"/>
        <v/>
      </c>
      <c r="AQ34" s="388"/>
      <c r="AR34" s="388"/>
      <c r="AS34" s="388"/>
      <c r="AT34" s="388"/>
      <c r="AU34" s="402" t="str">
        <f t="shared" si="25"/>
        <v/>
      </c>
      <c r="AV34" s="389"/>
      <c r="AW34" s="381"/>
      <c r="AX34" s="381"/>
      <c r="AY34" s="373"/>
      <c r="AZ34" s="390"/>
      <c r="BA34" s="390"/>
      <c r="BB34" s="391"/>
      <c r="BC34" s="392"/>
      <c r="BD34" s="393"/>
      <c r="BE34" s="393"/>
      <c r="BF34" s="393"/>
      <c r="BG34" s="394"/>
      <c r="BH34" s="395"/>
      <c r="BI34" s="374"/>
      <c r="BJ34" s="374"/>
      <c r="BK34" s="374"/>
      <c r="BL34" s="389"/>
      <c r="BM34" s="397"/>
      <c r="BN34" s="389"/>
      <c r="BO34" s="419" t="str">
        <f t="shared" si="26"/>
        <v/>
      </c>
      <c r="BP34" s="389"/>
      <c r="BQ34" s="397"/>
      <c r="BR34" s="419"/>
      <c r="BS34" s="419"/>
      <c r="BT34" s="419"/>
      <c r="BU34" s="432"/>
      <c r="BV34" s="419"/>
      <c r="BW34" s="419"/>
      <c r="BX34" s="419"/>
      <c r="BY34" s="389"/>
      <c r="BZ34" s="389"/>
      <c r="CA34" s="389"/>
      <c r="CB34" s="389"/>
      <c r="CC34" s="389"/>
      <c r="CD34" s="389"/>
      <c r="CE34" s="389"/>
      <c r="CF34" s="389"/>
      <c r="CG34" s="389"/>
      <c r="CH34" s="389"/>
      <c r="CI34" s="389"/>
      <c r="CJ34" s="422"/>
      <c r="CK34" s="422"/>
      <c r="CL34" s="422"/>
      <c r="CM34" s="422"/>
      <c r="CN34" s="422"/>
      <c r="CO34" s="422"/>
      <c r="CP34" s="422"/>
      <c r="CQ34" s="433" t="s">
        <v>456</v>
      </c>
      <c r="CR34" s="431" t="str">
        <f t="shared" si="0"/>
        <v/>
      </c>
      <c r="CS34" s="35" t="str">
        <f t="shared" si="1"/>
        <v>Direct or WHSE.</v>
      </c>
      <c r="CT34" s="412" t="s">
        <v>746</v>
      </c>
      <c r="CW34" s="153" t="str">
        <f t="shared" si="2"/>
        <v/>
      </c>
      <c r="CX34" s="153" t="str">
        <f t="shared" si="3"/>
        <v/>
      </c>
      <c r="CY34" s="153" t="str">
        <f t="shared" si="4"/>
        <v/>
      </c>
      <c r="DA34" s="423" t="s">
        <v>268</v>
      </c>
      <c r="DB34" s="23">
        <v>0.25</v>
      </c>
    </row>
    <row r="35" spans="1:106" ht="19.5" customHeight="1">
      <c r="A35" s="10">
        <v>13</v>
      </c>
      <c r="B35" s="373"/>
      <c r="C35" s="373"/>
      <c r="D35" s="395"/>
      <c r="E35" s="375"/>
      <c r="F35" s="373"/>
      <c r="G35" s="373"/>
      <c r="H35" s="376"/>
      <c r="I35" s="377"/>
      <c r="J35" s="378"/>
      <c r="K35" s="379"/>
      <c r="L35" s="374"/>
      <c r="M35" s="380" t="str">
        <f t="shared" ca="1" si="9"/>
        <v/>
      </c>
      <c r="N35" s="373"/>
      <c r="O35" s="381"/>
      <c r="P35" s="381"/>
      <c r="Q35" s="382"/>
      <c r="R35" s="381"/>
      <c r="S35" s="383"/>
      <c r="T35" s="384" t="str">
        <f t="shared" si="10"/>
        <v/>
      </c>
      <c r="U35" s="385"/>
      <c r="V35" s="384" t="str">
        <f t="shared" si="5"/>
        <v/>
      </c>
      <c r="W35" s="386"/>
      <c r="X35" s="386" t="str">
        <f t="shared" si="11"/>
        <v/>
      </c>
      <c r="Y35" s="386" t="str">
        <f t="shared" si="12"/>
        <v/>
      </c>
      <c r="Z35" s="386" t="str">
        <f t="shared" si="13"/>
        <v/>
      </c>
      <c r="AA35" s="387"/>
      <c r="AB35" s="386" t="str">
        <f t="shared" si="14"/>
        <v/>
      </c>
      <c r="AC35" s="386" t="str">
        <f t="shared" si="15"/>
        <v/>
      </c>
      <c r="AD35" s="386" t="str">
        <f t="shared" si="16"/>
        <v/>
      </c>
      <c r="AE35" s="386" t="str">
        <f t="shared" si="17"/>
        <v/>
      </c>
      <c r="AF35" s="386" t="str">
        <f t="shared" si="18"/>
        <v/>
      </c>
      <c r="AG35" s="386" t="str">
        <f t="shared" si="19"/>
        <v/>
      </c>
      <c r="AH35" s="386" t="str">
        <f t="shared" si="20"/>
        <v/>
      </c>
      <c r="AI35" s="386" t="str">
        <f t="shared" si="21"/>
        <v/>
      </c>
      <c r="AJ35" s="386" t="str">
        <f t="shared" si="22"/>
        <v/>
      </c>
      <c r="AK35" s="386" t="str">
        <f t="shared" si="23"/>
        <v/>
      </c>
      <c r="AL35" s="388"/>
      <c r="AM35" s="388"/>
      <c r="AN35" s="388"/>
      <c r="AO35" s="388"/>
      <c r="AP35" s="402" t="str">
        <f t="shared" si="24"/>
        <v/>
      </c>
      <c r="AQ35" s="388"/>
      <c r="AR35" s="388"/>
      <c r="AS35" s="388"/>
      <c r="AT35" s="388"/>
      <c r="AU35" s="402" t="str">
        <f t="shared" si="25"/>
        <v/>
      </c>
      <c r="AV35" s="389"/>
      <c r="AW35" s="381"/>
      <c r="AX35" s="381"/>
      <c r="AY35" s="373"/>
      <c r="AZ35" s="390"/>
      <c r="BA35" s="390"/>
      <c r="BB35" s="391"/>
      <c r="BC35" s="392"/>
      <c r="BD35" s="393"/>
      <c r="BE35" s="393"/>
      <c r="BF35" s="393"/>
      <c r="BG35" s="394"/>
      <c r="BH35" s="395"/>
      <c r="BI35" s="374"/>
      <c r="BJ35" s="374"/>
      <c r="BK35" s="374"/>
      <c r="BL35" s="389"/>
      <c r="BM35" s="397"/>
      <c r="BN35" s="389"/>
      <c r="BO35" s="419" t="str">
        <f t="shared" si="26"/>
        <v/>
      </c>
      <c r="BP35" s="389"/>
      <c r="BQ35" s="397"/>
      <c r="BR35" s="419"/>
      <c r="BS35" s="419"/>
      <c r="BT35" s="419"/>
      <c r="BU35" s="432"/>
      <c r="BV35" s="419"/>
      <c r="BW35" s="419"/>
      <c r="BX35" s="419"/>
      <c r="BY35" s="389"/>
      <c r="BZ35" s="389"/>
      <c r="CA35" s="389"/>
      <c r="CB35" s="389"/>
      <c r="CC35" s="389"/>
      <c r="CD35" s="389"/>
      <c r="CE35" s="389"/>
      <c r="CF35" s="389"/>
      <c r="CG35" s="389"/>
      <c r="CH35" s="389"/>
      <c r="CI35" s="389"/>
      <c r="CJ35" s="422"/>
      <c r="CK35" s="422"/>
      <c r="CL35" s="422"/>
      <c r="CM35" s="422"/>
      <c r="CN35" s="422"/>
      <c r="CO35" s="422"/>
      <c r="CP35" s="422"/>
      <c r="CQ35" s="433" t="s">
        <v>457</v>
      </c>
      <c r="CR35" s="431" t="str">
        <f t="shared" si="0"/>
        <v/>
      </c>
      <c r="CS35" s="35" t="str">
        <f t="shared" si="1"/>
        <v>Direct or WHSE.</v>
      </c>
      <c r="CT35" s="412" t="s">
        <v>747</v>
      </c>
      <c r="CW35" s="153" t="str">
        <f t="shared" si="2"/>
        <v/>
      </c>
      <c r="CX35" s="153" t="str">
        <f t="shared" si="3"/>
        <v/>
      </c>
      <c r="CY35" s="153" t="str">
        <f t="shared" si="4"/>
        <v/>
      </c>
      <c r="DA35" s="423" t="s">
        <v>269</v>
      </c>
      <c r="DB35" s="23">
        <v>0.25</v>
      </c>
    </row>
    <row r="36" spans="1:106" ht="19.5" customHeight="1">
      <c r="A36" s="10">
        <v>14</v>
      </c>
      <c r="B36" s="373"/>
      <c r="C36" s="373"/>
      <c r="D36" s="395"/>
      <c r="E36" s="375"/>
      <c r="F36" s="373"/>
      <c r="G36" s="373"/>
      <c r="H36" s="376"/>
      <c r="I36" s="377"/>
      <c r="J36" s="378"/>
      <c r="K36" s="379"/>
      <c r="L36" s="374"/>
      <c r="M36" s="380" t="str">
        <f t="shared" ca="1" si="9"/>
        <v/>
      </c>
      <c r="N36" s="373"/>
      <c r="O36" s="381"/>
      <c r="P36" s="381"/>
      <c r="Q36" s="382"/>
      <c r="R36" s="381"/>
      <c r="S36" s="383"/>
      <c r="T36" s="384" t="str">
        <f t="shared" si="10"/>
        <v/>
      </c>
      <c r="U36" s="385"/>
      <c r="V36" s="384" t="str">
        <f t="shared" si="5"/>
        <v/>
      </c>
      <c r="W36" s="386"/>
      <c r="X36" s="386" t="str">
        <f t="shared" si="11"/>
        <v/>
      </c>
      <c r="Y36" s="386" t="str">
        <f t="shared" si="12"/>
        <v/>
      </c>
      <c r="Z36" s="386" t="str">
        <f t="shared" si="13"/>
        <v/>
      </c>
      <c r="AA36" s="387"/>
      <c r="AB36" s="386" t="str">
        <f t="shared" si="14"/>
        <v/>
      </c>
      <c r="AC36" s="386" t="str">
        <f t="shared" si="15"/>
        <v/>
      </c>
      <c r="AD36" s="386" t="str">
        <f t="shared" si="16"/>
        <v/>
      </c>
      <c r="AE36" s="386" t="str">
        <f t="shared" si="17"/>
        <v/>
      </c>
      <c r="AF36" s="386" t="str">
        <f t="shared" si="18"/>
        <v/>
      </c>
      <c r="AG36" s="386" t="str">
        <f t="shared" si="19"/>
        <v/>
      </c>
      <c r="AH36" s="386" t="str">
        <f t="shared" si="20"/>
        <v/>
      </c>
      <c r="AI36" s="386" t="str">
        <f t="shared" si="21"/>
        <v/>
      </c>
      <c r="AJ36" s="386" t="str">
        <f t="shared" si="22"/>
        <v/>
      </c>
      <c r="AK36" s="386" t="str">
        <f t="shared" si="23"/>
        <v/>
      </c>
      <c r="AL36" s="388"/>
      <c r="AM36" s="388"/>
      <c r="AN36" s="388"/>
      <c r="AO36" s="388"/>
      <c r="AP36" s="402" t="str">
        <f t="shared" si="24"/>
        <v/>
      </c>
      <c r="AQ36" s="388"/>
      <c r="AR36" s="388"/>
      <c r="AS36" s="388"/>
      <c r="AT36" s="388"/>
      <c r="AU36" s="402" t="str">
        <f t="shared" si="25"/>
        <v/>
      </c>
      <c r="AV36" s="389"/>
      <c r="AW36" s="381"/>
      <c r="AX36" s="381"/>
      <c r="AY36" s="373"/>
      <c r="AZ36" s="390"/>
      <c r="BA36" s="390"/>
      <c r="BB36" s="391"/>
      <c r="BC36" s="392"/>
      <c r="BD36" s="393"/>
      <c r="BE36" s="393"/>
      <c r="BF36" s="393"/>
      <c r="BG36" s="394"/>
      <c r="BH36" s="395"/>
      <c r="BI36" s="374"/>
      <c r="BJ36" s="374"/>
      <c r="BK36" s="374"/>
      <c r="BL36" s="389"/>
      <c r="BM36" s="397"/>
      <c r="BN36" s="389"/>
      <c r="BO36" s="419" t="str">
        <f t="shared" si="26"/>
        <v/>
      </c>
      <c r="BP36" s="389"/>
      <c r="BQ36" s="397"/>
      <c r="BR36" s="419"/>
      <c r="BS36" s="419"/>
      <c r="BT36" s="419"/>
      <c r="BU36" s="432"/>
      <c r="BV36" s="419"/>
      <c r="BW36" s="419"/>
      <c r="BX36" s="419"/>
      <c r="BY36" s="389"/>
      <c r="BZ36" s="389"/>
      <c r="CA36" s="389"/>
      <c r="CB36" s="389"/>
      <c r="CC36" s="389"/>
      <c r="CD36" s="389"/>
      <c r="CE36" s="389"/>
      <c r="CF36" s="389"/>
      <c r="CG36" s="389"/>
      <c r="CH36" s="389"/>
      <c r="CI36" s="389"/>
      <c r="CJ36" s="422"/>
      <c r="CK36" s="422"/>
      <c r="CL36" s="422"/>
      <c r="CM36" s="422"/>
      <c r="CN36" s="422"/>
      <c r="CO36" s="422"/>
      <c r="CP36" s="422"/>
      <c r="CQ36" s="433" t="s">
        <v>458</v>
      </c>
      <c r="CR36" s="431" t="str">
        <f t="shared" si="0"/>
        <v/>
      </c>
      <c r="CS36" s="35" t="str">
        <f t="shared" si="1"/>
        <v>Direct or WHSE.</v>
      </c>
      <c r="CT36" s="411"/>
      <c r="CW36" s="153" t="str">
        <f t="shared" si="2"/>
        <v/>
      </c>
      <c r="CX36" s="153" t="str">
        <f t="shared" si="3"/>
        <v/>
      </c>
      <c r="CY36" s="153" t="str">
        <f t="shared" si="4"/>
        <v/>
      </c>
      <c r="DA36" s="423" t="s">
        <v>270</v>
      </c>
      <c r="DB36" s="23">
        <v>0.5</v>
      </c>
    </row>
    <row r="37" spans="1:106" ht="19.5" customHeight="1">
      <c r="A37" s="10">
        <v>15</v>
      </c>
      <c r="B37" s="373"/>
      <c r="C37" s="373"/>
      <c r="D37" s="395"/>
      <c r="E37" s="375"/>
      <c r="F37" s="373"/>
      <c r="G37" s="373"/>
      <c r="H37" s="376"/>
      <c r="I37" s="377"/>
      <c r="J37" s="378"/>
      <c r="K37" s="379"/>
      <c r="L37" s="374"/>
      <c r="M37" s="380" t="str">
        <f t="shared" ca="1" si="9"/>
        <v/>
      </c>
      <c r="N37" s="373"/>
      <c r="O37" s="381"/>
      <c r="P37" s="381"/>
      <c r="Q37" s="382"/>
      <c r="R37" s="381"/>
      <c r="S37" s="383"/>
      <c r="T37" s="384" t="str">
        <f t="shared" si="10"/>
        <v/>
      </c>
      <c r="U37" s="385"/>
      <c r="V37" s="384" t="str">
        <f t="shared" si="5"/>
        <v/>
      </c>
      <c r="W37" s="386"/>
      <c r="X37" s="386" t="str">
        <f t="shared" si="11"/>
        <v/>
      </c>
      <c r="Y37" s="386" t="str">
        <f t="shared" si="12"/>
        <v/>
      </c>
      <c r="Z37" s="386" t="str">
        <f t="shared" si="13"/>
        <v/>
      </c>
      <c r="AA37" s="387"/>
      <c r="AB37" s="386" t="str">
        <f t="shared" si="14"/>
        <v/>
      </c>
      <c r="AC37" s="386" t="str">
        <f t="shared" si="15"/>
        <v/>
      </c>
      <c r="AD37" s="386" t="str">
        <f t="shared" si="16"/>
        <v/>
      </c>
      <c r="AE37" s="386" t="str">
        <f t="shared" si="17"/>
        <v/>
      </c>
      <c r="AF37" s="386" t="str">
        <f t="shared" si="18"/>
        <v/>
      </c>
      <c r="AG37" s="386" t="str">
        <f t="shared" si="19"/>
        <v/>
      </c>
      <c r="AH37" s="386" t="str">
        <f t="shared" si="20"/>
        <v/>
      </c>
      <c r="AI37" s="386" t="str">
        <f t="shared" si="21"/>
        <v/>
      </c>
      <c r="AJ37" s="386" t="str">
        <f t="shared" si="22"/>
        <v/>
      </c>
      <c r="AK37" s="386" t="str">
        <f t="shared" si="23"/>
        <v/>
      </c>
      <c r="AL37" s="388"/>
      <c r="AM37" s="388"/>
      <c r="AN37" s="388"/>
      <c r="AO37" s="388"/>
      <c r="AP37" s="402" t="str">
        <f t="shared" si="24"/>
        <v/>
      </c>
      <c r="AQ37" s="388"/>
      <c r="AR37" s="388"/>
      <c r="AS37" s="388"/>
      <c r="AT37" s="388"/>
      <c r="AU37" s="402" t="str">
        <f t="shared" si="25"/>
        <v/>
      </c>
      <c r="AV37" s="389"/>
      <c r="AW37" s="381"/>
      <c r="AX37" s="381"/>
      <c r="AY37" s="373"/>
      <c r="AZ37" s="390"/>
      <c r="BA37" s="390"/>
      <c r="BB37" s="391"/>
      <c r="BC37" s="392"/>
      <c r="BD37" s="393"/>
      <c r="BE37" s="393"/>
      <c r="BF37" s="393"/>
      <c r="BG37" s="394"/>
      <c r="BH37" s="395"/>
      <c r="BI37" s="374"/>
      <c r="BJ37" s="374"/>
      <c r="BK37" s="374"/>
      <c r="BL37" s="389"/>
      <c r="BM37" s="397"/>
      <c r="BN37" s="389"/>
      <c r="BO37" s="419" t="str">
        <f t="shared" si="26"/>
        <v/>
      </c>
      <c r="BP37" s="389"/>
      <c r="BQ37" s="397"/>
      <c r="BR37" s="419"/>
      <c r="BS37" s="419"/>
      <c r="BT37" s="419"/>
      <c r="BU37" s="432"/>
      <c r="BV37" s="419"/>
      <c r="BW37" s="419"/>
      <c r="BX37" s="419"/>
      <c r="BY37" s="389"/>
      <c r="BZ37" s="389"/>
      <c r="CA37" s="389"/>
      <c r="CB37" s="389"/>
      <c r="CC37" s="389"/>
      <c r="CD37" s="389"/>
      <c r="CE37" s="389"/>
      <c r="CF37" s="389"/>
      <c r="CG37" s="389"/>
      <c r="CH37" s="389"/>
      <c r="CI37" s="389"/>
      <c r="CJ37" s="422"/>
      <c r="CK37" s="422"/>
      <c r="CL37" s="422"/>
      <c r="CM37" s="422"/>
      <c r="CN37" s="422"/>
      <c r="CO37" s="422"/>
      <c r="CP37" s="422"/>
      <c r="CQ37" s="433" t="s">
        <v>459</v>
      </c>
      <c r="CR37" s="431" t="str">
        <f t="shared" si="0"/>
        <v/>
      </c>
      <c r="CS37" s="35" t="str">
        <f t="shared" si="1"/>
        <v>Direct or WHSE.</v>
      </c>
      <c r="CT37" s="411"/>
      <c r="CW37" s="153" t="str">
        <f t="shared" si="2"/>
        <v/>
      </c>
      <c r="CX37" s="153" t="str">
        <f t="shared" si="3"/>
        <v/>
      </c>
      <c r="CY37" s="153" t="str">
        <f t="shared" si="4"/>
        <v/>
      </c>
      <c r="DA37" s="423" t="s">
        <v>175</v>
      </c>
      <c r="DB37" s="23">
        <v>5</v>
      </c>
    </row>
    <row r="38" spans="1:106" ht="19.5" customHeight="1">
      <c r="A38" s="10">
        <v>16</v>
      </c>
      <c r="B38" s="373"/>
      <c r="C38" s="373"/>
      <c r="D38" s="395"/>
      <c r="E38" s="375"/>
      <c r="F38" s="373"/>
      <c r="G38" s="373"/>
      <c r="H38" s="376"/>
      <c r="I38" s="377"/>
      <c r="J38" s="378"/>
      <c r="K38" s="379"/>
      <c r="L38" s="374"/>
      <c r="M38" s="380" t="str">
        <f t="shared" ca="1" si="9"/>
        <v/>
      </c>
      <c r="N38" s="373"/>
      <c r="O38" s="381"/>
      <c r="P38" s="381"/>
      <c r="Q38" s="382"/>
      <c r="R38" s="381"/>
      <c r="S38" s="383"/>
      <c r="T38" s="384" t="str">
        <f t="shared" si="10"/>
        <v/>
      </c>
      <c r="U38" s="385"/>
      <c r="V38" s="384" t="str">
        <f t="shared" si="5"/>
        <v/>
      </c>
      <c r="W38" s="386"/>
      <c r="X38" s="386" t="str">
        <f t="shared" si="11"/>
        <v/>
      </c>
      <c r="Y38" s="386" t="str">
        <f t="shared" si="12"/>
        <v/>
      </c>
      <c r="Z38" s="386" t="str">
        <f t="shared" si="13"/>
        <v/>
      </c>
      <c r="AA38" s="387"/>
      <c r="AB38" s="386" t="str">
        <f t="shared" si="14"/>
        <v/>
      </c>
      <c r="AC38" s="386" t="str">
        <f t="shared" si="15"/>
        <v/>
      </c>
      <c r="AD38" s="386" t="str">
        <f t="shared" si="16"/>
        <v/>
      </c>
      <c r="AE38" s="386" t="str">
        <f t="shared" si="17"/>
        <v/>
      </c>
      <c r="AF38" s="386" t="str">
        <f t="shared" si="18"/>
        <v/>
      </c>
      <c r="AG38" s="386" t="str">
        <f t="shared" si="19"/>
        <v/>
      </c>
      <c r="AH38" s="386" t="str">
        <f t="shared" si="20"/>
        <v/>
      </c>
      <c r="AI38" s="386" t="str">
        <f t="shared" si="21"/>
        <v/>
      </c>
      <c r="AJ38" s="386" t="str">
        <f t="shared" si="22"/>
        <v/>
      </c>
      <c r="AK38" s="386" t="str">
        <f t="shared" si="23"/>
        <v/>
      </c>
      <c r="AL38" s="388"/>
      <c r="AM38" s="388"/>
      <c r="AN38" s="388"/>
      <c r="AO38" s="388"/>
      <c r="AP38" s="402" t="str">
        <f t="shared" si="24"/>
        <v/>
      </c>
      <c r="AQ38" s="388"/>
      <c r="AR38" s="388"/>
      <c r="AS38" s="388"/>
      <c r="AT38" s="388"/>
      <c r="AU38" s="402" t="str">
        <f t="shared" si="25"/>
        <v/>
      </c>
      <c r="AV38" s="389"/>
      <c r="AW38" s="381"/>
      <c r="AX38" s="381"/>
      <c r="AY38" s="373"/>
      <c r="AZ38" s="390"/>
      <c r="BA38" s="390"/>
      <c r="BB38" s="391"/>
      <c r="BC38" s="392"/>
      <c r="BD38" s="393"/>
      <c r="BE38" s="393"/>
      <c r="BF38" s="393"/>
      <c r="BG38" s="394"/>
      <c r="BH38" s="395"/>
      <c r="BI38" s="374"/>
      <c r="BJ38" s="374"/>
      <c r="BK38" s="374"/>
      <c r="BL38" s="389"/>
      <c r="BM38" s="397"/>
      <c r="BN38" s="389"/>
      <c r="BO38" s="419" t="str">
        <f t="shared" si="26"/>
        <v/>
      </c>
      <c r="BP38" s="389"/>
      <c r="BQ38" s="397"/>
      <c r="BR38" s="419"/>
      <c r="BS38" s="419"/>
      <c r="BT38" s="419"/>
      <c r="BU38" s="432"/>
      <c r="BV38" s="419"/>
      <c r="BW38" s="419"/>
      <c r="BX38" s="419"/>
      <c r="BY38" s="389"/>
      <c r="BZ38" s="389"/>
      <c r="CA38" s="389"/>
      <c r="CB38" s="389"/>
      <c r="CC38" s="389"/>
      <c r="CD38" s="389"/>
      <c r="CE38" s="389"/>
      <c r="CF38" s="389"/>
      <c r="CG38" s="389"/>
      <c r="CH38" s="389"/>
      <c r="CI38" s="389"/>
      <c r="CJ38" s="422"/>
      <c r="CK38" s="422"/>
      <c r="CL38" s="422"/>
      <c r="CM38" s="422"/>
      <c r="CN38" s="422"/>
      <c r="CO38" s="422"/>
      <c r="CP38" s="422"/>
      <c r="CQ38" s="433" t="s">
        <v>459</v>
      </c>
      <c r="CR38" s="431" t="str">
        <f t="shared" si="0"/>
        <v/>
      </c>
      <c r="CS38" s="35" t="str">
        <f t="shared" si="1"/>
        <v>Direct or WHSE.</v>
      </c>
      <c r="CT38" s="411"/>
      <c r="CW38" s="153" t="str">
        <f t="shared" si="2"/>
        <v/>
      </c>
      <c r="CX38" s="153" t="str">
        <f t="shared" si="3"/>
        <v/>
      </c>
      <c r="CY38" s="153" t="str">
        <f t="shared" si="4"/>
        <v/>
      </c>
      <c r="DA38" s="423" t="s">
        <v>263</v>
      </c>
      <c r="DB38" s="23">
        <v>2</v>
      </c>
    </row>
    <row r="39" spans="1:106" ht="19.5" customHeight="1">
      <c r="A39" s="10">
        <v>17</v>
      </c>
      <c r="B39" s="373"/>
      <c r="C39" s="373"/>
      <c r="D39" s="395"/>
      <c r="E39" s="375"/>
      <c r="F39" s="373"/>
      <c r="G39" s="373"/>
      <c r="H39" s="376"/>
      <c r="I39" s="377"/>
      <c r="J39" s="378"/>
      <c r="K39" s="379"/>
      <c r="L39" s="374"/>
      <c r="M39" s="380" t="str">
        <f t="shared" ca="1" si="9"/>
        <v/>
      </c>
      <c r="N39" s="373"/>
      <c r="O39" s="381"/>
      <c r="P39" s="381"/>
      <c r="Q39" s="382"/>
      <c r="R39" s="381"/>
      <c r="S39" s="383"/>
      <c r="T39" s="384" t="str">
        <f t="shared" si="10"/>
        <v/>
      </c>
      <c r="U39" s="385"/>
      <c r="V39" s="384" t="str">
        <f t="shared" si="5"/>
        <v/>
      </c>
      <c r="W39" s="386"/>
      <c r="X39" s="386" t="str">
        <f t="shared" si="11"/>
        <v/>
      </c>
      <c r="Y39" s="386" t="str">
        <f t="shared" si="12"/>
        <v/>
      </c>
      <c r="Z39" s="386" t="str">
        <f t="shared" si="13"/>
        <v/>
      </c>
      <c r="AA39" s="387"/>
      <c r="AB39" s="386" t="str">
        <f t="shared" si="14"/>
        <v/>
      </c>
      <c r="AC39" s="386" t="str">
        <f t="shared" si="15"/>
        <v/>
      </c>
      <c r="AD39" s="386" t="str">
        <f t="shared" si="16"/>
        <v/>
      </c>
      <c r="AE39" s="386" t="str">
        <f t="shared" si="17"/>
        <v/>
      </c>
      <c r="AF39" s="386" t="str">
        <f t="shared" si="18"/>
        <v/>
      </c>
      <c r="AG39" s="386" t="str">
        <f t="shared" si="19"/>
        <v/>
      </c>
      <c r="AH39" s="386" t="str">
        <f t="shared" si="20"/>
        <v/>
      </c>
      <c r="AI39" s="386" t="str">
        <f t="shared" si="21"/>
        <v/>
      </c>
      <c r="AJ39" s="386" t="str">
        <f t="shared" si="22"/>
        <v/>
      </c>
      <c r="AK39" s="386" t="str">
        <f t="shared" si="23"/>
        <v/>
      </c>
      <c r="AL39" s="388"/>
      <c r="AM39" s="388"/>
      <c r="AN39" s="388"/>
      <c r="AO39" s="388"/>
      <c r="AP39" s="402" t="str">
        <f t="shared" si="24"/>
        <v/>
      </c>
      <c r="AQ39" s="388"/>
      <c r="AR39" s="388"/>
      <c r="AS39" s="388"/>
      <c r="AT39" s="388"/>
      <c r="AU39" s="402" t="str">
        <f t="shared" si="25"/>
        <v/>
      </c>
      <c r="AV39" s="389"/>
      <c r="AW39" s="381"/>
      <c r="AX39" s="381"/>
      <c r="AY39" s="373"/>
      <c r="AZ39" s="390"/>
      <c r="BA39" s="390"/>
      <c r="BB39" s="391"/>
      <c r="BC39" s="392"/>
      <c r="BD39" s="393"/>
      <c r="BE39" s="393"/>
      <c r="BF39" s="393"/>
      <c r="BG39" s="394"/>
      <c r="BH39" s="395"/>
      <c r="BI39" s="374"/>
      <c r="BJ39" s="374"/>
      <c r="BK39" s="374"/>
      <c r="BL39" s="389"/>
      <c r="BM39" s="397"/>
      <c r="BN39" s="389"/>
      <c r="BO39" s="419" t="str">
        <f t="shared" si="26"/>
        <v/>
      </c>
      <c r="BP39" s="389"/>
      <c r="BQ39" s="397"/>
      <c r="BR39" s="419"/>
      <c r="BS39" s="419"/>
      <c r="BT39" s="419"/>
      <c r="BU39" s="432"/>
      <c r="BV39" s="419"/>
      <c r="BW39" s="419"/>
      <c r="BX39" s="419"/>
      <c r="BY39" s="389"/>
      <c r="BZ39" s="389"/>
      <c r="CA39" s="389"/>
      <c r="CB39" s="389"/>
      <c r="CC39" s="389"/>
      <c r="CD39" s="389"/>
      <c r="CE39" s="389"/>
      <c r="CF39" s="389"/>
      <c r="CG39" s="389"/>
      <c r="CH39" s="389"/>
      <c r="CI39" s="389"/>
      <c r="CJ39" s="422"/>
      <c r="CK39" s="422"/>
      <c r="CL39" s="422"/>
      <c r="CM39" s="422"/>
      <c r="CN39" s="422"/>
      <c r="CO39" s="422"/>
      <c r="CP39" s="422"/>
      <c r="CQ39" s="433" t="s">
        <v>460</v>
      </c>
      <c r="CR39" s="431" t="str">
        <f t="shared" ref="CR39:CR54" si="27">IF(N39="","",IF(MOD(N39,O39)=0,"","CASE PACK Problems"))</f>
        <v/>
      </c>
      <c r="CS39" s="35" t="str">
        <f t="shared" ref="CS39:CS54" si="28">IF($N$3="","Direct or WHSE.",IF(N39="","Need Master Pack QTY.",IF(O39="","Need Inner Pack QTY.",IF($N$3="W",IF(MOD(N39,O39)=0,"","Inner Pack is not a Multiple of the Master pack."),IF(O39="","",IF(O39=N39,"","Master PK and Inner PK don't equal."))))))</f>
        <v>Direct or WHSE.</v>
      </c>
      <c r="CT39" s="411"/>
      <c r="CW39" s="153" t="str">
        <f t="shared" ref="CW39:CW54" si="29">IF(W39="","",MOD(W39,1))</f>
        <v/>
      </c>
      <c r="CX39" s="153" t="str">
        <f t="shared" ref="CX39:CX54" si="30">IF(X39="","",MOD(X39,1))</f>
        <v/>
      </c>
      <c r="CY39" s="153" t="str">
        <f t="shared" ref="CY39:CY54" si="31">IF(W39="","",IF(W39=X39,"Match",""))</f>
        <v/>
      </c>
      <c r="DA39" s="423" t="s">
        <v>271</v>
      </c>
      <c r="DB39" s="23">
        <v>0.25</v>
      </c>
    </row>
    <row r="40" spans="1:106" ht="19.5" customHeight="1">
      <c r="A40" s="10">
        <v>18</v>
      </c>
      <c r="B40" s="373"/>
      <c r="C40" s="373"/>
      <c r="D40" s="395"/>
      <c r="E40" s="375"/>
      <c r="F40" s="373"/>
      <c r="G40" s="373"/>
      <c r="H40" s="376"/>
      <c r="I40" s="377"/>
      <c r="J40" s="378"/>
      <c r="K40" s="379"/>
      <c r="L40" s="374"/>
      <c r="M40" s="380" t="str">
        <f t="shared" ca="1" si="9"/>
        <v/>
      </c>
      <c r="N40" s="373"/>
      <c r="O40" s="381"/>
      <c r="P40" s="381"/>
      <c r="Q40" s="382"/>
      <c r="R40" s="381"/>
      <c r="S40" s="383"/>
      <c r="T40" s="384" t="str">
        <f t="shared" si="10"/>
        <v/>
      </c>
      <c r="U40" s="385"/>
      <c r="V40" s="384" t="str">
        <f t="shared" si="5"/>
        <v/>
      </c>
      <c r="W40" s="386"/>
      <c r="X40" s="386" t="str">
        <f t="shared" si="11"/>
        <v/>
      </c>
      <c r="Y40" s="386" t="str">
        <f t="shared" si="12"/>
        <v/>
      </c>
      <c r="Z40" s="386" t="str">
        <f t="shared" si="13"/>
        <v/>
      </c>
      <c r="AA40" s="387"/>
      <c r="AB40" s="386" t="str">
        <f t="shared" si="14"/>
        <v/>
      </c>
      <c r="AC40" s="386" t="str">
        <f t="shared" si="15"/>
        <v/>
      </c>
      <c r="AD40" s="386" t="str">
        <f t="shared" si="16"/>
        <v/>
      </c>
      <c r="AE40" s="386" t="str">
        <f t="shared" si="17"/>
        <v/>
      </c>
      <c r="AF40" s="386" t="str">
        <f t="shared" si="18"/>
        <v/>
      </c>
      <c r="AG40" s="386" t="str">
        <f t="shared" si="19"/>
        <v/>
      </c>
      <c r="AH40" s="386" t="str">
        <f t="shared" si="20"/>
        <v/>
      </c>
      <c r="AI40" s="386" t="str">
        <f t="shared" si="21"/>
        <v/>
      </c>
      <c r="AJ40" s="386" t="str">
        <f t="shared" si="22"/>
        <v/>
      </c>
      <c r="AK40" s="386" t="str">
        <f t="shared" si="23"/>
        <v/>
      </c>
      <c r="AL40" s="388"/>
      <c r="AM40" s="388"/>
      <c r="AN40" s="388"/>
      <c r="AO40" s="388"/>
      <c r="AP40" s="402" t="str">
        <f t="shared" si="24"/>
        <v/>
      </c>
      <c r="AQ40" s="388"/>
      <c r="AR40" s="388"/>
      <c r="AS40" s="388"/>
      <c r="AT40" s="388"/>
      <c r="AU40" s="402" t="str">
        <f t="shared" si="25"/>
        <v/>
      </c>
      <c r="AV40" s="389"/>
      <c r="AW40" s="381"/>
      <c r="AX40" s="381"/>
      <c r="AY40" s="373"/>
      <c r="AZ40" s="390"/>
      <c r="BA40" s="390"/>
      <c r="BB40" s="391"/>
      <c r="BC40" s="392"/>
      <c r="BD40" s="393"/>
      <c r="BE40" s="393"/>
      <c r="BF40" s="393"/>
      <c r="BG40" s="394"/>
      <c r="BH40" s="395"/>
      <c r="BI40" s="374"/>
      <c r="BJ40" s="374"/>
      <c r="BK40" s="374"/>
      <c r="BL40" s="389"/>
      <c r="BM40" s="397"/>
      <c r="BN40" s="389"/>
      <c r="BO40" s="419" t="str">
        <f t="shared" si="26"/>
        <v/>
      </c>
      <c r="BP40" s="389"/>
      <c r="BQ40" s="397"/>
      <c r="BR40" s="419"/>
      <c r="BS40" s="419"/>
      <c r="BT40" s="419"/>
      <c r="BU40" s="432"/>
      <c r="BV40" s="419"/>
      <c r="BW40" s="419"/>
      <c r="BX40" s="419"/>
      <c r="BY40" s="389"/>
      <c r="BZ40" s="389"/>
      <c r="CA40" s="389"/>
      <c r="CB40" s="389"/>
      <c r="CC40" s="389"/>
      <c r="CD40" s="389"/>
      <c r="CE40" s="389"/>
      <c r="CF40" s="389"/>
      <c r="CG40" s="389"/>
      <c r="CH40" s="389"/>
      <c r="CI40" s="389"/>
      <c r="CJ40" s="422"/>
      <c r="CK40" s="422"/>
      <c r="CL40" s="422"/>
      <c r="CM40" s="422"/>
      <c r="CN40" s="422"/>
      <c r="CO40" s="422"/>
      <c r="CP40" s="422"/>
      <c r="CQ40" s="433" t="s">
        <v>461</v>
      </c>
      <c r="CR40" s="431" t="str">
        <f t="shared" si="27"/>
        <v/>
      </c>
      <c r="CS40" s="35" t="str">
        <f t="shared" si="28"/>
        <v>Direct or WHSE.</v>
      </c>
      <c r="CT40" s="411"/>
      <c r="CW40" s="153" t="str">
        <f t="shared" si="29"/>
        <v/>
      </c>
      <c r="CX40" s="153" t="str">
        <f t="shared" si="30"/>
        <v/>
      </c>
      <c r="CY40" s="153" t="str">
        <f t="shared" si="31"/>
        <v/>
      </c>
      <c r="DA40" s="423" t="s">
        <v>272</v>
      </c>
      <c r="DB40" s="23">
        <v>1</v>
      </c>
    </row>
    <row r="41" spans="1:106" ht="19.5" customHeight="1">
      <c r="A41" s="10">
        <v>19</v>
      </c>
      <c r="B41" s="373"/>
      <c r="C41" s="373"/>
      <c r="D41" s="396"/>
      <c r="E41" s="375"/>
      <c r="F41" s="373"/>
      <c r="G41" s="373"/>
      <c r="H41" s="376"/>
      <c r="I41" s="377"/>
      <c r="J41" s="378"/>
      <c r="K41" s="379"/>
      <c r="L41" s="374"/>
      <c r="M41" s="380" t="str">
        <f t="shared" ca="1" si="9"/>
        <v/>
      </c>
      <c r="N41" s="373"/>
      <c r="O41" s="381"/>
      <c r="P41" s="381"/>
      <c r="Q41" s="382"/>
      <c r="R41" s="381"/>
      <c r="S41" s="383"/>
      <c r="T41" s="384" t="str">
        <f t="shared" si="10"/>
        <v/>
      </c>
      <c r="U41" s="385"/>
      <c r="V41" s="384" t="str">
        <f t="shared" si="5"/>
        <v/>
      </c>
      <c r="W41" s="386"/>
      <c r="X41" s="386" t="str">
        <f t="shared" si="11"/>
        <v/>
      </c>
      <c r="Y41" s="386" t="str">
        <f t="shared" si="12"/>
        <v/>
      </c>
      <c r="Z41" s="386" t="str">
        <f t="shared" si="13"/>
        <v/>
      </c>
      <c r="AA41" s="387"/>
      <c r="AB41" s="386" t="str">
        <f t="shared" si="14"/>
        <v/>
      </c>
      <c r="AC41" s="386" t="str">
        <f t="shared" si="15"/>
        <v/>
      </c>
      <c r="AD41" s="386" t="str">
        <f t="shared" si="16"/>
        <v/>
      </c>
      <c r="AE41" s="386" t="str">
        <f t="shared" si="17"/>
        <v/>
      </c>
      <c r="AF41" s="386" t="str">
        <f t="shared" si="18"/>
        <v/>
      </c>
      <c r="AG41" s="386" t="str">
        <f t="shared" si="19"/>
        <v/>
      </c>
      <c r="AH41" s="386" t="str">
        <f t="shared" si="20"/>
        <v/>
      </c>
      <c r="AI41" s="386" t="str">
        <f t="shared" si="21"/>
        <v/>
      </c>
      <c r="AJ41" s="386" t="str">
        <f t="shared" si="22"/>
        <v/>
      </c>
      <c r="AK41" s="386" t="str">
        <f t="shared" si="23"/>
        <v/>
      </c>
      <c r="AL41" s="388"/>
      <c r="AM41" s="388"/>
      <c r="AN41" s="388"/>
      <c r="AO41" s="388"/>
      <c r="AP41" s="402" t="str">
        <f t="shared" si="24"/>
        <v/>
      </c>
      <c r="AQ41" s="388"/>
      <c r="AR41" s="388"/>
      <c r="AS41" s="388"/>
      <c r="AT41" s="388"/>
      <c r="AU41" s="402" t="str">
        <f t="shared" si="25"/>
        <v/>
      </c>
      <c r="AV41" s="389"/>
      <c r="AW41" s="381"/>
      <c r="AX41" s="381"/>
      <c r="AY41" s="373"/>
      <c r="AZ41" s="390"/>
      <c r="BA41" s="390"/>
      <c r="BB41" s="391"/>
      <c r="BC41" s="392"/>
      <c r="BD41" s="393"/>
      <c r="BE41" s="393"/>
      <c r="BF41" s="393"/>
      <c r="BG41" s="394"/>
      <c r="BH41" s="395"/>
      <c r="BI41" s="374"/>
      <c r="BJ41" s="374"/>
      <c r="BK41" s="374"/>
      <c r="BL41" s="389"/>
      <c r="BM41" s="397"/>
      <c r="BN41" s="389"/>
      <c r="BO41" s="419" t="str">
        <f t="shared" si="26"/>
        <v/>
      </c>
      <c r="BP41" s="389"/>
      <c r="BQ41" s="397"/>
      <c r="BR41" s="419"/>
      <c r="BS41" s="419"/>
      <c r="BT41" s="419"/>
      <c r="BU41" s="432"/>
      <c r="BV41" s="419"/>
      <c r="BW41" s="419"/>
      <c r="BX41" s="419"/>
      <c r="BY41" s="389"/>
      <c r="BZ41" s="389"/>
      <c r="CA41" s="389"/>
      <c r="CB41" s="389"/>
      <c r="CC41" s="389"/>
      <c r="CD41" s="389"/>
      <c r="CE41" s="389"/>
      <c r="CF41" s="389"/>
      <c r="CG41" s="389"/>
      <c r="CH41" s="389"/>
      <c r="CI41" s="389"/>
      <c r="CJ41" s="422"/>
      <c r="CK41" s="422"/>
      <c r="CL41" s="422"/>
      <c r="CM41" s="422"/>
      <c r="CN41" s="422"/>
      <c r="CO41" s="422"/>
      <c r="CP41" s="422"/>
      <c r="CQ41" s="433" t="s">
        <v>462</v>
      </c>
      <c r="CR41" s="431" t="str">
        <f t="shared" si="27"/>
        <v/>
      </c>
      <c r="CS41" s="35" t="str">
        <f t="shared" si="28"/>
        <v>Direct or WHSE.</v>
      </c>
      <c r="CT41" s="411"/>
      <c r="CW41" s="153" t="str">
        <f t="shared" si="29"/>
        <v/>
      </c>
      <c r="CX41" s="153" t="str">
        <f t="shared" si="30"/>
        <v/>
      </c>
      <c r="CY41" s="153" t="str">
        <f t="shared" si="31"/>
        <v/>
      </c>
      <c r="DA41" s="423" t="s">
        <v>273</v>
      </c>
      <c r="DB41" s="23">
        <v>25</v>
      </c>
    </row>
    <row r="42" spans="1:106" ht="19.5" customHeight="1">
      <c r="A42" s="10">
        <v>20</v>
      </c>
      <c r="B42" s="373"/>
      <c r="C42" s="373"/>
      <c r="D42" s="396"/>
      <c r="E42" s="375"/>
      <c r="F42" s="373"/>
      <c r="G42" s="373"/>
      <c r="H42" s="376"/>
      <c r="I42" s="377"/>
      <c r="J42" s="378"/>
      <c r="K42" s="379"/>
      <c r="L42" s="374"/>
      <c r="M42" s="380" t="str">
        <f t="shared" ca="1" si="9"/>
        <v/>
      </c>
      <c r="N42" s="373"/>
      <c r="O42" s="381"/>
      <c r="P42" s="381"/>
      <c r="Q42" s="382"/>
      <c r="R42" s="381"/>
      <c r="S42" s="383"/>
      <c r="T42" s="384" t="str">
        <f t="shared" si="10"/>
        <v/>
      </c>
      <c r="U42" s="385"/>
      <c r="V42" s="384" t="str">
        <f t="shared" si="5"/>
        <v/>
      </c>
      <c r="W42" s="386"/>
      <c r="X42" s="386" t="str">
        <f t="shared" si="11"/>
        <v/>
      </c>
      <c r="Y42" s="386" t="str">
        <f t="shared" si="12"/>
        <v/>
      </c>
      <c r="Z42" s="386" t="str">
        <f t="shared" si="13"/>
        <v/>
      </c>
      <c r="AA42" s="387"/>
      <c r="AB42" s="386" t="str">
        <f t="shared" si="14"/>
        <v/>
      </c>
      <c r="AC42" s="386" t="str">
        <f t="shared" si="15"/>
        <v/>
      </c>
      <c r="AD42" s="386" t="str">
        <f t="shared" si="16"/>
        <v/>
      </c>
      <c r="AE42" s="386" t="str">
        <f t="shared" si="17"/>
        <v/>
      </c>
      <c r="AF42" s="386" t="str">
        <f t="shared" si="18"/>
        <v/>
      </c>
      <c r="AG42" s="386" t="str">
        <f t="shared" si="19"/>
        <v/>
      </c>
      <c r="AH42" s="386" t="str">
        <f t="shared" si="20"/>
        <v/>
      </c>
      <c r="AI42" s="386" t="str">
        <f t="shared" si="21"/>
        <v/>
      </c>
      <c r="AJ42" s="386" t="str">
        <f t="shared" si="22"/>
        <v/>
      </c>
      <c r="AK42" s="386" t="str">
        <f t="shared" si="23"/>
        <v/>
      </c>
      <c r="AL42" s="388"/>
      <c r="AM42" s="388"/>
      <c r="AN42" s="388"/>
      <c r="AO42" s="388"/>
      <c r="AP42" s="402" t="str">
        <f t="shared" si="24"/>
        <v/>
      </c>
      <c r="AQ42" s="388"/>
      <c r="AR42" s="388"/>
      <c r="AS42" s="388"/>
      <c r="AT42" s="388"/>
      <c r="AU42" s="402" t="str">
        <f t="shared" si="25"/>
        <v/>
      </c>
      <c r="AV42" s="389"/>
      <c r="AW42" s="381"/>
      <c r="AX42" s="381"/>
      <c r="AY42" s="373"/>
      <c r="AZ42" s="390"/>
      <c r="BA42" s="390"/>
      <c r="BB42" s="391"/>
      <c r="BC42" s="392"/>
      <c r="BD42" s="393"/>
      <c r="BE42" s="393"/>
      <c r="BF42" s="393"/>
      <c r="BG42" s="394"/>
      <c r="BH42" s="395"/>
      <c r="BI42" s="374"/>
      <c r="BJ42" s="374"/>
      <c r="BK42" s="374"/>
      <c r="BL42" s="389"/>
      <c r="BM42" s="397"/>
      <c r="BN42" s="389"/>
      <c r="BO42" s="419" t="str">
        <f t="shared" si="26"/>
        <v/>
      </c>
      <c r="BP42" s="389"/>
      <c r="BQ42" s="397"/>
      <c r="BR42" s="419"/>
      <c r="BS42" s="419"/>
      <c r="BT42" s="419"/>
      <c r="BU42" s="432"/>
      <c r="BV42" s="419"/>
      <c r="BW42" s="419"/>
      <c r="BX42" s="419"/>
      <c r="BY42" s="389"/>
      <c r="BZ42" s="389"/>
      <c r="CA42" s="389"/>
      <c r="CB42" s="389"/>
      <c r="CC42" s="389"/>
      <c r="CD42" s="389"/>
      <c r="CE42" s="389"/>
      <c r="CF42" s="389"/>
      <c r="CG42" s="389"/>
      <c r="CH42" s="389"/>
      <c r="CI42" s="389"/>
      <c r="CJ42" s="422"/>
      <c r="CK42" s="422"/>
      <c r="CL42" s="422"/>
      <c r="CM42" s="422"/>
      <c r="CN42" s="422"/>
      <c r="CO42" s="422"/>
      <c r="CP42" s="422"/>
      <c r="CQ42" s="433" t="s">
        <v>463</v>
      </c>
      <c r="CR42" s="431" t="str">
        <f t="shared" si="27"/>
        <v/>
      </c>
      <c r="CS42" s="35" t="str">
        <f t="shared" si="28"/>
        <v>Direct or WHSE.</v>
      </c>
      <c r="CT42" s="411"/>
      <c r="CW42" s="153" t="str">
        <f t="shared" si="29"/>
        <v/>
      </c>
      <c r="CX42" s="153" t="str">
        <f t="shared" si="30"/>
        <v/>
      </c>
      <c r="CY42" s="153" t="str">
        <f t="shared" si="31"/>
        <v/>
      </c>
      <c r="DA42" s="423" t="s">
        <v>274</v>
      </c>
      <c r="DB42" s="23">
        <v>2</v>
      </c>
    </row>
    <row r="43" spans="1:106" ht="19.5" customHeight="1">
      <c r="A43" s="10">
        <v>21</v>
      </c>
      <c r="B43" s="373"/>
      <c r="C43" s="373"/>
      <c r="D43" s="396"/>
      <c r="E43" s="375"/>
      <c r="F43" s="373"/>
      <c r="G43" s="373"/>
      <c r="H43" s="376"/>
      <c r="I43" s="377"/>
      <c r="J43" s="378"/>
      <c r="K43" s="379"/>
      <c r="L43" s="374"/>
      <c r="M43" s="380" t="str">
        <f t="shared" ca="1" si="9"/>
        <v/>
      </c>
      <c r="N43" s="373"/>
      <c r="O43" s="381"/>
      <c r="P43" s="381"/>
      <c r="Q43" s="382"/>
      <c r="R43" s="381"/>
      <c r="S43" s="383"/>
      <c r="T43" s="384" t="str">
        <f t="shared" si="10"/>
        <v/>
      </c>
      <c r="U43" s="385"/>
      <c r="V43" s="384" t="str">
        <f t="shared" si="5"/>
        <v/>
      </c>
      <c r="W43" s="386"/>
      <c r="X43" s="386" t="str">
        <f t="shared" si="11"/>
        <v/>
      </c>
      <c r="Y43" s="386" t="str">
        <f t="shared" si="12"/>
        <v/>
      </c>
      <c r="Z43" s="386" t="str">
        <f t="shared" si="13"/>
        <v/>
      </c>
      <c r="AA43" s="387"/>
      <c r="AB43" s="386" t="str">
        <f t="shared" si="14"/>
        <v/>
      </c>
      <c r="AC43" s="386" t="str">
        <f t="shared" si="15"/>
        <v/>
      </c>
      <c r="AD43" s="386" t="str">
        <f t="shared" si="16"/>
        <v/>
      </c>
      <c r="AE43" s="386" t="str">
        <f t="shared" si="17"/>
        <v/>
      </c>
      <c r="AF43" s="386" t="str">
        <f t="shared" si="18"/>
        <v/>
      </c>
      <c r="AG43" s="386" t="str">
        <f t="shared" si="19"/>
        <v/>
      </c>
      <c r="AH43" s="386" t="str">
        <f t="shared" si="20"/>
        <v/>
      </c>
      <c r="AI43" s="386" t="str">
        <f t="shared" si="21"/>
        <v/>
      </c>
      <c r="AJ43" s="386" t="str">
        <f t="shared" si="22"/>
        <v/>
      </c>
      <c r="AK43" s="386" t="str">
        <f t="shared" si="23"/>
        <v/>
      </c>
      <c r="AL43" s="388"/>
      <c r="AM43" s="388"/>
      <c r="AN43" s="388"/>
      <c r="AO43" s="388"/>
      <c r="AP43" s="402" t="str">
        <f t="shared" si="24"/>
        <v/>
      </c>
      <c r="AQ43" s="388"/>
      <c r="AR43" s="388"/>
      <c r="AS43" s="388"/>
      <c r="AT43" s="388"/>
      <c r="AU43" s="402" t="str">
        <f t="shared" si="25"/>
        <v/>
      </c>
      <c r="AV43" s="389"/>
      <c r="AW43" s="381"/>
      <c r="AX43" s="381"/>
      <c r="AY43" s="373"/>
      <c r="AZ43" s="390"/>
      <c r="BA43" s="390"/>
      <c r="BB43" s="391"/>
      <c r="BC43" s="392"/>
      <c r="BD43" s="393"/>
      <c r="BE43" s="393"/>
      <c r="BF43" s="393"/>
      <c r="BG43" s="394"/>
      <c r="BH43" s="395"/>
      <c r="BI43" s="374"/>
      <c r="BJ43" s="374"/>
      <c r="BK43" s="374"/>
      <c r="BL43" s="389"/>
      <c r="BM43" s="397"/>
      <c r="BN43" s="389"/>
      <c r="BO43" s="419" t="str">
        <f t="shared" si="26"/>
        <v/>
      </c>
      <c r="BP43" s="389"/>
      <c r="BQ43" s="397"/>
      <c r="BR43" s="419"/>
      <c r="BS43" s="419"/>
      <c r="BT43" s="419"/>
      <c r="BU43" s="432"/>
      <c r="BV43" s="419"/>
      <c r="BW43" s="419"/>
      <c r="BX43" s="419"/>
      <c r="BY43" s="389"/>
      <c r="BZ43" s="389"/>
      <c r="CA43" s="389"/>
      <c r="CB43" s="389"/>
      <c r="CC43" s="389"/>
      <c r="CD43" s="389"/>
      <c r="CE43" s="389"/>
      <c r="CF43" s="389"/>
      <c r="CG43" s="389"/>
      <c r="CH43" s="389"/>
      <c r="CI43" s="389"/>
      <c r="CJ43" s="422"/>
      <c r="CK43" s="422"/>
      <c r="CL43" s="422"/>
      <c r="CM43" s="422"/>
      <c r="CN43" s="422"/>
      <c r="CO43" s="422"/>
      <c r="CP43" s="422"/>
      <c r="CQ43" s="433" t="s">
        <v>464</v>
      </c>
      <c r="CR43" s="431" t="str">
        <f t="shared" si="27"/>
        <v/>
      </c>
      <c r="CS43" s="35" t="str">
        <f t="shared" si="28"/>
        <v>Direct or WHSE.</v>
      </c>
      <c r="CT43" s="411"/>
      <c r="CW43" s="153" t="str">
        <f t="shared" si="29"/>
        <v/>
      </c>
      <c r="CX43" s="153" t="str">
        <f t="shared" si="30"/>
        <v/>
      </c>
      <c r="CY43" s="153" t="str">
        <f t="shared" si="31"/>
        <v/>
      </c>
      <c r="DA43" s="423" t="s">
        <v>176</v>
      </c>
      <c r="DB43" s="23">
        <v>13.5</v>
      </c>
    </row>
    <row r="44" spans="1:106" ht="19.5" customHeight="1">
      <c r="A44" s="10">
        <v>22</v>
      </c>
      <c r="B44" s="373"/>
      <c r="C44" s="373"/>
      <c r="D44" s="396"/>
      <c r="E44" s="375"/>
      <c r="F44" s="373"/>
      <c r="G44" s="373"/>
      <c r="H44" s="376"/>
      <c r="I44" s="377"/>
      <c r="J44" s="378"/>
      <c r="K44" s="379"/>
      <c r="L44" s="374"/>
      <c r="M44" s="380" t="str">
        <f t="shared" ca="1" si="9"/>
        <v/>
      </c>
      <c r="N44" s="373"/>
      <c r="O44" s="381"/>
      <c r="P44" s="381"/>
      <c r="Q44" s="382"/>
      <c r="R44" s="381"/>
      <c r="S44" s="383"/>
      <c r="T44" s="384" t="str">
        <f t="shared" si="10"/>
        <v/>
      </c>
      <c r="U44" s="385"/>
      <c r="V44" s="384" t="str">
        <f t="shared" si="5"/>
        <v/>
      </c>
      <c r="W44" s="386"/>
      <c r="X44" s="386" t="str">
        <f t="shared" si="11"/>
        <v/>
      </c>
      <c r="Y44" s="386" t="str">
        <f t="shared" si="12"/>
        <v/>
      </c>
      <c r="Z44" s="386" t="str">
        <f t="shared" si="13"/>
        <v/>
      </c>
      <c r="AA44" s="387"/>
      <c r="AB44" s="386" t="str">
        <f t="shared" si="14"/>
        <v/>
      </c>
      <c r="AC44" s="386" t="str">
        <f t="shared" si="15"/>
        <v/>
      </c>
      <c r="AD44" s="386" t="str">
        <f t="shared" si="16"/>
        <v/>
      </c>
      <c r="AE44" s="386" t="str">
        <f t="shared" si="17"/>
        <v/>
      </c>
      <c r="AF44" s="386" t="str">
        <f t="shared" si="18"/>
        <v/>
      </c>
      <c r="AG44" s="386" t="str">
        <f t="shared" si="19"/>
        <v/>
      </c>
      <c r="AH44" s="386" t="str">
        <f t="shared" si="20"/>
        <v/>
      </c>
      <c r="AI44" s="386" t="str">
        <f t="shared" si="21"/>
        <v/>
      </c>
      <c r="AJ44" s="386" t="str">
        <f t="shared" si="22"/>
        <v/>
      </c>
      <c r="AK44" s="386" t="str">
        <f t="shared" si="23"/>
        <v/>
      </c>
      <c r="AL44" s="388"/>
      <c r="AM44" s="388"/>
      <c r="AN44" s="388"/>
      <c r="AO44" s="388"/>
      <c r="AP44" s="402" t="str">
        <f t="shared" si="24"/>
        <v/>
      </c>
      <c r="AQ44" s="388"/>
      <c r="AR44" s="388"/>
      <c r="AS44" s="388"/>
      <c r="AT44" s="388"/>
      <c r="AU44" s="402" t="str">
        <f t="shared" si="25"/>
        <v/>
      </c>
      <c r="AV44" s="389"/>
      <c r="AW44" s="381"/>
      <c r="AX44" s="381"/>
      <c r="AY44" s="373"/>
      <c r="AZ44" s="390"/>
      <c r="BA44" s="390"/>
      <c r="BB44" s="391"/>
      <c r="BC44" s="392"/>
      <c r="BD44" s="393"/>
      <c r="BE44" s="393"/>
      <c r="BF44" s="393"/>
      <c r="BG44" s="394"/>
      <c r="BH44" s="395"/>
      <c r="BI44" s="374"/>
      <c r="BJ44" s="374"/>
      <c r="BK44" s="374"/>
      <c r="BL44" s="389"/>
      <c r="BM44" s="397"/>
      <c r="BN44" s="389"/>
      <c r="BO44" s="419" t="str">
        <f t="shared" si="26"/>
        <v/>
      </c>
      <c r="BP44" s="389"/>
      <c r="BQ44" s="397"/>
      <c r="BR44" s="419"/>
      <c r="BS44" s="419"/>
      <c r="BT44" s="419"/>
      <c r="BU44" s="432"/>
      <c r="BV44" s="419"/>
      <c r="BW44" s="419"/>
      <c r="BX44" s="419"/>
      <c r="BY44" s="389"/>
      <c r="BZ44" s="389"/>
      <c r="CA44" s="389"/>
      <c r="CB44" s="389"/>
      <c r="CC44" s="389"/>
      <c r="CD44" s="389"/>
      <c r="CE44" s="389"/>
      <c r="CF44" s="389"/>
      <c r="CG44" s="389"/>
      <c r="CH44" s="389"/>
      <c r="CI44" s="389"/>
      <c r="CJ44" s="422"/>
      <c r="CK44" s="422"/>
      <c r="CL44" s="422"/>
      <c r="CM44" s="422"/>
      <c r="CN44" s="422"/>
      <c r="CO44" s="422"/>
      <c r="CP44" s="422"/>
      <c r="CQ44" s="433" t="s">
        <v>465</v>
      </c>
      <c r="CR44" s="431" t="str">
        <f t="shared" si="27"/>
        <v/>
      </c>
      <c r="CS44" s="35" t="str">
        <f t="shared" si="28"/>
        <v>Direct or WHSE.</v>
      </c>
      <c r="CT44" s="411"/>
      <c r="CW44" s="153" t="str">
        <f t="shared" si="29"/>
        <v/>
      </c>
      <c r="CX44" s="153" t="str">
        <f t="shared" si="30"/>
        <v/>
      </c>
      <c r="CY44" s="153" t="str">
        <f t="shared" si="31"/>
        <v/>
      </c>
      <c r="DA44" s="423" t="s">
        <v>275</v>
      </c>
      <c r="DB44" s="23">
        <v>1</v>
      </c>
    </row>
    <row r="45" spans="1:106" ht="19.5" customHeight="1">
      <c r="A45" s="10">
        <v>23</v>
      </c>
      <c r="B45" s="373"/>
      <c r="C45" s="373"/>
      <c r="D45" s="396"/>
      <c r="E45" s="375"/>
      <c r="F45" s="373"/>
      <c r="G45" s="373"/>
      <c r="H45" s="376"/>
      <c r="I45" s="377"/>
      <c r="J45" s="378"/>
      <c r="K45" s="379"/>
      <c r="L45" s="374"/>
      <c r="M45" s="380" t="str">
        <f t="shared" ca="1" si="9"/>
        <v/>
      </c>
      <c r="N45" s="373"/>
      <c r="O45" s="381"/>
      <c r="P45" s="381"/>
      <c r="Q45" s="382"/>
      <c r="R45" s="381"/>
      <c r="S45" s="383"/>
      <c r="T45" s="384" t="str">
        <f t="shared" si="10"/>
        <v/>
      </c>
      <c r="U45" s="385"/>
      <c r="V45" s="384" t="str">
        <f t="shared" si="5"/>
        <v/>
      </c>
      <c r="W45" s="386"/>
      <c r="X45" s="386" t="str">
        <f t="shared" si="11"/>
        <v/>
      </c>
      <c r="Y45" s="386" t="str">
        <f t="shared" si="12"/>
        <v/>
      </c>
      <c r="Z45" s="386" t="str">
        <f t="shared" si="13"/>
        <v/>
      </c>
      <c r="AA45" s="387"/>
      <c r="AB45" s="386" t="str">
        <f t="shared" si="14"/>
        <v/>
      </c>
      <c r="AC45" s="386" t="str">
        <f t="shared" si="15"/>
        <v/>
      </c>
      <c r="AD45" s="386" t="str">
        <f t="shared" si="16"/>
        <v/>
      </c>
      <c r="AE45" s="386" t="str">
        <f t="shared" si="17"/>
        <v/>
      </c>
      <c r="AF45" s="386" t="str">
        <f t="shared" si="18"/>
        <v/>
      </c>
      <c r="AG45" s="386" t="str">
        <f t="shared" si="19"/>
        <v/>
      </c>
      <c r="AH45" s="386" t="str">
        <f t="shared" si="20"/>
        <v/>
      </c>
      <c r="AI45" s="386" t="str">
        <f t="shared" si="21"/>
        <v/>
      </c>
      <c r="AJ45" s="386" t="str">
        <f t="shared" si="22"/>
        <v/>
      </c>
      <c r="AK45" s="386" t="str">
        <f t="shared" si="23"/>
        <v/>
      </c>
      <c r="AL45" s="388"/>
      <c r="AM45" s="388"/>
      <c r="AN45" s="388"/>
      <c r="AO45" s="388"/>
      <c r="AP45" s="402" t="str">
        <f t="shared" si="24"/>
        <v/>
      </c>
      <c r="AQ45" s="388"/>
      <c r="AR45" s="388"/>
      <c r="AS45" s="388"/>
      <c r="AT45" s="388"/>
      <c r="AU45" s="402" t="str">
        <f t="shared" si="25"/>
        <v/>
      </c>
      <c r="AV45" s="389"/>
      <c r="AW45" s="381"/>
      <c r="AX45" s="381"/>
      <c r="AY45" s="373"/>
      <c r="AZ45" s="390"/>
      <c r="BA45" s="390"/>
      <c r="BB45" s="391"/>
      <c r="BC45" s="392"/>
      <c r="BD45" s="393"/>
      <c r="BE45" s="393"/>
      <c r="BF45" s="393"/>
      <c r="BG45" s="394"/>
      <c r="BH45" s="395"/>
      <c r="BI45" s="374"/>
      <c r="BJ45" s="374"/>
      <c r="BK45" s="374"/>
      <c r="BL45" s="389"/>
      <c r="BM45" s="397"/>
      <c r="BN45" s="389"/>
      <c r="BO45" s="419" t="str">
        <f t="shared" si="26"/>
        <v/>
      </c>
      <c r="BP45" s="389"/>
      <c r="BQ45" s="397"/>
      <c r="BR45" s="419"/>
      <c r="BS45" s="419"/>
      <c r="BT45" s="419"/>
      <c r="BU45" s="432"/>
      <c r="BV45" s="419"/>
      <c r="BW45" s="419"/>
      <c r="BX45" s="419"/>
      <c r="BY45" s="389"/>
      <c r="BZ45" s="389"/>
      <c r="CA45" s="389"/>
      <c r="CB45" s="389"/>
      <c r="CC45" s="389"/>
      <c r="CD45" s="389"/>
      <c r="CE45" s="389"/>
      <c r="CF45" s="389"/>
      <c r="CG45" s="389"/>
      <c r="CH45" s="389"/>
      <c r="CI45" s="389"/>
      <c r="CJ45" s="422"/>
      <c r="CK45" s="422"/>
      <c r="CL45" s="422"/>
      <c r="CM45" s="422"/>
      <c r="CN45" s="422"/>
      <c r="CO45" s="422"/>
      <c r="CP45" s="422"/>
      <c r="CQ45" s="433" t="s">
        <v>466</v>
      </c>
      <c r="CR45" s="431" t="str">
        <f t="shared" si="27"/>
        <v/>
      </c>
      <c r="CS45" s="35" t="str">
        <f t="shared" si="28"/>
        <v>Direct or WHSE.</v>
      </c>
      <c r="CT45" s="411"/>
      <c r="CW45" s="153" t="str">
        <f t="shared" si="29"/>
        <v/>
      </c>
      <c r="CX45" s="153" t="str">
        <f t="shared" si="30"/>
        <v/>
      </c>
      <c r="CY45" s="153" t="str">
        <f t="shared" si="31"/>
        <v/>
      </c>
      <c r="DA45" s="423" t="s">
        <v>276</v>
      </c>
      <c r="DB45" s="23">
        <v>2</v>
      </c>
    </row>
    <row r="46" spans="1:106" ht="19.5" customHeight="1">
      <c r="A46" s="10">
        <v>24</v>
      </c>
      <c r="B46" s="373"/>
      <c r="C46" s="373"/>
      <c r="D46" s="396"/>
      <c r="E46" s="375"/>
      <c r="F46" s="373"/>
      <c r="G46" s="373"/>
      <c r="H46" s="376"/>
      <c r="I46" s="377"/>
      <c r="J46" s="378"/>
      <c r="K46" s="379"/>
      <c r="L46" s="374"/>
      <c r="M46" s="380" t="str">
        <f t="shared" ca="1" si="9"/>
        <v/>
      </c>
      <c r="N46" s="373"/>
      <c r="O46" s="381"/>
      <c r="P46" s="381"/>
      <c r="Q46" s="382"/>
      <c r="R46" s="381"/>
      <c r="S46" s="383"/>
      <c r="T46" s="384" t="str">
        <f t="shared" si="10"/>
        <v/>
      </c>
      <c r="U46" s="385"/>
      <c r="V46" s="384" t="str">
        <f t="shared" si="5"/>
        <v/>
      </c>
      <c r="W46" s="386"/>
      <c r="X46" s="386" t="str">
        <f t="shared" si="11"/>
        <v/>
      </c>
      <c r="Y46" s="386" t="str">
        <f t="shared" si="12"/>
        <v/>
      </c>
      <c r="Z46" s="386" t="str">
        <f t="shared" si="13"/>
        <v/>
      </c>
      <c r="AA46" s="387"/>
      <c r="AB46" s="386" t="str">
        <f t="shared" si="14"/>
        <v/>
      </c>
      <c r="AC46" s="386" t="str">
        <f t="shared" si="15"/>
        <v/>
      </c>
      <c r="AD46" s="386" t="str">
        <f t="shared" si="16"/>
        <v/>
      </c>
      <c r="AE46" s="386" t="str">
        <f t="shared" si="17"/>
        <v/>
      </c>
      <c r="AF46" s="386" t="str">
        <f t="shared" si="18"/>
        <v/>
      </c>
      <c r="AG46" s="386" t="str">
        <f t="shared" si="19"/>
        <v/>
      </c>
      <c r="AH46" s="386" t="str">
        <f t="shared" si="20"/>
        <v/>
      </c>
      <c r="AI46" s="386" t="str">
        <f t="shared" si="21"/>
        <v/>
      </c>
      <c r="AJ46" s="386" t="str">
        <f t="shared" si="22"/>
        <v/>
      </c>
      <c r="AK46" s="386" t="str">
        <f t="shared" si="23"/>
        <v/>
      </c>
      <c r="AL46" s="388"/>
      <c r="AM46" s="388"/>
      <c r="AN46" s="388"/>
      <c r="AO46" s="388"/>
      <c r="AP46" s="402" t="str">
        <f t="shared" si="24"/>
        <v/>
      </c>
      <c r="AQ46" s="388"/>
      <c r="AR46" s="388"/>
      <c r="AS46" s="388"/>
      <c r="AT46" s="388"/>
      <c r="AU46" s="402" t="str">
        <f t="shared" si="25"/>
        <v/>
      </c>
      <c r="AV46" s="389"/>
      <c r="AW46" s="381"/>
      <c r="AX46" s="381"/>
      <c r="AY46" s="373"/>
      <c r="AZ46" s="390"/>
      <c r="BA46" s="390"/>
      <c r="BB46" s="391"/>
      <c r="BC46" s="392"/>
      <c r="BD46" s="393"/>
      <c r="BE46" s="393"/>
      <c r="BF46" s="393"/>
      <c r="BG46" s="394"/>
      <c r="BH46" s="395"/>
      <c r="BI46" s="374"/>
      <c r="BJ46" s="374"/>
      <c r="BK46" s="374"/>
      <c r="BL46" s="389"/>
      <c r="BM46" s="397"/>
      <c r="BN46" s="389"/>
      <c r="BO46" s="419" t="str">
        <f t="shared" si="26"/>
        <v/>
      </c>
      <c r="BP46" s="389"/>
      <c r="BQ46" s="397"/>
      <c r="BR46" s="419"/>
      <c r="BS46" s="419"/>
      <c r="BT46" s="419"/>
      <c r="BU46" s="432"/>
      <c r="BV46" s="419"/>
      <c r="BW46" s="419"/>
      <c r="BX46" s="419"/>
      <c r="BY46" s="389"/>
      <c r="BZ46" s="389"/>
      <c r="CA46" s="389"/>
      <c r="CB46" s="389"/>
      <c r="CC46" s="389"/>
      <c r="CD46" s="389"/>
      <c r="CE46" s="389"/>
      <c r="CF46" s="389"/>
      <c r="CG46" s="389"/>
      <c r="CH46" s="389"/>
      <c r="CI46" s="389"/>
      <c r="CJ46" s="422"/>
      <c r="CK46" s="422"/>
      <c r="CL46" s="422"/>
      <c r="CM46" s="422"/>
      <c r="CN46" s="422"/>
      <c r="CO46" s="422"/>
      <c r="CP46" s="422"/>
      <c r="CQ46" s="433" t="s">
        <v>467</v>
      </c>
      <c r="CR46" s="431" t="str">
        <f t="shared" si="27"/>
        <v/>
      </c>
      <c r="CS46" s="35" t="str">
        <f t="shared" si="28"/>
        <v>Direct or WHSE.</v>
      </c>
      <c r="CT46" s="411"/>
      <c r="CW46" s="153" t="str">
        <f t="shared" si="29"/>
        <v/>
      </c>
      <c r="CX46" s="153" t="str">
        <f t="shared" si="30"/>
        <v/>
      </c>
      <c r="CY46" s="153" t="str">
        <f t="shared" si="31"/>
        <v/>
      </c>
      <c r="DA46" s="423" t="s">
        <v>277</v>
      </c>
      <c r="DB46" s="23">
        <v>3</v>
      </c>
    </row>
    <row r="47" spans="1:106" ht="19.5" customHeight="1">
      <c r="A47" s="10">
        <v>25</v>
      </c>
      <c r="B47" s="373"/>
      <c r="C47" s="373"/>
      <c r="D47" s="396"/>
      <c r="E47" s="375"/>
      <c r="F47" s="373"/>
      <c r="G47" s="373"/>
      <c r="H47" s="376"/>
      <c r="I47" s="377"/>
      <c r="J47" s="378"/>
      <c r="K47" s="379"/>
      <c r="L47" s="374"/>
      <c r="M47" s="380" t="str">
        <f t="shared" ca="1" si="9"/>
        <v/>
      </c>
      <c r="N47" s="373"/>
      <c r="O47" s="381"/>
      <c r="P47" s="381"/>
      <c r="Q47" s="382"/>
      <c r="R47" s="381"/>
      <c r="S47" s="383"/>
      <c r="T47" s="384" t="str">
        <f t="shared" si="10"/>
        <v/>
      </c>
      <c r="U47" s="385"/>
      <c r="V47" s="384" t="str">
        <f t="shared" si="5"/>
        <v/>
      </c>
      <c r="W47" s="386"/>
      <c r="X47" s="386" t="str">
        <f t="shared" si="11"/>
        <v/>
      </c>
      <c r="Y47" s="386" t="str">
        <f t="shared" si="12"/>
        <v/>
      </c>
      <c r="Z47" s="386" t="str">
        <f t="shared" si="13"/>
        <v/>
      </c>
      <c r="AA47" s="387"/>
      <c r="AB47" s="386" t="str">
        <f t="shared" si="14"/>
        <v/>
      </c>
      <c r="AC47" s="386" t="str">
        <f t="shared" si="15"/>
        <v/>
      </c>
      <c r="AD47" s="386" t="str">
        <f t="shared" si="16"/>
        <v/>
      </c>
      <c r="AE47" s="386" t="str">
        <f t="shared" si="17"/>
        <v/>
      </c>
      <c r="AF47" s="386" t="str">
        <f t="shared" si="18"/>
        <v/>
      </c>
      <c r="AG47" s="386" t="str">
        <f t="shared" si="19"/>
        <v/>
      </c>
      <c r="AH47" s="386" t="str">
        <f t="shared" si="20"/>
        <v/>
      </c>
      <c r="AI47" s="386" t="str">
        <f t="shared" si="21"/>
        <v/>
      </c>
      <c r="AJ47" s="386" t="str">
        <f t="shared" si="22"/>
        <v/>
      </c>
      <c r="AK47" s="386" t="str">
        <f t="shared" si="23"/>
        <v/>
      </c>
      <c r="AL47" s="388"/>
      <c r="AM47" s="388"/>
      <c r="AN47" s="388"/>
      <c r="AO47" s="388"/>
      <c r="AP47" s="402" t="str">
        <f t="shared" si="24"/>
        <v/>
      </c>
      <c r="AQ47" s="388"/>
      <c r="AR47" s="388"/>
      <c r="AS47" s="388"/>
      <c r="AT47" s="388"/>
      <c r="AU47" s="402" t="str">
        <f t="shared" si="25"/>
        <v/>
      </c>
      <c r="AV47" s="389"/>
      <c r="AW47" s="381"/>
      <c r="AX47" s="381"/>
      <c r="AY47" s="373"/>
      <c r="AZ47" s="390"/>
      <c r="BA47" s="390"/>
      <c r="BB47" s="391"/>
      <c r="BC47" s="392"/>
      <c r="BD47" s="393"/>
      <c r="BE47" s="393"/>
      <c r="BF47" s="393"/>
      <c r="BG47" s="394"/>
      <c r="BH47" s="395"/>
      <c r="BI47" s="374"/>
      <c r="BJ47" s="374"/>
      <c r="BK47" s="374"/>
      <c r="BL47" s="389"/>
      <c r="BM47" s="397"/>
      <c r="BN47" s="389"/>
      <c r="BO47" s="419" t="str">
        <f t="shared" si="26"/>
        <v/>
      </c>
      <c r="BP47" s="389"/>
      <c r="BQ47" s="397"/>
      <c r="BR47" s="419"/>
      <c r="BS47" s="419"/>
      <c r="BT47" s="419"/>
      <c r="BU47" s="432"/>
      <c r="BV47" s="419"/>
      <c r="BW47" s="419"/>
      <c r="BX47" s="419"/>
      <c r="BY47" s="389"/>
      <c r="BZ47" s="389"/>
      <c r="CA47" s="389"/>
      <c r="CB47" s="389"/>
      <c r="CC47" s="389"/>
      <c r="CD47" s="389"/>
      <c r="CE47" s="389"/>
      <c r="CF47" s="389"/>
      <c r="CG47" s="389"/>
      <c r="CH47" s="389"/>
      <c r="CI47" s="389"/>
      <c r="CJ47" s="422"/>
      <c r="CK47" s="422"/>
      <c r="CL47" s="422"/>
      <c r="CM47" s="422"/>
      <c r="CN47" s="422"/>
      <c r="CO47" s="422"/>
      <c r="CP47" s="422"/>
      <c r="CQ47" s="433" t="s">
        <v>468</v>
      </c>
      <c r="CR47" s="431" t="str">
        <f t="shared" si="27"/>
        <v/>
      </c>
      <c r="CS47" s="35" t="str">
        <f t="shared" si="28"/>
        <v>Direct or WHSE.</v>
      </c>
      <c r="CT47" s="411"/>
      <c r="CW47" s="153" t="str">
        <f t="shared" si="29"/>
        <v/>
      </c>
      <c r="CX47" s="153" t="str">
        <f t="shared" si="30"/>
        <v/>
      </c>
      <c r="CY47" s="153" t="str">
        <f t="shared" si="31"/>
        <v/>
      </c>
      <c r="DA47" s="423" t="s">
        <v>278</v>
      </c>
      <c r="DB47" s="23">
        <v>1</v>
      </c>
    </row>
    <row r="48" spans="1:106" ht="19.5" customHeight="1">
      <c r="A48" s="10">
        <v>26</v>
      </c>
      <c r="B48" s="373"/>
      <c r="C48" s="373"/>
      <c r="D48" s="396"/>
      <c r="E48" s="375"/>
      <c r="F48" s="373"/>
      <c r="G48" s="373"/>
      <c r="H48" s="376"/>
      <c r="I48" s="377"/>
      <c r="J48" s="378"/>
      <c r="K48" s="379"/>
      <c r="L48" s="374"/>
      <c r="M48" s="380" t="str">
        <f t="shared" ca="1" si="9"/>
        <v/>
      </c>
      <c r="N48" s="373"/>
      <c r="O48" s="381"/>
      <c r="P48" s="381"/>
      <c r="Q48" s="382"/>
      <c r="R48" s="381"/>
      <c r="S48" s="383"/>
      <c r="T48" s="384" t="str">
        <f t="shared" si="10"/>
        <v/>
      </c>
      <c r="U48" s="385"/>
      <c r="V48" s="384" t="str">
        <f t="shared" si="5"/>
        <v/>
      </c>
      <c r="W48" s="386"/>
      <c r="X48" s="386" t="str">
        <f t="shared" si="11"/>
        <v/>
      </c>
      <c r="Y48" s="386" t="str">
        <f t="shared" si="12"/>
        <v/>
      </c>
      <c r="Z48" s="386" t="str">
        <f t="shared" si="13"/>
        <v/>
      </c>
      <c r="AA48" s="387"/>
      <c r="AB48" s="386" t="str">
        <f t="shared" si="14"/>
        <v/>
      </c>
      <c r="AC48" s="386" t="str">
        <f t="shared" si="15"/>
        <v/>
      </c>
      <c r="AD48" s="386" t="str">
        <f t="shared" si="16"/>
        <v/>
      </c>
      <c r="AE48" s="386" t="str">
        <f t="shared" si="17"/>
        <v/>
      </c>
      <c r="AF48" s="386" t="str">
        <f t="shared" si="18"/>
        <v/>
      </c>
      <c r="AG48" s="386" t="str">
        <f t="shared" si="19"/>
        <v/>
      </c>
      <c r="AH48" s="386" t="str">
        <f t="shared" si="20"/>
        <v/>
      </c>
      <c r="AI48" s="386" t="str">
        <f t="shared" si="21"/>
        <v/>
      </c>
      <c r="AJ48" s="386" t="str">
        <f t="shared" si="22"/>
        <v/>
      </c>
      <c r="AK48" s="386" t="str">
        <f t="shared" si="23"/>
        <v/>
      </c>
      <c r="AL48" s="388"/>
      <c r="AM48" s="388"/>
      <c r="AN48" s="388"/>
      <c r="AO48" s="388"/>
      <c r="AP48" s="402" t="str">
        <f t="shared" si="24"/>
        <v/>
      </c>
      <c r="AQ48" s="388"/>
      <c r="AR48" s="388"/>
      <c r="AS48" s="388"/>
      <c r="AT48" s="388"/>
      <c r="AU48" s="402" t="str">
        <f t="shared" si="25"/>
        <v/>
      </c>
      <c r="AV48" s="389"/>
      <c r="AW48" s="381"/>
      <c r="AX48" s="381"/>
      <c r="AY48" s="373"/>
      <c r="AZ48" s="390"/>
      <c r="BA48" s="390"/>
      <c r="BB48" s="391"/>
      <c r="BC48" s="392"/>
      <c r="BD48" s="393"/>
      <c r="BE48" s="393"/>
      <c r="BF48" s="393"/>
      <c r="BG48" s="394"/>
      <c r="BH48" s="395"/>
      <c r="BI48" s="374"/>
      <c r="BJ48" s="374"/>
      <c r="BK48" s="374"/>
      <c r="BL48" s="389"/>
      <c r="BM48" s="397"/>
      <c r="BN48" s="389"/>
      <c r="BO48" s="419" t="str">
        <f t="shared" si="26"/>
        <v/>
      </c>
      <c r="BP48" s="389"/>
      <c r="BQ48" s="397"/>
      <c r="BR48" s="419"/>
      <c r="BS48" s="419"/>
      <c r="BT48" s="419"/>
      <c r="BU48" s="432"/>
      <c r="BV48" s="419"/>
      <c r="BW48" s="419"/>
      <c r="BX48" s="419"/>
      <c r="BY48" s="389"/>
      <c r="BZ48" s="389"/>
      <c r="CA48" s="389"/>
      <c r="CB48" s="389"/>
      <c r="CC48" s="389"/>
      <c r="CD48" s="389"/>
      <c r="CE48" s="389"/>
      <c r="CF48" s="389"/>
      <c r="CG48" s="389"/>
      <c r="CH48" s="389"/>
      <c r="CI48" s="389"/>
      <c r="CJ48" s="422"/>
      <c r="CK48" s="422"/>
      <c r="CL48" s="422"/>
      <c r="CM48" s="422"/>
      <c r="CN48" s="422"/>
      <c r="CO48" s="422"/>
      <c r="CP48" s="422"/>
      <c r="CQ48" s="433" t="s">
        <v>469</v>
      </c>
      <c r="CR48" s="431" t="str">
        <f t="shared" si="27"/>
        <v/>
      </c>
      <c r="CS48" s="35" t="str">
        <f t="shared" si="28"/>
        <v>Direct or WHSE.</v>
      </c>
      <c r="CT48" s="411"/>
      <c r="CW48" s="153" t="str">
        <f t="shared" si="29"/>
        <v/>
      </c>
      <c r="CX48" s="153" t="str">
        <f t="shared" si="30"/>
        <v/>
      </c>
      <c r="CY48" s="153" t="str">
        <f t="shared" si="31"/>
        <v/>
      </c>
      <c r="DA48" s="423" t="s">
        <v>279</v>
      </c>
      <c r="DB48" s="23">
        <v>1.5</v>
      </c>
    </row>
    <row r="49" spans="1:106" ht="19.5" customHeight="1">
      <c r="A49" s="10">
        <v>27</v>
      </c>
      <c r="B49" s="373"/>
      <c r="C49" s="373"/>
      <c r="D49" s="396"/>
      <c r="E49" s="375"/>
      <c r="F49" s="373"/>
      <c r="G49" s="373"/>
      <c r="H49" s="376"/>
      <c r="I49" s="377"/>
      <c r="J49" s="378"/>
      <c r="K49" s="379"/>
      <c r="L49" s="374"/>
      <c r="M49" s="380" t="str">
        <f t="shared" ca="1" si="9"/>
        <v/>
      </c>
      <c r="N49" s="373"/>
      <c r="O49" s="381"/>
      <c r="P49" s="381"/>
      <c r="Q49" s="382"/>
      <c r="R49" s="381"/>
      <c r="S49" s="383"/>
      <c r="T49" s="384" t="str">
        <f t="shared" si="10"/>
        <v/>
      </c>
      <c r="U49" s="385"/>
      <c r="V49" s="384" t="str">
        <f t="shared" si="5"/>
        <v/>
      </c>
      <c r="W49" s="386"/>
      <c r="X49" s="386" t="str">
        <f t="shared" si="11"/>
        <v/>
      </c>
      <c r="Y49" s="386" t="str">
        <f t="shared" si="12"/>
        <v/>
      </c>
      <c r="Z49" s="386" t="str">
        <f t="shared" si="13"/>
        <v/>
      </c>
      <c r="AA49" s="387"/>
      <c r="AB49" s="386" t="str">
        <f t="shared" si="14"/>
        <v/>
      </c>
      <c r="AC49" s="386" t="str">
        <f t="shared" si="15"/>
        <v/>
      </c>
      <c r="AD49" s="386" t="str">
        <f t="shared" si="16"/>
        <v/>
      </c>
      <c r="AE49" s="386" t="str">
        <f t="shared" si="17"/>
        <v/>
      </c>
      <c r="AF49" s="386" t="str">
        <f t="shared" si="18"/>
        <v/>
      </c>
      <c r="AG49" s="386" t="str">
        <f t="shared" si="19"/>
        <v/>
      </c>
      <c r="AH49" s="386" t="str">
        <f t="shared" si="20"/>
        <v/>
      </c>
      <c r="AI49" s="386" t="str">
        <f t="shared" si="21"/>
        <v/>
      </c>
      <c r="AJ49" s="386" t="str">
        <f t="shared" si="22"/>
        <v/>
      </c>
      <c r="AK49" s="386" t="str">
        <f t="shared" si="23"/>
        <v/>
      </c>
      <c r="AL49" s="388"/>
      <c r="AM49" s="388"/>
      <c r="AN49" s="388"/>
      <c r="AO49" s="388"/>
      <c r="AP49" s="402" t="str">
        <f t="shared" si="24"/>
        <v/>
      </c>
      <c r="AQ49" s="388"/>
      <c r="AR49" s="388"/>
      <c r="AS49" s="388"/>
      <c r="AT49" s="388"/>
      <c r="AU49" s="402" t="str">
        <f t="shared" si="25"/>
        <v/>
      </c>
      <c r="AV49" s="389"/>
      <c r="AW49" s="381"/>
      <c r="AX49" s="381"/>
      <c r="AY49" s="373"/>
      <c r="AZ49" s="390"/>
      <c r="BA49" s="390"/>
      <c r="BB49" s="391"/>
      <c r="BC49" s="392"/>
      <c r="BD49" s="393"/>
      <c r="BE49" s="393"/>
      <c r="BF49" s="393"/>
      <c r="BG49" s="394"/>
      <c r="BH49" s="395"/>
      <c r="BI49" s="374"/>
      <c r="BJ49" s="374"/>
      <c r="BK49" s="374"/>
      <c r="BL49" s="389"/>
      <c r="BM49" s="397"/>
      <c r="BN49" s="389"/>
      <c r="BO49" s="419" t="str">
        <f t="shared" si="26"/>
        <v/>
      </c>
      <c r="BP49" s="389"/>
      <c r="BQ49" s="397"/>
      <c r="BR49" s="419"/>
      <c r="BS49" s="419"/>
      <c r="BT49" s="419"/>
      <c r="BU49" s="432"/>
      <c r="BV49" s="419"/>
      <c r="BW49" s="419"/>
      <c r="BX49" s="419"/>
      <c r="BY49" s="389"/>
      <c r="BZ49" s="389"/>
      <c r="CA49" s="389"/>
      <c r="CB49" s="389"/>
      <c r="CC49" s="389"/>
      <c r="CD49" s="389"/>
      <c r="CE49" s="389"/>
      <c r="CF49" s="389"/>
      <c r="CG49" s="389"/>
      <c r="CH49" s="389"/>
      <c r="CI49" s="389"/>
      <c r="CJ49" s="422"/>
      <c r="CK49" s="422"/>
      <c r="CL49" s="422"/>
      <c r="CM49" s="422"/>
      <c r="CN49" s="422"/>
      <c r="CO49" s="422"/>
      <c r="CP49" s="422"/>
      <c r="CQ49" s="433" t="s">
        <v>470</v>
      </c>
      <c r="CR49" s="431" t="str">
        <f t="shared" si="27"/>
        <v/>
      </c>
      <c r="CS49" s="35" t="str">
        <f t="shared" si="28"/>
        <v>Direct or WHSE.</v>
      </c>
      <c r="CT49" s="411"/>
      <c r="CW49" s="153" t="str">
        <f t="shared" si="29"/>
        <v/>
      </c>
      <c r="CX49" s="153" t="str">
        <f t="shared" si="30"/>
        <v/>
      </c>
      <c r="CY49" s="153" t="str">
        <f t="shared" si="31"/>
        <v/>
      </c>
      <c r="DA49" s="424" t="s">
        <v>183</v>
      </c>
      <c r="DB49" s="425">
        <v>0.25</v>
      </c>
    </row>
    <row r="50" spans="1:106" ht="19.5" customHeight="1">
      <c r="A50" s="10">
        <v>28</v>
      </c>
      <c r="B50" s="373"/>
      <c r="C50" s="373"/>
      <c r="D50" s="396"/>
      <c r="E50" s="375"/>
      <c r="F50" s="373"/>
      <c r="G50" s="373"/>
      <c r="H50" s="376"/>
      <c r="I50" s="377"/>
      <c r="J50" s="378"/>
      <c r="K50" s="379"/>
      <c r="L50" s="374"/>
      <c r="M50" s="380" t="str">
        <f t="shared" ca="1" si="9"/>
        <v/>
      </c>
      <c r="N50" s="373"/>
      <c r="O50" s="381"/>
      <c r="P50" s="381"/>
      <c r="Q50" s="382"/>
      <c r="R50" s="381"/>
      <c r="S50" s="383"/>
      <c r="T50" s="384" t="str">
        <f t="shared" si="10"/>
        <v/>
      </c>
      <c r="U50" s="385"/>
      <c r="V50" s="384" t="str">
        <f t="shared" si="5"/>
        <v/>
      </c>
      <c r="W50" s="386"/>
      <c r="X50" s="386" t="str">
        <f t="shared" si="11"/>
        <v/>
      </c>
      <c r="Y50" s="386" t="str">
        <f t="shared" si="12"/>
        <v/>
      </c>
      <c r="Z50" s="386" t="str">
        <f t="shared" si="13"/>
        <v/>
      </c>
      <c r="AA50" s="387"/>
      <c r="AB50" s="386" t="str">
        <f t="shared" si="14"/>
        <v/>
      </c>
      <c r="AC50" s="386" t="str">
        <f t="shared" si="15"/>
        <v/>
      </c>
      <c r="AD50" s="386" t="str">
        <f t="shared" si="16"/>
        <v/>
      </c>
      <c r="AE50" s="386" t="str">
        <f t="shared" si="17"/>
        <v/>
      </c>
      <c r="AF50" s="386" t="str">
        <f t="shared" si="18"/>
        <v/>
      </c>
      <c r="AG50" s="386" t="str">
        <f t="shared" si="19"/>
        <v/>
      </c>
      <c r="AH50" s="386" t="str">
        <f t="shared" si="20"/>
        <v/>
      </c>
      <c r="AI50" s="386" t="str">
        <f t="shared" si="21"/>
        <v/>
      </c>
      <c r="AJ50" s="386" t="str">
        <f t="shared" si="22"/>
        <v/>
      </c>
      <c r="AK50" s="386" t="str">
        <f t="shared" si="23"/>
        <v/>
      </c>
      <c r="AL50" s="388"/>
      <c r="AM50" s="388"/>
      <c r="AN50" s="388"/>
      <c r="AO50" s="388"/>
      <c r="AP50" s="402" t="str">
        <f t="shared" si="24"/>
        <v/>
      </c>
      <c r="AQ50" s="388"/>
      <c r="AR50" s="388"/>
      <c r="AS50" s="388"/>
      <c r="AT50" s="388"/>
      <c r="AU50" s="402" t="str">
        <f t="shared" si="25"/>
        <v/>
      </c>
      <c r="AV50" s="389"/>
      <c r="AW50" s="381"/>
      <c r="AX50" s="381"/>
      <c r="AY50" s="373"/>
      <c r="AZ50" s="390"/>
      <c r="BA50" s="390"/>
      <c r="BB50" s="391"/>
      <c r="BC50" s="392"/>
      <c r="BD50" s="393"/>
      <c r="BE50" s="393"/>
      <c r="BF50" s="393"/>
      <c r="BG50" s="394"/>
      <c r="BH50" s="395"/>
      <c r="BI50" s="374"/>
      <c r="BJ50" s="374"/>
      <c r="BK50" s="374"/>
      <c r="BL50" s="389"/>
      <c r="BM50" s="397"/>
      <c r="BN50" s="389"/>
      <c r="BO50" s="419" t="str">
        <f t="shared" si="26"/>
        <v/>
      </c>
      <c r="BP50" s="389"/>
      <c r="BQ50" s="397"/>
      <c r="BR50" s="419"/>
      <c r="BS50" s="419"/>
      <c r="BT50" s="419"/>
      <c r="BU50" s="432"/>
      <c r="BV50" s="419"/>
      <c r="BW50" s="419"/>
      <c r="BX50" s="419"/>
      <c r="BY50" s="389"/>
      <c r="BZ50" s="389"/>
      <c r="CA50" s="389"/>
      <c r="CB50" s="389"/>
      <c r="CC50" s="389"/>
      <c r="CD50" s="389"/>
      <c r="CE50" s="389"/>
      <c r="CF50" s="389"/>
      <c r="CG50" s="389"/>
      <c r="CH50" s="389"/>
      <c r="CI50" s="389"/>
      <c r="CJ50" s="422"/>
      <c r="CK50" s="422"/>
      <c r="CL50" s="422"/>
      <c r="CM50" s="422"/>
      <c r="CN50" s="422"/>
      <c r="CO50" s="422"/>
      <c r="CP50" s="422"/>
      <c r="CQ50" s="433" t="s">
        <v>471</v>
      </c>
      <c r="CR50" s="431" t="str">
        <f t="shared" si="27"/>
        <v/>
      </c>
      <c r="CS50" s="35" t="str">
        <f t="shared" si="28"/>
        <v>Direct or WHSE.</v>
      </c>
      <c r="CT50" s="411"/>
      <c r="CW50" s="153" t="str">
        <f t="shared" si="29"/>
        <v/>
      </c>
      <c r="CX50" s="153" t="str">
        <f t="shared" si="30"/>
        <v/>
      </c>
      <c r="CY50" s="153" t="str">
        <f t="shared" si="31"/>
        <v/>
      </c>
      <c r="DA50" s="423" t="s">
        <v>183</v>
      </c>
      <c r="DB50" s="23">
        <v>0.25</v>
      </c>
    </row>
    <row r="51" spans="1:106" ht="19.5" customHeight="1">
      <c r="A51" s="10">
        <v>29</v>
      </c>
      <c r="B51" s="373"/>
      <c r="C51" s="373"/>
      <c r="D51" s="396"/>
      <c r="E51" s="375"/>
      <c r="F51" s="373"/>
      <c r="G51" s="373"/>
      <c r="H51" s="376"/>
      <c r="I51" s="377"/>
      <c r="J51" s="378"/>
      <c r="K51" s="379"/>
      <c r="L51" s="374"/>
      <c r="M51" s="380" t="str">
        <f t="shared" ca="1" si="9"/>
        <v/>
      </c>
      <c r="N51" s="373"/>
      <c r="O51" s="381"/>
      <c r="P51" s="381"/>
      <c r="Q51" s="382"/>
      <c r="R51" s="381"/>
      <c r="S51" s="383"/>
      <c r="T51" s="384" t="str">
        <f t="shared" si="10"/>
        <v/>
      </c>
      <c r="U51" s="385"/>
      <c r="V51" s="384" t="str">
        <f t="shared" si="5"/>
        <v/>
      </c>
      <c r="W51" s="386"/>
      <c r="X51" s="386" t="str">
        <f t="shared" si="11"/>
        <v/>
      </c>
      <c r="Y51" s="386" t="str">
        <f t="shared" si="12"/>
        <v/>
      </c>
      <c r="Z51" s="386" t="str">
        <f t="shared" si="13"/>
        <v/>
      </c>
      <c r="AA51" s="387"/>
      <c r="AB51" s="386" t="str">
        <f t="shared" si="14"/>
        <v/>
      </c>
      <c r="AC51" s="386" t="str">
        <f t="shared" si="15"/>
        <v/>
      </c>
      <c r="AD51" s="386" t="str">
        <f t="shared" si="16"/>
        <v/>
      </c>
      <c r="AE51" s="386" t="str">
        <f t="shared" si="17"/>
        <v/>
      </c>
      <c r="AF51" s="386" t="str">
        <f t="shared" si="18"/>
        <v/>
      </c>
      <c r="AG51" s="386" t="str">
        <f t="shared" si="19"/>
        <v/>
      </c>
      <c r="AH51" s="386" t="str">
        <f t="shared" si="20"/>
        <v/>
      </c>
      <c r="AI51" s="386" t="str">
        <f t="shared" si="21"/>
        <v/>
      </c>
      <c r="AJ51" s="386" t="str">
        <f t="shared" si="22"/>
        <v/>
      </c>
      <c r="AK51" s="386" t="str">
        <f t="shared" si="23"/>
        <v/>
      </c>
      <c r="AL51" s="388"/>
      <c r="AM51" s="388"/>
      <c r="AN51" s="388"/>
      <c r="AO51" s="388"/>
      <c r="AP51" s="402" t="str">
        <f t="shared" si="24"/>
        <v/>
      </c>
      <c r="AQ51" s="388"/>
      <c r="AR51" s="388"/>
      <c r="AS51" s="388"/>
      <c r="AT51" s="388"/>
      <c r="AU51" s="402" t="str">
        <f t="shared" si="25"/>
        <v/>
      </c>
      <c r="AV51" s="389"/>
      <c r="AW51" s="381"/>
      <c r="AX51" s="381"/>
      <c r="AY51" s="373"/>
      <c r="AZ51" s="390"/>
      <c r="BA51" s="390"/>
      <c r="BB51" s="391"/>
      <c r="BC51" s="392"/>
      <c r="BD51" s="393"/>
      <c r="BE51" s="393"/>
      <c r="BF51" s="393"/>
      <c r="BG51" s="394"/>
      <c r="BH51" s="395"/>
      <c r="BI51" s="374"/>
      <c r="BJ51" s="374"/>
      <c r="BK51" s="374"/>
      <c r="BL51" s="389"/>
      <c r="BM51" s="397"/>
      <c r="BN51" s="389"/>
      <c r="BO51" s="419" t="str">
        <f t="shared" si="26"/>
        <v/>
      </c>
      <c r="BP51" s="389"/>
      <c r="BQ51" s="397"/>
      <c r="BR51" s="419"/>
      <c r="BS51" s="419"/>
      <c r="BT51" s="419"/>
      <c r="BU51" s="432"/>
      <c r="BV51" s="419"/>
      <c r="BW51" s="419"/>
      <c r="BX51" s="419"/>
      <c r="BY51" s="389"/>
      <c r="BZ51" s="389"/>
      <c r="CA51" s="389"/>
      <c r="CB51" s="389"/>
      <c r="CC51" s="389"/>
      <c r="CD51" s="389"/>
      <c r="CE51" s="389"/>
      <c r="CF51" s="389"/>
      <c r="CG51" s="389"/>
      <c r="CH51" s="389"/>
      <c r="CI51" s="389"/>
      <c r="CJ51" s="422"/>
      <c r="CK51" s="422"/>
      <c r="CL51" s="422"/>
      <c r="CM51" s="422"/>
      <c r="CN51" s="422"/>
      <c r="CO51" s="422"/>
      <c r="CP51" s="422"/>
      <c r="CQ51" s="433" t="s">
        <v>471</v>
      </c>
      <c r="CR51" s="431" t="str">
        <f t="shared" si="27"/>
        <v/>
      </c>
      <c r="CS51" s="35" t="str">
        <f t="shared" si="28"/>
        <v>Direct or WHSE.</v>
      </c>
      <c r="CT51" s="411"/>
      <c r="CW51" s="153" t="str">
        <f t="shared" si="29"/>
        <v/>
      </c>
      <c r="CX51" s="153" t="str">
        <f t="shared" si="30"/>
        <v/>
      </c>
      <c r="CY51" s="153" t="str">
        <f t="shared" si="31"/>
        <v/>
      </c>
      <c r="DA51" s="423" t="s">
        <v>280</v>
      </c>
      <c r="DB51" s="23">
        <v>0.75</v>
      </c>
    </row>
    <row r="52" spans="1:106" ht="19.5" customHeight="1">
      <c r="A52" s="10">
        <v>30</v>
      </c>
      <c r="B52" s="373"/>
      <c r="C52" s="373"/>
      <c r="D52" s="396"/>
      <c r="E52" s="375"/>
      <c r="F52" s="373"/>
      <c r="G52" s="373"/>
      <c r="H52" s="376"/>
      <c r="I52" s="377"/>
      <c r="J52" s="378"/>
      <c r="K52" s="379"/>
      <c r="L52" s="374"/>
      <c r="M52" s="380" t="str">
        <f t="shared" ca="1" si="9"/>
        <v/>
      </c>
      <c r="N52" s="373"/>
      <c r="O52" s="381"/>
      <c r="P52" s="381"/>
      <c r="Q52" s="382"/>
      <c r="R52" s="381"/>
      <c r="S52" s="383"/>
      <c r="T52" s="384" t="str">
        <f t="shared" si="10"/>
        <v/>
      </c>
      <c r="U52" s="385"/>
      <c r="V52" s="384" t="str">
        <f t="shared" si="5"/>
        <v/>
      </c>
      <c r="W52" s="386"/>
      <c r="X52" s="386" t="str">
        <f t="shared" si="11"/>
        <v/>
      </c>
      <c r="Y52" s="386" t="str">
        <f t="shared" si="12"/>
        <v/>
      </c>
      <c r="Z52" s="386" t="str">
        <f t="shared" si="13"/>
        <v/>
      </c>
      <c r="AA52" s="387"/>
      <c r="AB52" s="386" t="str">
        <f t="shared" si="14"/>
        <v/>
      </c>
      <c r="AC52" s="386" t="str">
        <f t="shared" si="15"/>
        <v/>
      </c>
      <c r="AD52" s="386" t="str">
        <f t="shared" si="16"/>
        <v/>
      </c>
      <c r="AE52" s="386" t="str">
        <f t="shared" si="17"/>
        <v/>
      </c>
      <c r="AF52" s="386" t="str">
        <f t="shared" si="18"/>
        <v/>
      </c>
      <c r="AG52" s="386" t="str">
        <f t="shared" si="19"/>
        <v/>
      </c>
      <c r="AH52" s="386" t="str">
        <f t="shared" si="20"/>
        <v/>
      </c>
      <c r="AI52" s="386" t="str">
        <f t="shared" si="21"/>
        <v/>
      </c>
      <c r="AJ52" s="386" t="str">
        <f t="shared" si="22"/>
        <v/>
      </c>
      <c r="AK52" s="386" t="str">
        <f t="shared" si="23"/>
        <v/>
      </c>
      <c r="AL52" s="388"/>
      <c r="AM52" s="388"/>
      <c r="AN52" s="388"/>
      <c r="AO52" s="388"/>
      <c r="AP52" s="402" t="str">
        <f t="shared" si="24"/>
        <v/>
      </c>
      <c r="AQ52" s="388"/>
      <c r="AR52" s="388"/>
      <c r="AS52" s="388"/>
      <c r="AT52" s="388"/>
      <c r="AU52" s="402" t="str">
        <f t="shared" si="25"/>
        <v/>
      </c>
      <c r="AV52" s="389"/>
      <c r="AW52" s="381"/>
      <c r="AX52" s="381"/>
      <c r="AY52" s="373"/>
      <c r="AZ52" s="390"/>
      <c r="BA52" s="390"/>
      <c r="BB52" s="391"/>
      <c r="BC52" s="392"/>
      <c r="BD52" s="393"/>
      <c r="BE52" s="393"/>
      <c r="BF52" s="393"/>
      <c r="BG52" s="394"/>
      <c r="BH52" s="395"/>
      <c r="BI52" s="374"/>
      <c r="BJ52" s="374"/>
      <c r="BK52" s="374"/>
      <c r="BL52" s="389"/>
      <c r="BM52" s="397"/>
      <c r="BN52" s="389"/>
      <c r="BO52" s="419" t="str">
        <f t="shared" si="26"/>
        <v/>
      </c>
      <c r="BP52" s="389"/>
      <c r="BQ52" s="397"/>
      <c r="BR52" s="419"/>
      <c r="BS52" s="419"/>
      <c r="BT52" s="419"/>
      <c r="BU52" s="432"/>
      <c r="BV52" s="419"/>
      <c r="BW52" s="419"/>
      <c r="BX52" s="419"/>
      <c r="BY52" s="389"/>
      <c r="BZ52" s="389"/>
      <c r="CA52" s="389"/>
      <c r="CB52" s="389"/>
      <c r="CC52" s="389"/>
      <c r="CD52" s="389"/>
      <c r="CE52" s="389"/>
      <c r="CF52" s="389"/>
      <c r="CG52" s="389"/>
      <c r="CH52" s="389"/>
      <c r="CI52" s="389"/>
      <c r="CJ52" s="422"/>
      <c r="CK52" s="422"/>
      <c r="CL52" s="422"/>
      <c r="CM52" s="422"/>
      <c r="CN52" s="422"/>
      <c r="CO52" s="422"/>
      <c r="CP52" s="422"/>
      <c r="CQ52" s="433" t="s">
        <v>472</v>
      </c>
      <c r="CR52" s="431" t="str">
        <f t="shared" si="27"/>
        <v/>
      </c>
      <c r="CS52" s="35" t="str">
        <f t="shared" si="28"/>
        <v>Direct or WHSE.</v>
      </c>
      <c r="CT52" s="411"/>
      <c r="CW52" s="153" t="str">
        <f t="shared" si="29"/>
        <v/>
      </c>
      <c r="CX52" s="153" t="str">
        <f t="shared" si="30"/>
        <v/>
      </c>
      <c r="CY52" s="153" t="str">
        <f t="shared" si="31"/>
        <v/>
      </c>
      <c r="DA52" s="423" t="s">
        <v>281</v>
      </c>
      <c r="DB52" s="23">
        <v>1</v>
      </c>
    </row>
    <row r="53" spans="1:106" ht="19.5" customHeight="1">
      <c r="A53" s="10">
        <v>31</v>
      </c>
      <c r="B53" s="373"/>
      <c r="C53" s="373"/>
      <c r="D53" s="396"/>
      <c r="E53" s="375"/>
      <c r="F53" s="373"/>
      <c r="G53" s="373"/>
      <c r="H53" s="376"/>
      <c r="I53" s="377"/>
      <c r="J53" s="378"/>
      <c r="K53" s="379"/>
      <c r="L53" s="374"/>
      <c r="M53" s="380" t="str">
        <f t="shared" ca="1" si="9"/>
        <v/>
      </c>
      <c r="N53" s="373"/>
      <c r="O53" s="381"/>
      <c r="P53" s="381"/>
      <c r="Q53" s="382"/>
      <c r="R53" s="381"/>
      <c r="S53" s="383"/>
      <c r="T53" s="384" t="str">
        <f t="shared" si="10"/>
        <v/>
      </c>
      <c r="U53" s="385"/>
      <c r="V53" s="384" t="str">
        <f t="shared" si="5"/>
        <v/>
      </c>
      <c r="W53" s="386"/>
      <c r="X53" s="386" t="str">
        <f t="shared" si="11"/>
        <v/>
      </c>
      <c r="Y53" s="386" t="str">
        <f t="shared" si="12"/>
        <v/>
      </c>
      <c r="Z53" s="386" t="str">
        <f t="shared" si="13"/>
        <v/>
      </c>
      <c r="AA53" s="387"/>
      <c r="AB53" s="386" t="str">
        <f t="shared" si="14"/>
        <v/>
      </c>
      <c r="AC53" s="386" t="str">
        <f t="shared" si="15"/>
        <v/>
      </c>
      <c r="AD53" s="386" t="str">
        <f t="shared" si="16"/>
        <v/>
      </c>
      <c r="AE53" s="386" t="str">
        <f t="shared" si="17"/>
        <v/>
      </c>
      <c r="AF53" s="386" t="str">
        <f t="shared" si="18"/>
        <v/>
      </c>
      <c r="AG53" s="386" t="str">
        <f t="shared" si="19"/>
        <v/>
      </c>
      <c r="AH53" s="386" t="str">
        <f t="shared" si="20"/>
        <v/>
      </c>
      <c r="AI53" s="386" t="str">
        <f t="shared" si="21"/>
        <v/>
      </c>
      <c r="AJ53" s="386" t="str">
        <f t="shared" si="22"/>
        <v/>
      </c>
      <c r="AK53" s="386" t="str">
        <f t="shared" si="23"/>
        <v/>
      </c>
      <c r="AL53" s="388"/>
      <c r="AM53" s="388"/>
      <c r="AN53" s="388"/>
      <c r="AO53" s="388"/>
      <c r="AP53" s="402" t="str">
        <f t="shared" si="24"/>
        <v/>
      </c>
      <c r="AQ53" s="388"/>
      <c r="AR53" s="388"/>
      <c r="AS53" s="388"/>
      <c r="AT53" s="388"/>
      <c r="AU53" s="402" t="str">
        <f t="shared" si="25"/>
        <v/>
      </c>
      <c r="AV53" s="389"/>
      <c r="AW53" s="381"/>
      <c r="AX53" s="381"/>
      <c r="AY53" s="373"/>
      <c r="AZ53" s="390"/>
      <c r="BA53" s="390"/>
      <c r="BB53" s="391"/>
      <c r="BC53" s="392"/>
      <c r="BD53" s="393"/>
      <c r="BE53" s="393"/>
      <c r="BF53" s="393"/>
      <c r="BG53" s="394"/>
      <c r="BH53" s="395"/>
      <c r="BI53" s="374"/>
      <c r="BJ53" s="374"/>
      <c r="BK53" s="374"/>
      <c r="BL53" s="389"/>
      <c r="BM53" s="397"/>
      <c r="BN53" s="389"/>
      <c r="BO53" s="419" t="str">
        <f t="shared" si="26"/>
        <v/>
      </c>
      <c r="BP53" s="389"/>
      <c r="BQ53" s="397"/>
      <c r="BR53" s="419"/>
      <c r="BS53" s="419"/>
      <c r="BT53" s="419"/>
      <c r="BU53" s="432"/>
      <c r="BV53" s="419"/>
      <c r="BW53" s="419"/>
      <c r="BX53" s="419"/>
      <c r="BY53" s="389"/>
      <c r="BZ53" s="389"/>
      <c r="CA53" s="389"/>
      <c r="CB53" s="389"/>
      <c r="CC53" s="389"/>
      <c r="CD53" s="389"/>
      <c r="CE53" s="389"/>
      <c r="CF53" s="389"/>
      <c r="CG53" s="389"/>
      <c r="CH53" s="389"/>
      <c r="CI53" s="389"/>
      <c r="CJ53" s="422"/>
      <c r="CK53" s="422"/>
      <c r="CL53" s="422"/>
      <c r="CM53" s="422"/>
      <c r="CN53" s="422"/>
      <c r="CO53" s="422"/>
      <c r="CP53" s="422"/>
      <c r="CQ53" s="433" t="s">
        <v>473</v>
      </c>
      <c r="CR53" s="431" t="str">
        <f t="shared" si="27"/>
        <v/>
      </c>
      <c r="CS53" s="35" t="str">
        <f t="shared" si="28"/>
        <v>Direct or WHSE.</v>
      </c>
      <c r="CT53" s="411"/>
      <c r="CW53" s="153" t="str">
        <f t="shared" si="29"/>
        <v/>
      </c>
      <c r="CX53" s="153" t="str">
        <f t="shared" si="30"/>
        <v/>
      </c>
      <c r="CY53" s="153" t="str">
        <f t="shared" si="31"/>
        <v/>
      </c>
      <c r="DA53" s="423" t="s">
        <v>181</v>
      </c>
      <c r="DB53" s="23">
        <v>0.9</v>
      </c>
    </row>
    <row r="54" spans="1:106" ht="19.5" customHeight="1">
      <c r="A54" s="10">
        <v>32</v>
      </c>
      <c r="B54" s="373"/>
      <c r="C54" s="373"/>
      <c r="D54" s="396"/>
      <c r="E54" s="375"/>
      <c r="F54" s="373"/>
      <c r="G54" s="373"/>
      <c r="H54" s="376"/>
      <c r="I54" s="377"/>
      <c r="J54" s="378"/>
      <c r="K54" s="379"/>
      <c r="L54" s="374"/>
      <c r="M54" s="380" t="str">
        <f t="shared" ca="1" si="9"/>
        <v/>
      </c>
      <c r="N54" s="373"/>
      <c r="O54" s="381"/>
      <c r="P54" s="381"/>
      <c r="Q54" s="382"/>
      <c r="R54" s="381"/>
      <c r="S54" s="383"/>
      <c r="T54" s="384" t="str">
        <f t="shared" si="10"/>
        <v/>
      </c>
      <c r="U54" s="385"/>
      <c r="V54" s="384" t="str">
        <f t="shared" si="5"/>
        <v/>
      </c>
      <c r="W54" s="386"/>
      <c r="X54" s="386" t="str">
        <f t="shared" si="11"/>
        <v/>
      </c>
      <c r="Y54" s="386" t="str">
        <f t="shared" si="12"/>
        <v/>
      </c>
      <c r="Z54" s="386" t="str">
        <f t="shared" si="13"/>
        <v/>
      </c>
      <c r="AA54" s="387"/>
      <c r="AB54" s="386" t="str">
        <f t="shared" si="14"/>
        <v/>
      </c>
      <c r="AC54" s="386" t="str">
        <f t="shared" si="15"/>
        <v/>
      </c>
      <c r="AD54" s="386" t="str">
        <f t="shared" si="16"/>
        <v/>
      </c>
      <c r="AE54" s="386" t="str">
        <f t="shared" si="17"/>
        <v/>
      </c>
      <c r="AF54" s="386" t="str">
        <f t="shared" si="18"/>
        <v/>
      </c>
      <c r="AG54" s="386" t="str">
        <f t="shared" si="19"/>
        <v/>
      </c>
      <c r="AH54" s="386" t="str">
        <f t="shared" si="20"/>
        <v/>
      </c>
      <c r="AI54" s="386" t="str">
        <f t="shared" si="21"/>
        <v/>
      </c>
      <c r="AJ54" s="386" t="str">
        <f t="shared" si="22"/>
        <v/>
      </c>
      <c r="AK54" s="386" t="str">
        <f t="shared" si="23"/>
        <v/>
      </c>
      <c r="AL54" s="388"/>
      <c r="AM54" s="388"/>
      <c r="AN54" s="388"/>
      <c r="AO54" s="388"/>
      <c r="AP54" s="402" t="str">
        <f t="shared" si="24"/>
        <v/>
      </c>
      <c r="AQ54" s="388"/>
      <c r="AR54" s="388"/>
      <c r="AS54" s="388"/>
      <c r="AT54" s="388"/>
      <c r="AU54" s="402" t="str">
        <f t="shared" si="25"/>
        <v/>
      </c>
      <c r="AV54" s="389"/>
      <c r="AW54" s="381"/>
      <c r="AX54" s="381"/>
      <c r="AY54" s="373"/>
      <c r="AZ54" s="390"/>
      <c r="BA54" s="390"/>
      <c r="BB54" s="391"/>
      <c r="BC54" s="392"/>
      <c r="BD54" s="393"/>
      <c r="BE54" s="393"/>
      <c r="BF54" s="393"/>
      <c r="BG54" s="394"/>
      <c r="BH54" s="395"/>
      <c r="BI54" s="374"/>
      <c r="BJ54" s="374"/>
      <c r="BK54" s="374"/>
      <c r="BL54" s="389"/>
      <c r="BM54" s="397"/>
      <c r="BN54" s="389"/>
      <c r="BO54" s="419" t="str">
        <f t="shared" si="26"/>
        <v/>
      </c>
      <c r="BP54" s="389"/>
      <c r="BQ54" s="397"/>
      <c r="BR54" s="419"/>
      <c r="BS54" s="419"/>
      <c r="BT54" s="419"/>
      <c r="BU54" s="432"/>
      <c r="BV54" s="419"/>
      <c r="BW54" s="419"/>
      <c r="BX54" s="419"/>
      <c r="BY54" s="389"/>
      <c r="BZ54" s="389"/>
      <c r="CA54" s="389"/>
      <c r="CB54" s="389"/>
      <c r="CC54" s="389"/>
      <c r="CD54" s="389"/>
      <c r="CE54" s="389"/>
      <c r="CF54" s="389"/>
      <c r="CG54" s="389"/>
      <c r="CH54" s="389"/>
      <c r="CI54" s="389"/>
      <c r="CJ54" s="422"/>
      <c r="CK54" s="422"/>
      <c r="CL54" s="422"/>
      <c r="CM54" s="422"/>
      <c r="CN54" s="422"/>
      <c r="CO54" s="422"/>
      <c r="CP54" s="422"/>
      <c r="CQ54" s="433" t="s">
        <v>474</v>
      </c>
      <c r="CR54" s="431" t="str">
        <f t="shared" si="27"/>
        <v/>
      </c>
      <c r="CS54" s="35" t="str">
        <f t="shared" si="28"/>
        <v>Direct or WHSE.</v>
      </c>
      <c r="CT54" s="411"/>
      <c r="CW54" s="153" t="str">
        <f t="shared" si="29"/>
        <v/>
      </c>
      <c r="CX54" s="153" t="str">
        <f t="shared" si="30"/>
        <v/>
      </c>
      <c r="CY54" s="153" t="str">
        <f t="shared" si="31"/>
        <v/>
      </c>
      <c r="DA54" s="423" t="s">
        <v>182</v>
      </c>
      <c r="DB54" s="23">
        <v>3.5</v>
      </c>
    </row>
    <row r="55" spans="1:106" ht="19.5" customHeight="1">
      <c r="A55" s="10">
        <v>33</v>
      </c>
      <c r="B55" s="373"/>
      <c r="C55" s="373"/>
      <c r="D55" s="396"/>
      <c r="E55" s="375"/>
      <c r="F55" s="373"/>
      <c r="G55" s="373"/>
      <c r="H55" s="376"/>
      <c r="I55" s="377"/>
      <c r="J55" s="378"/>
      <c r="K55" s="379"/>
      <c r="L55" s="374"/>
      <c r="M55" s="380" t="str">
        <f t="shared" ca="1" si="9"/>
        <v/>
      </c>
      <c r="N55" s="373"/>
      <c r="O55" s="381"/>
      <c r="P55" s="381"/>
      <c r="Q55" s="382"/>
      <c r="R55" s="381"/>
      <c r="S55" s="383"/>
      <c r="T55" s="384" t="str">
        <f t="shared" si="10"/>
        <v/>
      </c>
      <c r="U55" s="385"/>
      <c r="V55" s="384" t="str">
        <f t="shared" si="5"/>
        <v/>
      </c>
      <c r="W55" s="386"/>
      <c r="X55" s="386" t="str">
        <f t="shared" si="11"/>
        <v/>
      </c>
      <c r="Y55" s="386" t="str">
        <f t="shared" si="12"/>
        <v/>
      </c>
      <c r="Z55" s="386" t="str">
        <f t="shared" si="13"/>
        <v/>
      </c>
      <c r="AA55" s="387"/>
      <c r="AB55" s="386" t="str">
        <f t="shared" si="14"/>
        <v/>
      </c>
      <c r="AC55" s="386" t="str">
        <f t="shared" si="15"/>
        <v/>
      </c>
      <c r="AD55" s="386" t="str">
        <f t="shared" si="16"/>
        <v/>
      </c>
      <c r="AE55" s="386" t="str">
        <f t="shared" si="17"/>
        <v/>
      </c>
      <c r="AF55" s="386" t="str">
        <f t="shared" si="18"/>
        <v/>
      </c>
      <c r="AG55" s="386" t="str">
        <f t="shared" si="19"/>
        <v/>
      </c>
      <c r="AH55" s="386" t="str">
        <f t="shared" si="20"/>
        <v/>
      </c>
      <c r="AI55" s="386" t="str">
        <f t="shared" si="21"/>
        <v/>
      </c>
      <c r="AJ55" s="386" t="str">
        <f t="shared" si="22"/>
        <v/>
      </c>
      <c r="AK55" s="386" t="str">
        <f t="shared" si="23"/>
        <v/>
      </c>
      <c r="AL55" s="388"/>
      <c r="AM55" s="388"/>
      <c r="AN55" s="388"/>
      <c r="AO55" s="388"/>
      <c r="AP55" s="402" t="str">
        <f t="shared" si="24"/>
        <v/>
      </c>
      <c r="AQ55" s="388"/>
      <c r="AR55" s="388"/>
      <c r="AS55" s="388"/>
      <c r="AT55" s="388"/>
      <c r="AU55" s="402" t="str">
        <f t="shared" si="25"/>
        <v/>
      </c>
      <c r="AV55" s="389"/>
      <c r="AW55" s="381"/>
      <c r="AX55" s="381"/>
      <c r="AY55" s="373"/>
      <c r="AZ55" s="390"/>
      <c r="BA55" s="390"/>
      <c r="BB55" s="391"/>
      <c r="BC55" s="392"/>
      <c r="BD55" s="393"/>
      <c r="BE55" s="393"/>
      <c r="BF55" s="393"/>
      <c r="BG55" s="394"/>
      <c r="BH55" s="395"/>
      <c r="BI55" s="374"/>
      <c r="BJ55" s="374"/>
      <c r="BK55" s="374"/>
      <c r="BL55" s="389"/>
      <c r="BM55" s="397"/>
      <c r="BN55" s="389"/>
      <c r="BO55" s="419" t="str">
        <f t="shared" si="26"/>
        <v/>
      </c>
      <c r="BP55" s="389"/>
      <c r="BQ55" s="397"/>
      <c r="BR55" s="419"/>
      <c r="BS55" s="419"/>
      <c r="BT55" s="419"/>
      <c r="BU55" s="432"/>
      <c r="BV55" s="419"/>
      <c r="BW55" s="419"/>
      <c r="BX55" s="419"/>
      <c r="BY55" s="389"/>
      <c r="BZ55" s="389"/>
      <c r="CA55" s="389"/>
      <c r="CB55" s="389"/>
      <c r="CC55" s="389"/>
      <c r="CD55" s="389"/>
      <c r="CE55" s="389"/>
      <c r="CF55" s="389"/>
      <c r="CG55" s="389"/>
      <c r="CH55" s="389"/>
      <c r="CI55" s="389"/>
      <c r="CJ55" s="422"/>
      <c r="CK55" s="422"/>
      <c r="CL55" s="422"/>
      <c r="CM55" s="422"/>
      <c r="CN55" s="422"/>
      <c r="CO55" s="422"/>
      <c r="CP55" s="422"/>
      <c r="CQ55" s="433" t="s">
        <v>475</v>
      </c>
      <c r="CR55" s="431" t="str">
        <f t="shared" ref="CR55:CR86" si="32">IF(N55="","",IF(MOD(N55,O55)=0,"","CASE PACK Problems"))</f>
        <v/>
      </c>
      <c r="CS55" s="35" t="str">
        <f t="shared" ref="CS55:CS86" si="33">IF($N$3="","Direct or WHSE.",IF(N55="","Need Master Pack QTY.",IF(O55="","Need Inner Pack QTY.",IF($N$3="W",IF(MOD(N55,O55)=0,"","Inner Pack is not a Multiple of the Master pack."),IF(O55="","",IF(O55=N55,"","Master PK and Inner PK don't equal."))))))</f>
        <v>Direct or WHSE.</v>
      </c>
      <c r="CT55" s="411"/>
      <c r="CW55" s="153" t="str">
        <f t="shared" ref="CW55:CW86" si="34">IF(W55="","",MOD(W55,1))</f>
        <v/>
      </c>
      <c r="CX55" s="153" t="str">
        <f t="shared" ref="CX55:CX86" si="35">IF(X55="","",MOD(X55,1))</f>
        <v/>
      </c>
      <c r="CY55" s="153" t="str">
        <f t="shared" ref="CY55:CY86" si="36">IF(W55="","",IF(W55=X55,"Match",""))</f>
        <v/>
      </c>
      <c r="DA55" s="423" t="s">
        <v>184</v>
      </c>
      <c r="DB55" s="23">
        <v>5.5</v>
      </c>
    </row>
    <row r="56" spans="1:106" ht="19.5" customHeight="1">
      <c r="A56" s="10">
        <v>34</v>
      </c>
      <c r="B56" s="373"/>
      <c r="C56" s="373"/>
      <c r="D56" s="396"/>
      <c r="E56" s="375"/>
      <c r="F56" s="373"/>
      <c r="G56" s="373"/>
      <c r="H56" s="376"/>
      <c r="I56" s="377"/>
      <c r="J56" s="378"/>
      <c r="K56" s="379"/>
      <c r="L56" s="374"/>
      <c r="M56" s="380" t="str">
        <f t="shared" ca="1" si="9"/>
        <v/>
      </c>
      <c r="N56" s="373"/>
      <c r="O56" s="381"/>
      <c r="P56" s="381"/>
      <c r="Q56" s="382"/>
      <c r="R56" s="381"/>
      <c r="S56" s="383"/>
      <c r="T56" s="384" t="str">
        <f t="shared" si="10"/>
        <v/>
      </c>
      <c r="U56" s="385"/>
      <c r="V56" s="384" t="str">
        <f t="shared" si="5"/>
        <v/>
      </c>
      <c r="W56" s="386"/>
      <c r="X56" s="386" t="str">
        <f t="shared" si="11"/>
        <v/>
      </c>
      <c r="Y56" s="386" t="str">
        <f t="shared" si="12"/>
        <v/>
      </c>
      <c r="Z56" s="386" t="str">
        <f t="shared" si="13"/>
        <v/>
      </c>
      <c r="AA56" s="387"/>
      <c r="AB56" s="386" t="str">
        <f t="shared" si="14"/>
        <v/>
      </c>
      <c r="AC56" s="386" t="str">
        <f t="shared" si="15"/>
        <v/>
      </c>
      <c r="AD56" s="386" t="str">
        <f t="shared" si="16"/>
        <v/>
      </c>
      <c r="AE56" s="386" t="str">
        <f t="shared" si="17"/>
        <v/>
      </c>
      <c r="AF56" s="386" t="str">
        <f t="shared" si="18"/>
        <v/>
      </c>
      <c r="AG56" s="386" t="str">
        <f t="shared" si="19"/>
        <v/>
      </c>
      <c r="AH56" s="386" t="str">
        <f t="shared" si="20"/>
        <v/>
      </c>
      <c r="AI56" s="386" t="str">
        <f t="shared" si="21"/>
        <v/>
      </c>
      <c r="AJ56" s="386" t="str">
        <f t="shared" si="22"/>
        <v/>
      </c>
      <c r="AK56" s="386" t="str">
        <f t="shared" si="23"/>
        <v/>
      </c>
      <c r="AL56" s="388"/>
      <c r="AM56" s="388"/>
      <c r="AN56" s="388"/>
      <c r="AO56" s="388"/>
      <c r="AP56" s="402" t="str">
        <f t="shared" si="24"/>
        <v/>
      </c>
      <c r="AQ56" s="388"/>
      <c r="AR56" s="388"/>
      <c r="AS56" s="388"/>
      <c r="AT56" s="388"/>
      <c r="AU56" s="402" t="str">
        <f t="shared" si="25"/>
        <v/>
      </c>
      <c r="AV56" s="389"/>
      <c r="AW56" s="381"/>
      <c r="AX56" s="381"/>
      <c r="AY56" s="373"/>
      <c r="AZ56" s="390"/>
      <c r="BA56" s="390"/>
      <c r="BB56" s="391"/>
      <c r="BC56" s="392"/>
      <c r="BD56" s="393"/>
      <c r="BE56" s="393"/>
      <c r="BF56" s="393"/>
      <c r="BG56" s="394"/>
      <c r="BH56" s="395"/>
      <c r="BI56" s="374"/>
      <c r="BJ56" s="374"/>
      <c r="BK56" s="374"/>
      <c r="BL56" s="389"/>
      <c r="BM56" s="397"/>
      <c r="BN56" s="389"/>
      <c r="BO56" s="419" t="str">
        <f t="shared" si="26"/>
        <v/>
      </c>
      <c r="BP56" s="389"/>
      <c r="BQ56" s="397"/>
      <c r="BR56" s="419"/>
      <c r="BS56" s="419"/>
      <c r="BT56" s="419"/>
      <c r="BU56" s="432"/>
      <c r="BV56" s="419"/>
      <c r="BW56" s="419"/>
      <c r="BX56" s="419"/>
      <c r="BY56" s="389"/>
      <c r="BZ56" s="389"/>
      <c r="CA56" s="389"/>
      <c r="CB56" s="389"/>
      <c r="CC56" s="389"/>
      <c r="CD56" s="389"/>
      <c r="CE56" s="389"/>
      <c r="CF56" s="389"/>
      <c r="CG56" s="389"/>
      <c r="CH56" s="389"/>
      <c r="CI56" s="389"/>
      <c r="CJ56" s="422"/>
      <c r="CK56" s="422"/>
      <c r="CL56" s="422"/>
      <c r="CM56" s="422"/>
      <c r="CN56" s="422"/>
      <c r="CO56" s="422"/>
      <c r="CP56" s="422"/>
      <c r="CQ56" s="433" t="s">
        <v>476</v>
      </c>
      <c r="CR56" s="431" t="str">
        <f t="shared" si="32"/>
        <v/>
      </c>
      <c r="CS56" s="35" t="str">
        <f t="shared" si="33"/>
        <v>Direct or WHSE.</v>
      </c>
      <c r="CT56" s="411"/>
      <c r="CW56" s="153" t="str">
        <f t="shared" si="34"/>
        <v/>
      </c>
      <c r="CX56" s="153" t="str">
        <f t="shared" si="35"/>
        <v/>
      </c>
      <c r="CY56" s="153" t="str">
        <f t="shared" si="36"/>
        <v/>
      </c>
      <c r="DA56" s="423" t="s">
        <v>185</v>
      </c>
      <c r="DB56" s="23">
        <v>4.5</v>
      </c>
    </row>
    <row r="57" spans="1:106" ht="19.5" customHeight="1">
      <c r="A57" s="10">
        <v>35</v>
      </c>
      <c r="B57" s="373"/>
      <c r="C57" s="373"/>
      <c r="D57" s="396"/>
      <c r="E57" s="375"/>
      <c r="F57" s="373"/>
      <c r="G57" s="373"/>
      <c r="H57" s="376"/>
      <c r="I57" s="377"/>
      <c r="J57" s="378"/>
      <c r="K57" s="379"/>
      <c r="L57" s="374"/>
      <c r="M57" s="380" t="str">
        <f t="shared" ca="1" si="9"/>
        <v/>
      </c>
      <c r="N57" s="373"/>
      <c r="O57" s="381"/>
      <c r="P57" s="381"/>
      <c r="Q57" s="382"/>
      <c r="R57" s="381"/>
      <c r="S57" s="383"/>
      <c r="T57" s="384" t="str">
        <f t="shared" si="10"/>
        <v/>
      </c>
      <c r="U57" s="385"/>
      <c r="V57" s="384" t="str">
        <f t="shared" si="5"/>
        <v/>
      </c>
      <c r="W57" s="386"/>
      <c r="X57" s="386" t="str">
        <f t="shared" si="11"/>
        <v/>
      </c>
      <c r="Y57" s="386" t="str">
        <f t="shared" si="12"/>
        <v/>
      </c>
      <c r="Z57" s="386" t="str">
        <f t="shared" si="13"/>
        <v/>
      </c>
      <c r="AA57" s="387"/>
      <c r="AB57" s="386" t="str">
        <f t="shared" si="14"/>
        <v/>
      </c>
      <c r="AC57" s="386" t="str">
        <f t="shared" si="15"/>
        <v/>
      </c>
      <c r="AD57" s="386" t="str">
        <f t="shared" si="16"/>
        <v/>
      </c>
      <c r="AE57" s="386" t="str">
        <f t="shared" si="17"/>
        <v/>
      </c>
      <c r="AF57" s="386" t="str">
        <f t="shared" si="18"/>
        <v/>
      </c>
      <c r="AG57" s="386" t="str">
        <f t="shared" si="19"/>
        <v/>
      </c>
      <c r="AH57" s="386" t="str">
        <f t="shared" si="20"/>
        <v/>
      </c>
      <c r="AI57" s="386" t="str">
        <f t="shared" si="21"/>
        <v/>
      </c>
      <c r="AJ57" s="386" t="str">
        <f t="shared" si="22"/>
        <v/>
      </c>
      <c r="AK57" s="386" t="str">
        <f t="shared" si="23"/>
        <v/>
      </c>
      <c r="AL57" s="388"/>
      <c r="AM57" s="388"/>
      <c r="AN57" s="388"/>
      <c r="AO57" s="388"/>
      <c r="AP57" s="402" t="str">
        <f t="shared" si="24"/>
        <v/>
      </c>
      <c r="AQ57" s="388"/>
      <c r="AR57" s="388"/>
      <c r="AS57" s="388"/>
      <c r="AT57" s="388"/>
      <c r="AU57" s="402" t="str">
        <f t="shared" si="25"/>
        <v/>
      </c>
      <c r="AV57" s="389"/>
      <c r="AW57" s="381"/>
      <c r="AX57" s="381"/>
      <c r="AY57" s="373"/>
      <c r="AZ57" s="390"/>
      <c r="BA57" s="390"/>
      <c r="BB57" s="391"/>
      <c r="BC57" s="392"/>
      <c r="BD57" s="393"/>
      <c r="BE57" s="393"/>
      <c r="BF57" s="393"/>
      <c r="BG57" s="394"/>
      <c r="BH57" s="395"/>
      <c r="BI57" s="374"/>
      <c r="BJ57" s="374"/>
      <c r="BK57" s="374"/>
      <c r="BL57" s="389"/>
      <c r="BM57" s="397"/>
      <c r="BN57" s="389"/>
      <c r="BO57" s="419" t="str">
        <f t="shared" si="26"/>
        <v/>
      </c>
      <c r="BP57" s="389"/>
      <c r="BQ57" s="397"/>
      <c r="BR57" s="419"/>
      <c r="BS57" s="419"/>
      <c r="BT57" s="419"/>
      <c r="BU57" s="432"/>
      <c r="BV57" s="419"/>
      <c r="BW57" s="419"/>
      <c r="BX57" s="419"/>
      <c r="BY57" s="389"/>
      <c r="BZ57" s="389"/>
      <c r="CA57" s="389"/>
      <c r="CB57" s="389"/>
      <c r="CC57" s="389"/>
      <c r="CD57" s="389"/>
      <c r="CE57" s="389"/>
      <c r="CF57" s="389"/>
      <c r="CG57" s="389"/>
      <c r="CH57" s="389"/>
      <c r="CI57" s="389"/>
      <c r="CJ57" s="422"/>
      <c r="CK57" s="422"/>
      <c r="CL57" s="422"/>
      <c r="CM57" s="422"/>
      <c r="CN57" s="422"/>
      <c r="CO57" s="422"/>
      <c r="CP57" s="422"/>
      <c r="CQ57" s="433" t="s">
        <v>477</v>
      </c>
      <c r="CR57" s="431" t="str">
        <f t="shared" si="32"/>
        <v/>
      </c>
      <c r="CS57" s="35" t="str">
        <f t="shared" si="33"/>
        <v>Direct or WHSE.</v>
      </c>
      <c r="CT57" s="411"/>
      <c r="CW57" s="153" t="str">
        <f t="shared" si="34"/>
        <v/>
      </c>
      <c r="CX57" s="153" t="str">
        <f t="shared" si="35"/>
        <v/>
      </c>
      <c r="CY57" s="153" t="str">
        <f t="shared" si="36"/>
        <v/>
      </c>
      <c r="DA57" s="423" t="s">
        <v>186</v>
      </c>
      <c r="DB57" s="23">
        <v>4.5</v>
      </c>
    </row>
    <row r="58" spans="1:106" ht="19.5" customHeight="1">
      <c r="A58" s="10">
        <v>36</v>
      </c>
      <c r="B58" s="373"/>
      <c r="C58" s="373"/>
      <c r="D58" s="396"/>
      <c r="E58" s="375"/>
      <c r="F58" s="373"/>
      <c r="G58" s="373"/>
      <c r="H58" s="376"/>
      <c r="I58" s="377"/>
      <c r="J58" s="378"/>
      <c r="K58" s="379"/>
      <c r="L58" s="374"/>
      <c r="M58" s="380" t="str">
        <f t="shared" ca="1" si="9"/>
        <v/>
      </c>
      <c r="N58" s="373"/>
      <c r="O58" s="381"/>
      <c r="P58" s="381"/>
      <c r="Q58" s="382"/>
      <c r="R58" s="381"/>
      <c r="S58" s="383"/>
      <c r="T58" s="384" t="str">
        <f t="shared" si="10"/>
        <v/>
      </c>
      <c r="U58" s="385"/>
      <c r="V58" s="384" t="str">
        <f t="shared" si="5"/>
        <v/>
      </c>
      <c r="W58" s="386"/>
      <c r="X58" s="386" t="str">
        <f t="shared" si="11"/>
        <v/>
      </c>
      <c r="Y58" s="386" t="str">
        <f t="shared" si="12"/>
        <v/>
      </c>
      <c r="Z58" s="386" t="str">
        <f t="shared" si="13"/>
        <v/>
      </c>
      <c r="AA58" s="387"/>
      <c r="AB58" s="386" t="str">
        <f t="shared" si="14"/>
        <v/>
      </c>
      <c r="AC58" s="386" t="str">
        <f t="shared" si="15"/>
        <v/>
      </c>
      <c r="AD58" s="386" t="str">
        <f t="shared" si="16"/>
        <v/>
      </c>
      <c r="AE58" s="386" t="str">
        <f t="shared" si="17"/>
        <v/>
      </c>
      <c r="AF58" s="386" t="str">
        <f t="shared" si="18"/>
        <v/>
      </c>
      <c r="AG58" s="386" t="str">
        <f t="shared" si="19"/>
        <v/>
      </c>
      <c r="AH58" s="386" t="str">
        <f t="shared" si="20"/>
        <v/>
      </c>
      <c r="AI58" s="386" t="str">
        <f t="shared" si="21"/>
        <v/>
      </c>
      <c r="AJ58" s="386" t="str">
        <f t="shared" si="22"/>
        <v/>
      </c>
      <c r="AK58" s="386" t="str">
        <f t="shared" si="23"/>
        <v/>
      </c>
      <c r="AL58" s="388"/>
      <c r="AM58" s="388"/>
      <c r="AN58" s="388"/>
      <c r="AO58" s="388"/>
      <c r="AP58" s="402" t="str">
        <f t="shared" si="24"/>
        <v/>
      </c>
      <c r="AQ58" s="388"/>
      <c r="AR58" s="388"/>
      <c r="AS58" s="388"/>
      <c r="AT58" s="388"/>
      <c r="AU58" s="402" t="str">
        <f t="shared" si="25"/>
        <v/>
      </c>
      <c r="AV58" s="389"/>
      <c r="AW58" s="381"/>
      <c r="AX58" s="381"/>
      <c r="AY58" s="373"/>
      <c r="AZ58" s="390"/>
      <c r="BA58" s="390"/>
      <c r="BB58" s="391"/>
      <c r="BC58" s="392"/>
      <c r="BD58" s="393"/>
      <c r="BE58" s="393"/>
      <c r="BF58" s="393"/>
      <c r="BG58" s="394"/>
      <c r="BH58" s="395"/>
      <c r="BI58" s="374"/>
      <c r="BJ58" s="374"/>
      <c r="BK58" s="374"/>
      <c r="BL58" s="389"/>
      <c r="BM58" s="397"/>
      <c r="BN58" s="389"/>
      <c r="BO58" s="419" t="str">
        <f t="shared" si="26"/>
        <v/>
      </c>
      <c r="BP58" s="389"/>
      <c r="BQ58" s="397"/>
      <c r="BR58" s="419"/>
      <c r="BS58" s="419"/>
      <c r="BT58" s="419"/>
      <c r="BU58" s="432"/>
      <c r="BV58" s="419"/>
      <c r="BW58" s="419"/>
      <c r="BX58" s="419"/>
      <c r="BY58" s="389"/>
      <c r="BZ58" s="389"/>
      <c r="CA58" s="389"/>
      <c r="CB58" s="389"/>
      <c r="CC58" s="389"/>
      <c r="CD58" s="389"/>
      <c r="CE58" s="389"/>
      <c r="CF58" s="389"/>
      <c r="CG58" s="389"/>
      <c r="CH58" s="389"/>
      <c r="CI58" s="389"/>
      <c r="CJ58" s="422"/>
      <c r="CK58" s="422"/>
      <c r="CL58" s="422"/>
      <c r="CM58" s="422"/>
      <c r="CN58" s="422"/>
      <c r="CO58" s="422"/>
      <c r="CP58" s="422"/>
      <c r="CQ58" s="433" t="s">
        <v>478</v>
      </c>
      <c r="CR58" s="431" t="str">
        <f t="shared" si="32"/>
        <v/>
      </c>
      <c r="CS58" s="35" t="str">
        <f t="shared" si="33"/>
        <v>Direct or WHSE.</v>
      </c>
      <c r="CT58" s="411"/>
      <c r="CW58" s="153" t="str">
        <f t="shared" si="34"/>
        <v/>
      </c>
      <c r="CX58" s="153" t="str">
        <f t="shared" si="35"/>
        <v/>
      </c>
      <c r="CY58" s="153" t="str">
        <f t="shared" si="36"/>
        <v/>
      </c>
      <c r="DA58" s="423" t="s">
        <v>195</v>
      </c>
      <c r="DB58" s="23">
        <v>7.5</v>
      </c>
    </row>
    <row r="59" spans="1:106" ht="19.5" customHeight="1">
      <c r="A59" s="10">
        <v>37</v>
      </c>
      <c r="B59" s="373"/>
      <c r="C59" s="373"/>
      <c r="D59" s="396"/>
      <c r="E59" s="375"/>
      <c r="F59" s="373"/>
      <c r="G59" s="373"/>
      <c r="H59" s="376"/>
      <c r="I59" s="377"/>
      <c r="J59" s="378"/>
      <c r="K59" s="379"/>
      <c r="L59" s="374"/>
      <c r="M59" s="380" t="str">
        <f t="shared" ca="1" si="9"/>
        <v/>
      </c>
      <c r="N59" s="373"/>
      <c r="O59" s="381"/>
      <c r="P59" s="381"/>
      <c r="Q59" s="382"/>
      <c r="R59" s="381"/>
      <c r="S59" s="383"/>
      <c r="T59" s="384" t="str">
        <f t="shared" si="10"/>
        <v/>
      </c>
      <c r="U59" s="385"/>
      <c r="V59" s="384" t="str">
        <f t="shared" si="5"/>
        <v/>
      </c>
      <c r="W59" s="386"/>
      <c r="X59" s="386" t="str">
        <f t="shared" si="11"/>
        <v/>
      </c>
      <c r="Y59" s="386" t="str">
        <f t="shared" si="12"/>
        <v/>
      </c>
      <c r="Z59" s="386" t="str">
        <f t="shared" si="13"/>
        <v/>
      </c>
      <c r="AA59" s="387"/>
      <c r="AB59" s="386" t="str">
        <f t="shared" si="14"/>
        <v/>
      </c>
      <c r="AC59" s="386" t="str">
        <f t="shared" si="15"/>
        <v/>
      </c>
      <c r="AD59" s="386" t="str">
        <f t="shared" si="16"/>
        <v/>
      </c>
      <c r="AE59" s="386" t="str">
        <f t="shared" si="17"/>
        <v/>
      </c>
      <c r="AF59" s="386" t="str">
        <f t="shared" si="18"/>
        <v/>
      </c>
      <c r="AG59" s="386" t="str">
        <f t="shared" si="19"/>
        <v/>
      </c>
      <c r="AH59" s="386" t="str">
        <f t="shared" si="20"/>
        <v/>
      </c>
      <c r="AI59" s="386" t="str">
        <f t="shared" si="21"/>
        <v/>
      </c>
      <c r="AJ59" s="386" t="str">
        <f t="shared" si="22"/>
        <v/>
      </c>
      <c r="AK59" s="386" t="str">
        <f t="shared" si="23"/>
        <v/>
      </c>
      <c r="AL59" s="388"/>
      <c r="AM59" s="388"/>
      <c r="AN59" s="388"/>
      <c r="AO59" s="388"/>
      <c r="AP59" s="402" t="str">
        <f t="shared" si="24"/>
        <v/>
      </c>
      <c r="AQ59" s="388"/>
      <c r="AR59" s="388"/>
      <c r="AS59" s="388"/>
      <c r="AT59" s="388"/>
      <c r="AU59" s="402" t="str">
        <f t="shared" si="25"/>
        <v/>
      </c>
      <c r="AV59" s="389"/>
      <c r="AW59" s="381"/>
      <c r="AX59" s="381"/>
      <c r="AY59" s="373"/>
      <c r="AZ59" s="390"/>
      <c r="BA59" s="390"/>
      <c r="BB59" s="391"/>
      <c r="BC59" s="392"/>
      <c r="BD59" s="393"/>
      <c r="BE59" s="393"/>
      <c r="BF59" s="393"/>
      <c r="BG59" s="394"/>
      <c r="BH59" s="395"/>
      <c r="BI59" s="374"/>
      <c r="BJ59" s="374"/>
      <c r="BK59" s="374"/>
      <c r="BL59" s="389"/>
      <c r="BM59" s="397"/>
      <c r="BN59" s="389"/>
      <c r="BO59" s="419" t="str">
        <f t="shared" si="26"/>
        <v/>
      </c>
      <c r="BP59" s="389"/>
      <c r="BQ59" s="397"/>
      <c r="BR59" s="419"/>
      <c r="BS59" s="419"/>
      <c r="BT59" s="419"/>
      <c r="BU59" s="432"/>
      <c r="BV59" s="419"/>
      <c r="BW59" s="419"/>
      <c r="BX59" s="419"/>
      <c r="BY59" s="389"/>
      <c r="BZ59" s="389"/>
      <c r="CA59" s="389"/>
      <c r="CB59" s="389"/>
      <c r="CC59" s="389"/>
      <c r="CD59" s="389"/>
      <c r="CE59" s="389"/>
      <c r="CF59" s="389"/>
      <c r="CG59" s="389"/>
      <c r="CH59" s="389"/>
      <c r="CI59" s="389"/>
      <c r="CJ59" s="422"/>
      <c r="CK59" s="422"/>
      <c r="CL59" s="422"/>
      <c r="CM59" s="422"/>
      <c r="CN59" s="422"/>
      <c r="CO59" s="422"/>
      <c r="CP59" s="422"/>
      <c r="CQ59" s="433" t="s">
        <v>479</v>
      </c>
      <c r="CR59" s="431" t="str">
        <f t="shared" si="32"/>
        <v/>
      </c>
      <c r="CS59" s="35" t="str">
        <f t="shared" si="33"/>
        <v>Direct or WHSE.</v>
      </c>
      <c r="CT59" s="411"/>
      <c r="CW59" s="153" t="str">
        <f t="shared" si="34"/>
        <v/>
      </c>
      <c r="CX59" s="153" t="str">
        <f t="shared" si="35"/>
        <v/>
      </c>
      <c r="CY59" s="153" t="str">
        <f t="shared" si="36"/>
        <v/>
      </c>
      <c r="DA59" s="423" t="s">
        <v>192</v>
      </c>
      <c r="DB59" s="23">
        <v>4.5</v>
      </c>
    </row>
    <row r="60" spans="1:106" ht="19.5" customHeight="1">
      <c r="A60" s="10">
        <v>38</v>
      </c>
      <c r="B60" s="373"/>
      <c r="C60" s="373"/>
      <c r="D60" s="396"/>
      <c r="E60" s="375"/>
      <c r="F60" s="373"/>
      <c r="G60" s="373"/>
      <c r="H60" s="376"/>
      <c r="I60" s="377"/>
      <c r="J60" s="378"/>
      <c r="K60" s="379"/>
      <c r="L60" s="374"/>
      <c r="M60" s="380" t="str">
        <f t="shared" ca="1" si="9"/>
        <v/>
      </c>
      <c r="N60" s="373"/>
      <c r="O60" s="381"/>
      <c r="P60" s="381"/>
      <c r="Q60" s="382"/>
      <c r="R60" s="381"/>
      <c r="S60" s="383"/>
      <c r="T60" s="384" t="str">
        <f t="shared" si="10"/>
        <v/>
      </c>
      <c r="U60" s="385"/>
      <c r="V60" s="384" t="str">
        <f t="shared" si="5"/>
        <v/>
      </c>
      <c r="W60" s="386"/>
      <c r="X60" s="386" t="str">
        <f t="shared" si="11"/>
        <v/>
      </c>
      <c r="Y60" s="386" t="str">
        <f t="shared" si="12"/>
        <v/>
      </c>
      <c r="Z60" s="386" t="str">
        <f t="shared" si="13"/>
        <v/>
      </c>
      <c r="AA60" s="387"/>
      <c r="AB60" s="386" t="str">
        <f t="shared" si="14"/>
        <v/>
      </c>
      <c r="AC60" s="386" t="str">
        <f t="shared" si="15"/>
        <v/>
      </c>
      <c r="AD60" s="386" t="str">
        <f t="shared" si="16"/>
        <v/>
      </c>
      <c r="AE60" s="386" t="str">
        <f t="shared" si="17"/>
        <v/>
      </c>
      <c r="AF60" s="386" t="str">
        <f t="shared" si="18"/>
        <v/>
      </c>
      <c r="AG60" s="386" t="str">
        <f t="shared" si="19"/>
        <v/>
      </c>
      <c r="AH60" s="386" t="str">
        <f t="shared" si="20"/>
        <v/>
      </c>
      <c r="AI60" s="386" t="str">
        <f t="shared" si="21"/>
        <v/>
      </c>
      <c r="AJ60" s="386" t="str">
        <f t="shared" si="22"/>
        <v/>
      </c>
      <c r="AK60" s="386" t="str">
        <f t="shared" si="23"/>
        <v/>
      </c>
      <c r="AL60" s="388"/>
      <c r="AM60" s="388"/>
      <c r="AN60" s="388"/>
      <c r="AO60" s="388"/>
      <c r="AP60" s="402" t="str">
        <f t="shared" si="24"/>
        <v/>
      </c>
      <c r="AQ60" s="388"/>
      <c r="AR60" s="388"/>
      <c r="AS60" s="388"/>
      <c r="AT60" s="388"/>
      <c r="AU60" s="402" t="str">
        <f t="shared" si="25"/>
        <v/>
      </c>
      <c r="AV60" s="389"/>
      <c r="AW60" s="381"/>
      <c r="AX60" s="381"/>
      <c r="AY60" s="373"/>
      <c r="AZ60" s="390"/>
      <c r="BA60" s="390"/>
      <c r="BB60" s="391"/>
      <c r="BC60" s="392"/>
      <c r="BD60" s="393"/>
      <c r="BE60" s="393"/>
      <c r="BF60" s="393"/>
      <c r="BG60" s="394"/>
      <c r="BH60" s="395"/>
      <c r="BI60" s="374"/>
      <c r="BJ60" s="374"/>
      <c r="BK60" s="374"/>
      <c r="BL60" s="389"/>
      <c r="BM60" s="397"/>
      <c r="BN60" s="389"/>
      <c r="BO60" s="419" t="str">
        <f t="shared" si="26"/>
        <v/>
      </c>
      <c r="BP60" s="389"/>
      <c r="BQ60" s="397"/>
      <c r="BR60" s="419"/>
      <c r="BS60" s="419"/>
      <c r="BT60" s="419"/>
      <c r="BU60" s="432"/>
      <c r="BV60" s="419"/>
      <c r="BW60" s="419"/>
      <c r="BX60" s="419"/>
      <c r="BY60" s="389"/>
      <c r="BZ60" s="389"/>
      <c r="CA60" s="389"/>
      <c r="CB60" s="389"/>
      <c r="CC60" s="389"/>
      <c r="CD60" s="389"/>
      <c r="CE60" s="389"/>
      <c r="CF60" s="389"/>
      <c r="CG60" s="389"/>
      <c r="CH60" s="389"/>
      <c r="CI60" s="389"/>
      <c r="CJ60" s="422"/>
      <c r="CK60" s="422"/>
      <c r="CL60" s="422"/>
      <c r="CM60" s="422"/>
      <c r="CN60" s="422"/>
      <c r="CO60" s="422"/>
      <c r="CP60" s="422"/>
      <c r="CQ60" s="433" t="s">
        <v>480</v>
      </c>
      <c r="CR60" s="431" t="str">
        <f t="shared" si="32"/>
        <v/>
      </c>
      <c r="CS60" s="35" t="str">
        <f t="shared" si="33"/>
        <v>Direct or WHSE.</v>
      </c>
      <c r="CT60" s="411"/>
      <c r="CW60" s="153" t="str">
        <f t="shared" si="34"/>
        <v/>
      </c>
      <c r="CX60" s="153" t="str">
        <f t="shared" si="35"/>
        <v/>
      </c>
      <c r="CY60" s="153" t="str">
        <f t="shared" si="36"/>
        <v/>
      </c>
      <c r="DA60" s="423" t="s">
        <v>193</v>
      </c>
      <c r="DB60" s="23">
        <v>10</v>
      </c>
    </row>
    <row r="61" spans="1:106" ht="19.5" customHeight="1">
      <c r="A61" s="10">
        <v>39</v>
      </c>
      <c r="B61" s="373"/>
      <c r="C61" s="373"/>
      <c r="D61" s="396"/>
      <c r="E61" s="375"/>
      <c r="F61" s="373"/>
      <c r="G61" s="373"/>
      <c r="H61" s="376"/>
      <c r="I61" s="377"/>
      <c r="J61" s="378"/>
      <c r="K61" s="379"/>
      <c r="L61" s="374"/>
      <c r="M61" s="380" t="str">
        <f t="shared" ca="1" si="9"/>
        <v/>
      </c>
      <c r="N61" s="373"/>
      <c r="O61" s="381"/>
      <c r="P61" s="381"/>
      <c r="Q61" s="382"/>
      <c r="R61" s="381"/>
      <c r="S61" s="383"/>
      <c r="T61" s="384" t="str">
        <f t="shared" si="10"/>
        <v/>
      </c>
      <c r="U61" s="385"/>
      <c r="V61" s="384" t="str">
        <f t="shared" si="5"/>
        <v/>
      </c>
      <c r="W61" s="386"/>
      <c r="X61" s="386" t="str">
        <f t="shared" si="11"/>
        <v/>
      </c>
      <c r="Y61" s="386" t="str">
        <f t="shared" si="12"/>
        <v/>
      </c>
      <c r="Z61" s="386" t="str">
        <f t="shared" si="13"/>
        <v/>
      </c>
      <c r="AA61" s="387"/>
      <c r="AB61" s="386" t="str">
        <f t="shared" si="14"/>
        <v/>
      </c>
      <c r="AC61" s="386" t="str">
        <f t="shared" si="15"/>
        <v/>
      </c>
      <c r="AD61" s="386" t="str">
        <f t="shared" si="16"/>
        <v/>
      </c>
      <c r="AE61" s="386" t="str">
        <f t="shared" si="17"/>
        <v/>
      </c>
      <c r="AF61" s="386" t="str">
        <f t="shared" si="18"/>
        <v/>
      </c>
      <c r="AG61" s="386" t="str">
        <f t="shared" si="19"/>
        <v/>
      </c>
      <c r="AH61" s="386" t="str">
        <f t="shared" si="20"/>
        <v/>
      </c>
      <c r="AI61" s="386" t="str">
        <f t="shared" si="21"/>
        <v/>
      </c>
      <c r="AJ61" s="386" t="str">
        <f t="shared" si="22"/>
        <v/>
      </c>
      <c r="AK61" s="386" t="str">
        <f t="shared" si="23"/>
        <v/>
      </c>
      <c r="AL61" s="388"/>
      <c r="AM61" s="388"/>
      <c r="AN61" s="388"/>
      <c r="AO61" s="388"/>
      <c r="AP61" s="402" t="str">
        <f t="shared" si="24"/>
        <v/>
      </c>
      <c r="AQ61" s="388"/>
      <c r="AR61" s="388"/>
      <c r="AS61" s="388"/>
      <c r="AT61" s="388"/>
      <c r="AU61" s="402" t="str">
        <f t="shared" si="25"/>
        <v/>
      </c>
      <c r="AV61" s="389"/>
      <c r="AW61" s="381"/>
      <c r="AX61" s="381"/>
      <c r="AY61" s="373"/>
      <c r="AZ61" s="390"/>
      <c r="BA61" s="390"/>
      <c r="BB61" s="391"/>
      <c r="BC61" s="392"/>
      <c r="BD61" s="393"/>
      <c r="BE61" s="393"/>
      <c r="BF61" s="393"/>
      <c r="BG61" s="394"/>
      <c r="BH61" s="395"/>
      <c r="BI61" s="374"/>
      <c r="BJ61" s="374"/>
      <c r="BK61" s="374"/>
      <c r="BL61" s="389"/>
      <c r="BM61" s="397"/>
      <c r="BN61" s="389"/>
      <c r="BO61" s="419" t="str">
        <f t="shared" si="26"/>
        <v/>
      </c>
      <c r="BP61" s="389"/>
      <c r="BQ61" s="397"/>
      <c r="BR61" s="419"/>
      <c r="BS61" s="419"/>
      <c r="BT61" s="419"/>
      <c r="BU61" s="432"/>
      <c r="BV61" s="419"/>
      <c r="BW61" s="419"/>
      <c r="BX61" s="419"/>
      <c r="BY61" s="389"/>
      <c r="BZ61" s="389"/>
      <c r="CA61" s="389"/>
      <c r="CB61" s="389"/>
      <c r="CC61" s="389"/>
      <c r="CD61" s="389"/>
      <c r="CE61" s="389"/>
      <c r="CF61" s="389"/>
      <c r="CG61" s="389"/>
      <c r="CH61" s="389"/>
      <c r="CI61" s="389"/>
      <c r="CJ61" s="422"/>
      <c r="CK61" s="422"/>
      <c r="CL61" s="422"/>
      <c r="CM61" s="422"/>
      <c r="CN61" s="422"/>
      <c r="CO61" s="422"/>
      <c r="CP61" s="422"/>
      <c r="CQ61" s="433" t="s">
        <v>481</v>
      </c>
      <c r="CR61" s="431" t="str">
        <f t="shared" si="32"/>
        <v/>
      </c>
      <c r="CS61" s="35" t="str">
        <f t="shared" si="33"/>
        <v>Direct or WHSE.</v>
      </c>
      <c r="CT61" s="411"/>
      <c r="CW61" s="153" t="str">
        <f t="shared" si="34"/>
        <v/>
      </c>
      <c r="CX61" s="153" t="str">
        <f t="shared" si="35"/>
        <v/>
      </c>
      <c r="CY61" s="153" t="str">
        <f t="shared" si="36"/>
        <v/>
      </c>
      <c r="DA61" s="423" t="s">
        <v>194</v>
      </c>
      <c r="DB61" s="23">
        <v>4.5</v>
      </c>
    </row>
    <row r="62" spans="1:106" ht="19.5" customHeight="1">
      <c r="A62" s="10">
        <v>40</v>
      </c>
      <c r="B62" s="373"/>
      <c r="C62" s="373"/>
      <c r="D62" s="396"/>
      <c r="E62" s="375"/>
      <c r="F62" s="373"/>
      <c r="G62" s="373"/>
      <c r="H62" s="376"/>
      <c r="I62" s="377"/>
      <c r="J62" s="378"/>
      <c r="K62" s="379"/>
      <c r="L62" s="374"/>
      <c r="M62" s="380" t="str">
        <f t="shared" ca="1" si="9"/>
        <v/>
      </c>
      <c r="N62" s="373"/>
      <c r="O62" s="381"/>
      <c r="P62" s="381"/>
      <c r="Q62" s="382"/>
      <c r="R62" s="381"/>
      <c r="S62" s="383"/>
      <c r="T62" s="384" t="str">
        <f t="shared" si="10"/>
        <v/>
      </c>
      <c r="U62" s="385"/>
      <c r="V62" s="384" t="str">
        <f t="shared" si="5"/>
        <v/>
      </c>
      <c r="W62" s="386"/>
      <c r="X62" s="386" t="str">
        <f t="shared" si="11"/>
        <v/>
      </c>
      <c r="Y62" s="386" t="str">
        <f t="shared" si="12"/>
        <v/>
      </c>
      <c r="Z62" s="386" t="str">
        <f t="shared" si="13"/>
        <v/>
      </c>
      <c r="AA62" s="387"/>
      <c r="AB62" s="386" t="str">
        <f t="shared" si="14"/>
        <v/>
      </c>
      <c r="AC62" s="386" t="str">
        <f t="shared" si="15"/>
        <v/>
      </c>
      <c r="AD62" s="386" t="str">
        <f t="shared" si="16"/>
        <v/>
      </c>
      <c r="AE62" s="386" t="str">
        <f t="shared" si="17"/>
        <v/>
      </c>
      <c r="AF62" s="386" t="str">
        <f t="shared" si="18"/>
        <v/>
      </c>
      <c r="AG62" s="386" t="str">
        <f t="shared" si="19"/>
        <v/>
      </c>
      <c r="AH62" s="386" t="str">
        <f t="shared" si="20"/>
        <v/>
      </c>
      <c r="AI62" s="386" t="str">
        <f t="shared" si="21"/>
        <v/>
      </c>
      <c r="AJ62" s="386" t="str">
        <f t="shared" si="22"/>
        <v/>
      </c>
      <c r="AK62" s="386" t="str">
        <f t="shared" si="23"/>
        <v/>
      </c>
      <c r="AL62" s="388"/>
      <c r="AM62" s="388"/>
      <c r="AN62" s="388"/>
      <c r="AO62" s="388"/>
      <c r="AP62" s="402" t="str">
        <f t="shared" si="24"/>
        <v/>
      </c>
      <c r="AQ62" s="388"/>
      <c r="AR62" s="388"/>
      <c r="AS62" s="388"/>
      <c r="AT62" s="388"/>
      <c r="AU62" s="402" t="str">
        <f t="shared" si="25"/>
        <v/>
      </c>
      <c r="AV62" s="389"/>
      <c r="AW62" s="381"/>
      <c r="AX62" s="381"/>
      <c r="AY62" s="373"/>
      <c r="AZ62" s="390"/>
      <c r="BA62" s="390"/>
      <c r="BB62" s="391"/>
      <c r="BC62" s="392"/>
      <c r="BD62" s="393"/>
      <c r="BE62" s="393"/>
      <c r="BF62" s="393"/>
      <c r="BG62" s="394"/>
      <c r="BH62" s="395"/>
      <c r="BI62" s="374"/>
      <c r="BJ62" s="374"/>
      <c r="BK62" s="374"/>
      <c r="BL62" s="389"/>
      <c r="BM62" s="397"/>
      <c r="BN62" s="389"/>
      <c r="BO62" s="419" t="str">
        <f t="shared" si="26"/>
        <v/>
      </c>
      <c r="BP62" s="389"/>
      <c r="BQ62" s="397"/>
      <c r="BR62" s="419"/>
      <c r="BS62" s="419"/>
      <c r="BT62" s="419"/>
      <c r="BU62" s="432"/>
      <c r="BV62" s="419"/>
      <c r="BW62" s="419"/>
      <c r="BX62" s="419"/>
      <c r="BY62" s="389"/>
      <c r="BZ62" s="389"/>
      <c r="CA62" s="389"/>
      <c r="CB62" s="389"/>
      <c r="CC62" s="389"/>
      <c r="CD62" s="389"/>
      <c r="CE62" s="389"/>
      <c r="CF62" s="389"/>
      <c r="CG62" s="389"/>
      <c r="CH62" s="389"/>
      <c r="CI62" s="389"/>
      <c r="CJ62" s="422"/>
      <c r="CK62" s="422"/>
      <c r="CL62" s="422"/>
      <c r="CM62" s="422"/>
      <c r="CN62" s="422"/>
      <c r="CO62" s="422"/>
      <c r="CP62" s="422"/>
      <c r="CQ62" s="433" t="s">
        <v>482</v>
      </c>
      <c r="CR62" s="431" t="str">
        <f t="shared" si="32"/>
        <v/>
      </c>
      <c r="CS62" s="35" t="str">
        <f t="shared" si="33"/>
        <v>Direct or WHSE.</v>
      </c>
      <c r="CT62" s="411"/>
      <c r="CW62" s="153" t="str">
        <f t="shared" si="34"/>
        <v/>
      </c>
      <c r="CX62" s="153" t="str">
        <f t="shared" si="35"/>
        <v/>
      </c>
      <c r="CY62" s="153" t="str">
        <f t="shared" si="36"/>
        <v/>
      </c>
      <c r="DA62" s="423" t="s">
        <v>187</v>
      </c>
      <c r="DB62" s="23">
        <v>2.5</v>
      </c>
    </row>
    <row r="63" spans="1:106" ht="19.5" customHeight="1">
      <c r="A63" s="10">
        <v>41</v>
      </c>
      <c r="B63" s="373"/>
      <c r="C63" s="373"/>
      <c r="D63" s="396"/>
      <c r="E63" s="375"/>
      <c r="F63" s="373"/>
      <c r="G63" s="373"/>
      <c r="H63" s="376"/>
      <c r="I63" s="377"/>
      <c r="J63" s="378"/>
      <c r="K63" s="379"/>
      <c r="L63" s="374"/>
      <c r="M63" s="380" t="str">
        <f t="shared" ca="1" si="9"/>
        <v/>
      </c>
      <c r="N63" s="373"/>
      <c r="O63" s="381"/>
      <c r="P63" s="381"/>
      <c r="Q63" s="382"/>
      <c r="R63" s="381"/>
      <c r="S63" s="383"/>
      <c r="T63" s="384" t="str">
        <f t="shared" si="10"/>
        <v/>
      </c>
      <c r="U63" s="385"/>
      <c r="V63" s="384" t="str">
        <f t="shared" si="5"/>
        <v/>
      </c>
      <c r="W63" s="386"/>
      <c r="X63" s="386" t="str">
        <f t="shared" si="11"/>
        <v/>
      </c>
      <c r="Y63" s="386" t="str">
        <f t="shared" si="12"/>
        <v/>
      </c>
      <c r="Z63" s="386" t="str">
        <f t="shared" si="13"/>
        <v/>
      </c>
      <c r="AA63" s="387"/>
      <c r="AB63" s="386" t="str">
        <f t="shared" si="14"/>
        <v/>
      </c>
      <c r="AC63" s="386" t="str">
        <f t="shared" si="15"/>
        <v/>
      </c>
      <c r="AD63" s="386" t="str">
        <f t="shared" si="16"/>
        <v/>
      </c>
      <c r="AE63" s="386" t="str">
        <f t="shared" si="17"/>
        <v/>
      </c>
      <c r="AF63" s="386" t="str">
        <f t="shared" si="18"/>
        <v/>
      </c>
      <c r="AG63" s="386" t="str">
        <f t="shared" si="19"/>
        <v/>
      </c>
      <c r="AH63" s="386" t="str">
        <f t="shared" si="20"/>
        <v/>
      </c>
      <c r="AI63" s="386" t="str">
        <f t="shared" si="21"/>
        <v/>
      </c>
      <c r="AJ63" s="386" t="str">
        <f t="shared" si="22"/>
        <v/>
      </c>
      <c r="AK63" s="386" t="str">
        <f t="shared" si="23"/>
        <v/>
      </c>
      <c r="AL63" s="388"/>
      <c r="AM63" s="388"/>
      <c r="AN63" s="388"/>
      <c r="AO63" s="388"/>
      <c r="AP63" s="402" t="str">
        <f t="shared" si="24"/>
        <v/>
      </c>
      <c r="AQ63" s="388"/>
      <c r="AR63" s="388"/>
      <c r="AS63" s="388"/>
      <c r="AT63" s="388"/>
      <c r="AU63" s="402" t="str">
        <f t="shared" si="25"/>
        <v/>
      </c>
      <c r="AV63" s="389"/>
      <c r="AW63" s="381"/>
      <c r="AX63" s="381"/>
      <c r="AY63" s="373"/>
      <c r="AZ63" s="390"/>
      <c r="BA63" s="390"/>
      <c r="BB63" s="391"/>
      <c r="BC63" s="392"/>
      <c r="BD63" s="393"/>
      <c r="BE63" s="393"/>
      <c r="BF63" s="393"/>
      <c r="BG63" s="394"/>
      <c r="BH63" s="395"/>
      <c r="BI63" s="374"/>
      <c r="BJ63" s="374"/>
      <c r="BK63" s="374"/>
      <c r="BL63" s="389"/>
      <c r="BM63" s="397"/>
      <c r="BN63" s="389"/>
      <c r="BO63" s="419" t="str">
        <f t="shared" si="26"/>
        <v/>
      </c>
      <c r="BP63" s="389"/>
      <c r="BQ63" s="397"/>
      <c r="BR63" s="419"/>
      <c r="BS63" s="419"/>
      <c r="BT63" s="419"/>
      <c r="BU63" s="432"/>
      <c r="BV63" s="419"/>
      <c r="BW63" s="419"/>
      <c r="BX63" s="419"/>
      <c r="BY63" s="389"/>
      <c r="BZ63" s="389"/>
      <c r="CA63" s="389"/>
      <c r="CB63" s="389"/>
      <c r="CC63" s="389"/>
      <c r="CD63" s="389"/>
      <c r="CE63" s="389"/>
      <c r="CF63" s="389"/>
      <c r="CG63" s="389"/>
      <c r="CH63" s="389"/>
      <c r="CI63" s="389"/>
      <c r="CJ63" s="422"/>
      <c r="CK63" s="422"/>
      <c r="CL63" s="422"/>
      <c r="CM63" s="422"/>
      <c r="CN63" s="422"/>
      <c r="CO63" s="422"/>
      <c r="CP63" s="422"/>
      <c r="CQ63" s="433" t="s">
        <v>483</v>
      </c>
      <c r="CR63" s="431" t="str">
        <f t="shared" si="32"/>
        <v/>
      </c>
      <c r="CS63" s="35" t="str">
        <f t="shared" si="33"/>
        <v>Direct or WHSE.</v>
      </c>
      <c r="CT63" s="411"/>
      <c r="CW63" s="153" t="str">
        <f t="shared" si="34"/>
        <v/>
      </c>
      <c r="CX63" s="153" t="str">
        <f t="shared" si="35"/>
        <v/>
      </c>
      <c r="CY63" s="153" t="str">
        <f t="shared" si="36"/>
        <v/>
      </c>
      <c r="DA63" s="423" t="s">
        <v>188</v>
      </c>
      <c r="DB63" s="23">
        <v>1.25</v>
      </c>
    </row>
    <row r="64" spans="1:106" ht="19.5" customHeight="1">
      <c r="A64" s="10">
        <v>42</v>
      </c>
      <c r="B64" s="373"/>
      <c r="C64" s="373"/>
      <c r="D64" s="396"/>
      <c r="E64" s="375"/>
      <c r="F64" s="373"/>
      <c r="G64" s="373"/>
      <c r="H64" s="376"/>
      <c r="I64" s="377"/>
      <c r="J64" s="378"/>
      <c r="K64" s="379"/>
      <c r="L64" s="374"/>
      <c r="M64" s="380" t="str">
        <f t="shared" ca="1" si="9"/>
        <v/>
      </c>
      <c r="N64" s="373"/>
      <c r="O64" s="381"/>
      <c r="P64" s="381"/>
      <c r="Q64" s="382"/>
      <c r="R64" s="381"/>
      <c r="S64" s="383"/>
      <c r="T64" s="384" t="str">
        <f t="shared" si="10"/>
        <v/>
      </c>
      <c r="U64" s="385"/>
      <c r="V64" s="384" t="str">
        <f t="shared" si="5"/>
        <v/>
      </c>
      <c r="W64" s="386"/>
      <c r="X64" s="386" t="str">
        <f t="shared" si="11"/>
        <v/>
      </c>
      <c r="Y64" s="386" t="str">
        <f t="shared" si="12"/>
        <v/>
      </c>
      <c r="Z64" s="386" t="str">
        <f t="shared" si="13"/>
        <v/>
      </c>
      <c r="AA64" s="387"/>
      <c r="AB64" s="386" t="str">
        <f t="shared" si="14"/>
        <v/>
      </c>
      <c r="AC64" s="386" t="str">
        <f t="shared" si="15"/>
        <v/>
      </c>
      <c r="AD64" s="386" t="str">
        <f t="shared" si="16"/>
        <v/>
      </c>
      <c r="AE64" s="386" t="str">
        <f t="shared" si="17"/>
        <v/>
      </c>
      <c r="AF64" s="386" t="str">
        <f t="shared" si="18"/>
        <v/>
      </c>
      <c r="AG64" s="386" t="str">
        <f t="shared" si="19"/>
        <v/>
      </c>
      <c r="AH64" s="386" t="str">
        <f t="shared" si="20"/>
        <v/>
      </c>
      <c r="AI64" s="386" t="str">
        <f t="shared" si="21"/>
        <v/>
      </c>
      <c r="AJ64" s="386" t="str">
        <f t="shared" si="22"/>
        <v/>
      </c>
      <c r="AK64" s="386" t="str">
        <f t="shared" si="23"/>
        <v/>
      </c>
      <c r="AL64" s="388"/>
      <c r="AM64" s="388"/>
      <c r="AN64" s="388"/>
      <c r="AO64" s="388"/>
      <c r="AP64" s="402" t="str">
        <f t="shared" si="24"/>
        <v/>
      </c>
      <c r="AQ64" s="388"/>
      <c r="AR64" s="388"/>
      <c r="AS64" s="388"/>
      <c r="AT64" s="388"/>
      <c r="AU64" s="402" t="str">
        <f t="shared" si="25"/>
        <v/>
      </c>
      <c r="AV64" s="389"/>
      <c r="AW64" s="381"/>
      <c r="AX64" s="381"/>
      <c r="AY64" s="373"/>
      <c r="AZ64" s="390"/>
      <c r="BA64" s="390"/>
      <c r="BB64" s="391"/>
      <c r="BC64" s="392"/>
      <c r="BD64" s="393"/>
      <c r="BE64" s="393"/>
      <c r="BF64" s="393"/>
      <c r="BG64" s="394"/>
      <c r="BH64" s="395"/>
      <c r="BI64" s="374"/>
      <c r="BJ64" s="374"/>
      <c r="BK64" s="374"/>
      <c r="BL64" s="389"/>
      <c r="BM64" s="397"/>
      <c r="BN64" s="389"/>
      <c r="BO64" s="419" t="str">
        <f t="shared" si="26"/>
        <v/>
      </c>
      <c r="BP64" s="389"/>
      <c r="BQ64" s="397"/>
      <c r="BR64" s="419"/>
      <c r="BS64" s="419"/>
      <c r="BT64" s="419"/>
      <c r="BU64" s="432"/>
      <c r="BV64" s="419"/>
      <c r="BW64" s="419"/>
      <c r="BX64" s="419"/>
      <c r="BY64" s="389"/>
      <c r="BZ64" s="389"/>
      <c r="CA64" s="389"/>
      <c r="CB64" s="389"/>
      <c r="CC64" s="389"/>
      <c r="CD64" s="389"/>
      <c r="CE64" s="389"/>
      <c r="CF64" s="389"/>
      <c r="CG64" s="389"/>
      <c r="CH64" s="389"/>
      <c r="CI64" s="389"/>
      <c r="CJ64" s="422"/>
      <c r="CK64" s="422"/>
      <c r="CL64" s="422"/>
      <c r="CM64" s="422"/>
      <c r="CN64" s="422"/>
      <c r="CO64" s="422"/>
      <c r="CP64" s="422"/>
      <c r="CQ64" s="433" t="s">
        <v>484</v>
      </c>
      <c r="CR64" s="431" t="str">
        <f t="shared" si="32"/>
        <v/>
      </c>
      <c r="CS64" s="35" t="str">
        <f t="shared" si="33"/>
        <v>Direct or WHSE.</v>
      </c>
      <c r="CT64" s="411"/>
      <c r="CW64" s="153" t="str">
        <f t="shared" si="34"/>
        <v/>
      </c>
      <c r="CX64" s="153" t="str">
        <f t="shared" si="35"/>
        <v/>
      </c>
      <c r="CY64" s="153" t="str">
        <f t="shared" si="36"/>
        <v/>
      </c>
      <c r="DA64" s="423" t="s">
        <v>189</v>
      </c>
      <c r="DB64" s="23">
        <v>2</v>
      </c>
    </row>
    <row r="65" spans="1:106" ht="19.5" customHeight="1">
      <c r="A65" s="10">
        <v>43</v>
      </c>
      <c r="B65" s="373"/>
      <c r="C65" s="373"/>
      <c r="D65" s="396"/>
      <c r="E65" s="375"/>
      <c r="F65" s="373"/>
      <c r="G65" s="373"/>
      <c r="H65" s="376"/>
      <c r="I65" s="377"/>
      <c r="J65" s="378"/>
      <c r="K65" s="379"/>
      <c r="L65" s="374"/>
      <c r="M65" s="380" t="str">
        <f t="shared" ca="1" si="9"/>
        <v/>
      </c>
      <c r="N65" s="373"/>
      <c r="O65" s="381"/>
      <c r="P65" s="381"/>
      <c r="Q65" s="382"/>
      <c r="R65" s="381"/>
      <c r="S65" s="383"/>
      <c r="T65" s="384" t="str">
        <f t="shared" si="10"/>
        <v/>
      </c>
      <c r="U65" s="385"/>
      <c r="V65" s="384" t="str">
        <f t="shared" si="5"/>
        <v/>
      </c>
      <c r="W65" s="386"/>
      <c r="X65" s="386" t="str">
        <f t="shared" si="11"/>
        <v/>
      </c>
      <c r="Y65" s="386" t="str">
        <f t="shared" si="12"/>
        <v/>
      </c>
      <c r="Z65" s="386" t="str">
        <f t="shared" si="13"/>
        <v/>
      </c>
      <c r="AA65" s="387"/>
      <c r="AB65" s="386" t="str">
        <f t="shared" si="14"/>
        <v/>
      </c>
      <c r="AC65" s="386" t="str">
        <f t="shared" si="15"/>
        <v/>
      </c>
      <c r="AD65" s="386" t="str">
        <f t="shared" si="16"/>
        <v/>
      </c>
      <c r="AE65" s="386" t="str">
        <f t="shared" si="17"/>
        <v/>
      </c>
      <c r="AF65" s="386" t="str">
        <f t="shared" si="18"/>
        <v/>
      </c>
      <c r="AG65" s="386" t="str">
        <f t="shared" si="19"/>
        <v/>
      </c>
      <c r="AH65" s="386" t="str">
        <f t="shared" si="20"/>
        <v/>
      </c>
      <c r="AI65" s="386" t="str">
        <f t="shared" si="21"/>
        <v/>
      </c>
      <c r="AJ65" s="386" t="str">
        <f t="shared" si="22"/>
        <v/>
      </c>
      <c r="AK65" s="386" t="str">
        <f t="shared" si="23"/>
        <v/>
      </c>
      <c r="AL65" s="388"/>
      <c r="AM65" s="388"/>
      <c r="AN65" s="388"/>
      <c r="AO65" s="388"/>
      <c r="AP65" s="402" t="str">
        <f t="shared" si="24"/>
        <v/>
      </c>
      <c r="AQ65" s="388"/>
      <c r="AR65" s="388"/>
      <c r="AS65" s="388"/>
      <c r="AT65" s="388"/>
      <c r="AU65" s="402" t="str">
        <f t="shared" si="25"/>
        <v/>
      </c>
      <c r="AV65" s="389"/>
      <c r="AW65" s="381"/>
      <c r="AX65" s="381"/>
      <c r="AY65" s="373"/>
      <c r="AZ65" s="390"/>
      <c r="BA65" s="390"/>
      <c r="BB65" s="391"/>
      <c r="BC65" s="392"/>
      <c r="BD65" s="393"/>
      <c r="BE65" s="393"/>
      <c r="BF65" s="393"/>
      <c r="BG65" s="394"/>
      <c r="BH65" s="395"/>
      <c r="BI65" s="374"/>
      <c r="BJ65" s="374"/>
      <c r="BK65" s="374"/>
      <c r="BL65" s="389"/>
      <c r="BM65" s="397"/>
      <c r="BN65" s="389"/>
      <c r="BO65" s="419" t="str">
        <f t="shared" si="26"/>
        <v/>
      </c>
      <c r="BP65" s="389"/>
      <c r="BQ65" s="397"/>
      <c r="BR65" s="419"/>
      <c r="BS65" s="419"/>
      <c r="BT65" s="419"/>
      <c r="BU65" s="432"/>
      <c r="BV65" s="419"/>
      <c r="BW65" s="419"/>
      <c r="BX65" s="419"/>
      <c r="BY65" s="389"/>
      <c r="BZ65" s="389"/>
      <c r="CA65" s="389"/>
      <c r="CB65" s="389"/>
      <c r="CC65" s="389"/>
      <c r="CD65" s="389"/>
      <c r="CE65" s="389"/>
      <c r="CF65" s="389"/>
      <c r="CG65" s="389"/>
      <c r="CH65" s="389"/>
      <c r="CI65" s="389"/>
      <c r="CJ65" s="422"/>
      <c r="CK65" s="422"/>
      <c r="CL65" s="422"/>
      <c r="CM65" s="422"/>
      <c r="CN65" s="422"/>
      <c r="CO65" s="422"/>
      <c r="CP65" s="422"/>
      <c r="CQ65" s="433" t="s">
        <v>485</v>
      </c>
      <c r="CR65" s="431" t="str">
        <f t="shared" si="32"/>
        <v/>
      </c>
      <c r="CS65" s="35" t="str">
        <f t="shared" si="33"/>
        <v>Direct or WHSE.</v>
      </c>
      <c r="CT65" s="411"/>
      <c r="CW65" s="153" t="str">
        <f t="shared" si="34"/>
        <v/>
      </c>
      <c r="CX65" s="153" t="str">
        <f t="shared" si="35"/>
        <v/>
      </c>
      <c r="CY65" s="153" t="str">
        <f t="shared" si="36"/>
        <v/>
      </c>
      <c r="DA65" s="423" t="s">
        <v>190</v>
      </c>
      <c r="DB65" s="23">
        <v>6</v>
      </c>
    </row>
    <row r="66" spans="1:106" ht="19.5" customHeight="1">
      <c r="A66" s="10">
        <v>44</v>
      </c>
      <c r="B66" s="373"/>
      <c r="C66" s="373"/>
      <c r="D66" s="396"/>
      <c r="E66" s="375"/>
      <c r="F66" s="373"/>
      <c r="G66" s="373"/>
      <c r="H66" s="376"/>
      <c r="I66" s="377"/>
      <c r="J66" s="378"/>
      <c r="K66" s="379"/>
      <c r="L66" s="374"/>
      <c r="M66" s="380" t="str">
        <f t="shared" ca="1" si="9"/>
        <v/>
      </c>
      <c r="N66" s="373"/>
      <c r="O66" s="381"/>
      <c r="P66" s="381"/>
      <c r="Q66" s="382"/>
      <c r="R66" s="381"/>
      <c r="S66" s="383"/>
      <c r="T66" s="384" t="str">
        <f t="shared" si="10"/>
        <v/>
      </c>
      <c r="U66" s="385"/>
      <c r="V66" s="384" t="str">
        <f t="shared" si="5"/>
        <v/>
      </c>
      <c r="W66" s="386"/>
      <c r="X66" s="386" t="str">
        <f t="shared" si="11"/>
        <v/>
      </c>
      <c r="Y66" s="386" t="str">
        <f t="shared" si="12"/>
        <v/>
      </c>
      <c r="Z66" s="386" t="str">
        <f t="shared" si="13"/>
        <v/>
      </c>
      <c r="AA66" s="387"/>
      <c r="AB66" s="386" t="str">
        <f t="shared" si="14"/>
        <v/>
      </c>
      <c r="AC66" s="386" t="str">
        <f t="shared" si="15"/>
        <v/>
      </c>
      <c r="AD66" s="386" t="str">
        <f t="shared" si="16"/>
        <v/>
      </c>
      <c r="AE66" s="386" t="str">
        <f t="shared" si="17"/>
        <v/>
      </c>
      <c r="AF66" s="386" t="str">
        <f t="shared" si="18"/>
        <v/>
      </c>
      <c r="AG66" s="386" t="str">
        <f t="shared" si="19"/>
        <v/>
      </c>
      <c r="AH66" s="386" t="str">
        <f t="shared" si="20"/>
        <v/>
      </c>
      <c r="AI66" s="386" t="str">
        <f t="shared" si="21"/>
        <v/>
      </c>
      <c r="AJ66" s="386" t="str">
        <f t="shared" si="22"/>
        <v/>
      </c>
      <c r="AK66" s="386" t="str">
        <f t="shared" si="23"/>
        <v/>
      </c>
      <c r="AL66" s="388"/>
      <c r="AM66" s="388"/>
      <c r="AN66" s="388"/>
      <c r="AO66" s="388"/>
      <c r="AP66" s="402" t="str">
        <f t="shared" si="24"/>
        <v/>
      </c>
      <c r="AQ66" s="388"/>
      <c r="AR66" s="388"/>
      <c r="AS66" s="388"/>
      <c r="AT66" s="388"/>
      <c r="AU66" s="402" t="str">
        <f t="shared" si="25"/>
        <v/>
      </c>
      <c r="AV66" s="389"/>
      <c r="AW66" s="381"/>
      <c r="AX66" s="381"/>
      <c r="AY66" s="373"/>
      <c r="AZ66" s="390"/>
      <c r="BA66" s="390"/>
      <c r="BB66" s="391"/>
      <c r="BC66" s="392"/>
      <c r="BD66" s="393"/>
      <c r="BE66" s="393"/>
      <c r="BF66" s="393"/>
      <c r="BG66" s="394"/>
      <c r="BH66" s="395"/>
      <c r="BI66" s="374"/>
      <c r="BJ66" s="374"/>
      <c r="BK66" s="374"/>
      <c r="BL66" s="389"/>
      <c r="BM66" s="397"/>
      <c r="BN66" s="389"/>
      <c r="BO66" s="419" t="str">
        <f t="shared" si="26"/>
        <v/>
      </c>
      <c r="BP66" s="389"/>
      <c r="BQ66" s="397"/>
      <c r="BR66" s="419"/>
      <c r="BS66" s="419"/>
      <c r="BT66" s="419"/>
      <c r="BU66" s="432"/>
      <c r="BV66" s="419"/>
      <c r="BW66" s="419"/>
      <c r="BX66" s="419"/>
      <c r="BY66" s="389"/>
      <c r="BZ66" s="389"/>
      <c r="CA66" s="389"/>
      <c r="CB66" s="389"/>
      <c r="CC66" s="389"/>
      <c r="CD66" s="389"/>
      <c r="CE66" s="389"/>
      <c r="CF66" s="389"/>
      <c r="CG66" s="389"/>
      <c r="CH66" s="389"/>
      <c r="CI66" s="389"/>
      <c r="CJ66" s="422"/>
      <c r="CK66" s="422"/>
      <c r="CL66" s="422"/>
      <c r="CM66" s="422"/>
      <c r="CN66" s="422"/>
      <c r="CO66" s="422"/>
      <c r="CP66" s="422"/>
      <c r="CQ66" s="433" t="s">
        <v>486</v>
      </c>
      <c r="CR66" s="431" t="str">
        <f t="shared" si="32"/>
        <v/>
      </c>
      <c r="CS66" s="35" t="str">
        <f t="shared" si="33"/>
        <v>Direct or WHSE.</v>
      </c>
      <c r="CT66" s="411"/>
      <c r="CW66" s="153" t="str">
        <f t="shared" si="34"/>
        <v/>
      </c>
      <c r="CX66" s="153" t="str">
        <f t="shared" si="35"/>
        <v/>
      </c>
      <c r="CY66" s="153" t="str">
        <f t="shared" si="36"/>
        <v/>
      </c>
      <c r="DA66" s="423" t="s">
        <v>196</v>
      </c>
      <c r="DB66" s="23">
        <v>2.5</v>
      </c>
    </row>
    <row r="67" spans="1:106" ht="19.5" customHeight="1">
      <c r="A67" s="10">
        <v>45</v>
      </c>
      <c r="B67" s="373"/>
      <c r="C67" s="373"/>
      <c r="D67" s="396"/>
      <c r="E67" s="375"/>
      <c r="F67" s="373"/>
      <c r="G67" s="373"/>
      <c r="H67" s="376"/>
      <c r="I67" s="377"/>
      <c r="J67" s="378"/>
      <c r="K67" s="379"/>
      <c r="L67" s="374"/>
      <c r="M67" s="380" t="str">
        <f t="shared" ca="1" si="9"/>
        <v/>
      </c>
      <c r="N67" s="373"/>
      <c r="O67" s="381"/>
      <c r="P67" s="381"/>
      <c r="Q67" s="382"/>
      <c r="R67" s="381"/>
      <c r="S67" s="383"/>
      <c r="T67" s="384" t="str">
        <f t="shared" si="10"/>
        <v/>
      </c>
      <c r="U67" s="385"/>
      <c r="V67" s="384" t="str">
        <f t="shared" si="5"/>
        <v/>
      </c>
      <c r="W67" s="386"/>
      <c r="X67" s="386" t="str">
        <f t="shared" si="11"/>
        <v/>
      </c>
      <c r="Y67" s="386" t="str">
        <f t="shared" si="12"/>
        <v/>
      </c>
      <c r="Z67" s="386" t="str">
        <f t="shared" si="13"/>
        <v/>
      </c>
      <c r="AA67" s="387"/>
      <c r="AB67" s="386" t="str">
        <f t="shared" si="14"/>
        <v/>
      </c>
      <c r="AC67" s="386" t="str">
        <f t="shared" si="15"/>
        <v/>
      </c>
      <c r="AD67" s="386" t="str">
        <f t="shared" si="16"/>
        <v/>
      </c>
      <c r="AE67" s="386" t="str">
        <f t="shared" si="17"/>
        <v/>
      </c>
      <c r="AF67" s="386" t="str">
        <f t="shared" si="18"/>
        <v/>
      </c>
      <c r="AG67" s="386" t="str">
        <f t="shared" si="19"/>
        <v/>
      </c>
      <c r="AH67" s="386" t="str">
        <f t="shared" si="20"/>
        <v/>
      </c>
      <c r="AI67" s="386" t="str">
        <f t="shared" si="21"/>
        <v/>
      </c>
      <c r="AJ67" s="386" t="str">
        <f t="shared" si="22"/>
        <v/>
      </c>
      <c r="AK67" s="386" t="str">
        <f t="shared" si="23"/>
        <v/>
      </c>
      <c r="AL67" s="388"/>
      <c r="AM67" s="388"/>
      <c r="AN67" s="388"/>
      <c r="AO67" s="388"/>
      <c r="AP67" s="402" t="str">
        <f t="shared" si="24"/>
        <v/>
      </c>
      <c r="AQ67" s="388"/>
      <c r="AR67" s="388"/>
      <c r="AS67" s="388"/>
      <c r="AT67" s="388"/>
      <c r="AU67" s="402" t="str">
        <f t="shared" si="25"/>
        <v/>
      </c>
      <c r="AV67" s="389"/>
      <c r="AW67" s="381"/>
      <c r="AX67" s="381"/>
      <c r="AY67" s="373"/>
      <c r="AZ67" s="390"/>
      <c r="BA67" s="390"/>
      <c r="BB67" s="391"/>
      <c r="BC67" s="392"/>
      <c r="BD67" s="393"/>
      <c r="BE67" s="393"/>
      <c r="BF67" s="393"/>
      <c r="BG67" s="394"/>
      <c r="BH67" s="395"/>
      <c r="BI67" s="374"/>
      <c r="BJ67" s="374"/>
      <c r="BK67" s="374"/>
      <c r="BL67" s="389"/>
      <c r="BM67" s="397"/>
      <c r="BN67" s="389"/>
      <c r="BO67" s="419" t="str">
        <f t="shared" si="26"/>
        <v/>
      </c>
      <c r="BP67" s="389"/>
      <c r="BQ67" s="397"/>
      <c r="BR67" s="419"/>
      <c r="BS67" s="419"/>
      <c r="BT67" s="419"/>
      <c r="BU67" s="432"/>
      <c r="BV67" s="419"/>
      <c r="BW67" s="419"/>
      <c r="BX67" s="419"/>
      <c r="BY67" s="389"/>
      <c r="BZ67" s="389"/>
      <c r="CA67" s="389"/>
      <c r="CB67" s="389"/>
      <c r="CC67" s="389"/>
      <c r="CD67" s="389"/>
      <c r="CE67" s="389"/>
      <c r="CF67" s="389"/>
      <c r="CG67" s="389"/>
      <c r="CH67" s="389"/>
      <c r="CI67" s="389"/>
      <c r="CJ67" s="422"/>
      <c r="CK67" s="422"/>
      <c r="CL67" s="422"/>
      <c r="CM67" s="422"/>
      <c r="CN67" s="422"/>
      <c r="CO67" s="422"/>
      <c r="CP67" s="422"/>
      <c r="CQ67" s="433" t="s">
        <v>487</v>
      </c>
      <c r="CR67" s="431" t="str">
        <f t="shared" si="32"/>
        <v/>
      </c>
      <c r="CS67" s="35" t="str">
        <f t="shared" si="33"/>
        <v>Direct or WHSE.</v>
      </c>
      <c r="CT67" s="411"/>
      <c r="CW67" s="153" t="str">
        <f t="shared" si="34"/>
        <v/>
      </c>
      <c r="CX67" s="153" t="str">
        <f t="shared" si="35"/>
        <v/>
      </c>
      <c r="CY67" s="153" t="str">
        <f t="shared" si="36"/>
        <v/>
      </c>
      <c r="DA67" s="423" t="s">
        <v>191</v>
      </c>
      <c r="DB67" s="23">
        <v>1.5</v>
      </c>
    </row>
    <row r="68" spans="1:106" ht="19.5" customHeight="1">
      <c r="A68" s="10">
        <v>46</v>
      </c>
      <c r="B68" s="373"/>
      <c r="C68" s="373"/>
      <c r="D68" s="396"/>
      <c r="E68" s="375"/>
      <c r="F68" s="373"/>
      <c r="G68" s="373"/>
      <c r="H68" s="376"/>
      <c r="I68" s="377"/>
      <c r="J68" s="378"/>
      <c r="K68" s="379"/>
      <c r="L68" s="374"/>
      <c r="M68" s="380" t="str">
        <f t="shared" ca="1" si="9"/>
        <v/>
      </c>
      <c r="N68" s="373"/>
      <c r="O68" s="381"/>
      <c r="P68" s="381"/>
      <c r="Q68" s="382"/>
      <c r="R68" s="381"/>
      <c r="S68" s="383"/>
      <c r="T68" s="384" t="str">
        <f t="shared" si="10"/>
        <v/>
      </c>
      <c r="U68" s="385"/>
      <c r="V68" s="384" t="str">
        <f t="shared" si="5"/>
        <v/>
      </c>
      <c r="W68" s="386"/>
      <c r="X68" s="386" t="str">
        <f t="shared" si="11"/>
        <v/>
      </c>
      <c r="Y68" s="386" t="str">
        <f t="shared" si="12"/>
        <v/>
      </c>
      <c r="Z68" s="386" t="str">
        <f t="shared" si="13"/>
        <v/>
      </c>
      <c r="AA68" s="387"/>
      <c r="AB68" s="386" t="str">
        <f t="shared" si="14"/>
        <v/>
      </c>
      <c r="AC68" s="386" t="str">
        <f t="shared" si="15"/>
        <v/>
      </c>
      <c r="AD68" s="386" t="str">
        <f t="shared" si="16"/>
        <v/>
      </c>
      <c r="AE68" s="386" t="str">
        <f t="shared" si="17"/>
        <v/>
      </c>
      <c r="AF68" s="386" t="str">
        <f t="shared" si="18"/>
        <v/>
      </c>
      <c r="AG68" s="386" t="str">
        <f t="shared" si="19"/>
        <v/>
      </c>
      <c r="AH68" s="386" t="str">
        <f t="shared" si="20"/>
        <v/>
      </c>
      <c r="AI68" s="386" t="str">
        <f t="shared" si="21"/>
        <v/>
      </c>
      <c r="AJ68" s="386" t="str">
        <f t="shared" si="22"/>
        <v/>
      </c>
      <c r="AK68" s="386" t="str">
        <f t="shared" si="23"/>
        <v/>
      </c>
      <c r="AL68" s="388"/>
      <c r="AM68" s="388"/>
      <c r="AN68" s="388"/>
      <c r="AO68" s="388"/>
      <c r="AP68" s="402" t="str">
        <f t="shared" si="24"/>
        <v/>
      </c>
      <c r="AQ68" s="388"/>
      <c r="AR68" s="388"/>
      <c r="AS68" s="388"/>
      <c r="AT68" s="388"/>
      <c r="AU68" s="402" t="str">
        <f t="shared" si="25"/>
        <v/>
      </c>
      <c r="AV68" s="389"/>
      <c r="AW68" s="381"/>
      <c r="AX68" s="381"/>
      <c r="AY68" s="373"/>
      <c r="AZ68" s="390"/>
      <c r="BA68" s="390"/>
      <c r="BB68" s="391"/>
      <c r="BC68" s="392"/>
      <c r="BD68" s="393"/>
      <c r="BE68" s="393"/>
      <c r="BF68" s="393"/>
      <c r="BG68" s="394"/>
      <c r="BH68" s="395"/>
      <c r="BI68" s="374"/>
      <c r="BJ68" s="374"/>
      <c r="BK68" s="374"/>
      <c r="BL68" s="389"/>
      <c r="BM68" s="397"/>
      <c r="BN68" s="389"/>
      <c r="BO68" s="419" t="str">
        <f t="shared" si="26"/>
        <v/>
      </c>
      <c r="BP68" s="389"/>
      <c r="BQ68" s="397"/>
      <c r="BR68" s="419"/>
      <c r="BS68" s="419"/>
      <c r="BT68" s="419"/>
      <c r="BU68" s="432"/>
      <c r="BV68" s="419"/>
      <c r="BW68" s="419"/>
      <c r="BX68" s="419"/>
      <c r="BY68" s="389"/>
      <c r="BZ68" s="389"/>
      <c r="CA68" s="389"/>
      <c r="CB68" s="389"/>
      <c r="CC68" s="389"/>
      <c r="CD68" s="389"/>
      <c r="CE68" s="389"/>
      <c r="CF68" s="389"/>
      <c r="CG68" s="389"/>
      <c r="CH68" s="389"/>
      <c r="CI68" s="389"/>
      <c r="CJ68" s="422"/>
      <c r="CK68" s="422"/>
      <c r="CL68" s="422"/>
      <c r="CM68" s="422"/>
      <c r="CN68" s="422"/>
      <c r="CO68" s="422"/>
      <c r="CP68" s="422"/>
      <c r="CQ68" s="433" t="s">
        <v>488</v>
      </c>
      <c r="CR68" s="431" t="str">
        <f t="shared" si="32"/>
        <v/>
      </c>
      <c r="CS68" s="35" t="str">
        <f t="shared" si="33"/>
        <v>Direct or WHSE.</v>
      </c>
      <c r="CT68" s="411"/>
      <c r="CW68" s="153" t="str">
        <f t="shared" si="34"/>
        <v/>
      </c>
      <c r="CX68" s="153" t="str">
        <f t="shared" si="35"/>
        <v/>
      </c>
      <c r="CY68" s="153" t="str">
        <f t="shared" si="36"/>
        <v/>
      </c>
      <c r="DA68" s="423" t="s">
        <v>197</v>
      </c>
      <c r="DB68" s="23">
        <v>0.5</v>
      </c>
    </row>
    <row r="69" spans="1:106" ht="19.5" customHeight="1">
      <c r="A69" s="10">
        <v>47</v>
      </c>
      <c r="B69" s="373"/>
      <c r="C69" s="373"/>
      <c r="D69" s="396"/>
      <c r="E69" s="375"/>
      <c r="F69" s="373"/>
      <c r="G69" s="373"/>
      <c r="H69" s="376"/>
      <c r="I69" s="377"/>
      <c r="J69" s="378"/>
      <c r="K69" s="379"/>
      <c r="L69" s="374"/>
      <c r="M69" s="380" t="str">
        <f t="shared" ca="1" si="9"/>
        <v/>
      </c>
      <c r="N69" s="373"/>
      <c r="O69" s="381"/>
      <c r="P69" s="381"/>
      <c r="Q69" s="382"/>
      <c r="R69" s="381"/>
      <c r="S69" s="383"/>
      <c r="T69" s="384" t="str">
        <f t="shared" si="10"/>
        <v/>
      </c>
      <c r="U69" s="385"/>
      <c r="V69" s="384" t="str">
        <f t="shared" si="5"/>
        <v/>
      </c>
      <c r="W69" s="386"/>
      <c r="X69" s="386" t="str">
        <f t="shared" si="11"/>
        <v/>
      </c>
      <c r="Y69" s="386" t="str">
        <f t="shared" si="12"/>
        <v/>
      </c>
      <c r="Z69" s="386" t="str">
        <f t="shared" si="13"/>
        <v/>
      </c>
      <c r="AA69" s="387"/>
      <c r="AB69" s="386" t="str">
        <f t="shared" si="14"/>
        <v/>
      </c>
      <c r="AC69" s="386" t="str">
        <f t="shared" si="15"/>
        <v/>
      </c>
      <c r="AD69" s="386" t="str">
        <f t="shared" si="16"/>
        <v/>
      </c>
      <c r="AE69" s="386" t="str">
        <f t="shared" si="17"/>
        <v/>
      </c>
      <c r="AF69" s="386" t="str">
        <f t="shared" si="18"/>
        <v/>
      </c>
      <c r="AG69" s="386" t="str">
        <f t="shared" si="19"/>
        <v/>
      </c>
      <c r="AH69" s="386" t="str">
        <f t="shared" si="20"/>
        <v/>
      </c>
      <c r="AI69" s="386" t="str">
        <f t="shared" si="21"/>
        <v/>
      </c>
      <c r="AJ69" s="386" t="str">
        <f t="shared" si="22"/>
        <v/>
      </c>
      <c r="AK69" s="386" t="str">
        <f t="shared" si="23"/>
        <v/>
      </c>
      <c r="AL69" s="388"/>
      <c r="AM69" s="388"/>
      <c r="AN69" s="388"/>
      <c r="AO69" s="388"/>
      <c r="AP69" s="402" t="str">
        <f t="shared" si="24"/>
        <v/>
      </c>
      <c r="AQ69" s="388"/>
      <c r="AR69" s="388"/>
      <c r="AS69" s="388"/>
      <c r="AT69" s="388"/>
      <c r="AU69" s="402" t="str">
        <f t="shared" si="25"/>
        <v/>
      </c>
      <c r="AV69" s="389"/>
      <c r="AW69" s="381"/>
      <c r="AX69" s="381"/>
      <c r="AY69" s="373"/>
      <c r="AZ69" s="390"/>
      <c r="BA69" s="390"/>
      <c r="BB69" s="391"/>
      <c r="BC69" s="392"/>
      <c r="BD69" s="393"/>
      <c r="BE69" s="393"/>
      <c r="BF69" s="393"/>
      <c r="BG69" s="394"/>
      <c r="BH69" s="395"/>
      <c r="BI69" s="374"/>
      <c r="BJ69" s="374"/>
      <c r="BK69" s="374"/>
      <c r="BL69" s="389"/>
      <c r="BM69" s="397"/>
      <c r="BN69" s="389"/>
      <c r="BO69" s="419" t="str">
        <f t="shared" si="26"/>
        <v/>
      </c>
      <c r="BP69" s="389"/>
      <c r="BQ69" s="397"/>
      <c r="BR69" s="419"/>
      <c r="BS69" s="419"/>
      <c r="BT69" s="419"/>
      <c r="BU69" s="432"/>
      <c r="BV69" s="419"/>
      <c r="BW69" s="419"/>
      <c r="BX69" s="419"/>
      <c r="BY69" s="389"/>
      <c r="BZ69" s="389"/>
      <c r="CA69" s="389"/>
      <c r="CB69" s="389"/>
      <c r="CC69" s="389"/>
      <c r="CD69" s="389"/>
      <c r="CE69" s="389"/>
      <c r="CF69" s="389"/>
      <c r="CG69" s="389"/>
      <c r="CH69" s="389"/>
      <c r="CI69" s="389"/>
      <c r="CJ69" s="422"/>
      <c r="CK69" s="422"/>
      <c r="CL69" s="422"/>
      <c r="CM69" s="422"/>
      <c r="CN69" s="422"/>
      <c r="CO69" s="422"/>
      <c r="CP69" s="422"/>
      <c r="CQ69" s="433" t="s">
        <v>488</v>
      </c>
      <c r="CR69" s="431" t="str">
        <f t="shared" si="32"/>
        <v/>
      </c>
      <c r="CS69" s="35" t="str">
        <f t="shared" si="33"/>
        <v>Direct or WHSE.</v>
      </c>
      <c r="CT69" s="411"/>
      <c r="CW69" s="153" t="str">
        <f t="shared" si="34"/>
        <v/>
      </c>
      <c r="CX69" s="153" t="str">
        <f t="shared" si="35"/>
        <v/>
      </c>
      <c r="CY69" s="153" t="str">
        <f t="shared" si="36"/>
        <v/>
      </c>
      <c r="DA69" s="423" t="s">
        <v>198</v>
      </c>
      <c r="DB69" s="23">
        <v>1.5</v>
      </c>
    </row>
    <row r="70" spans="1:106" ht="19.5" customHeight="1">
      <c r="A70" s="10">
        <v>48</v>
      </c>
      <c r="B70" s="373"/>
      <c r="C70" s="373"/>
      <c r="D70" s="396"/>
      <c r="E70" s="375"/>
      <c r="F70" s="373"/>
      <c r="G70" s="373"/>
      <c r="H70" s="376"/>
      <c r="I70" s="377"/>
      <c r="J70" s="378"/>
      <c r="K70" s="379"/>
      <c r="L70" s="374"/>
      <c r="M70" s="380" t="str">
        <f t="shared" ca="1" si="9"/>
        <v/>
      </c>
      <c r="N70" s="373"/>
      <c r="O70" s="381"/>
      <c r="P70" s="381"/>
      <c r="Q70" s="382"/>
      <c r="R70" s="381"/>
      <c r="S70" s="383"/>
      <c r="T70" s="384" t="str">
        <f t="shared" si="10"/>
        <v/>
      </c>
      <c r="U70" s="385"/>
      <c r="V70" s="384" t="str">
        <f t="shared" si="5"/>
        <v/>
      </c>
      <c r="W70" s="386"/>
      <c r="X70" s="386" t="str">
        <f t="shared" si="11"/>
        <v/>
      </c>
      <c r="Y70" s="386" t="str">
        <f t="shared" si="12"/>
        <v/>
      </c>
      <c r="Z70" s="386" t="str">
        <f t="shared" si="13"/>
        <v/>
      </c>
      <c r="AA70" s="387"/>
      <c r="AB70" s="386" t="str">
        <f t="shared" si="14"/>
        <v/>
      </c>
      <c r="AC70" s="386" t="str">
        <f t="shared" si="15"/>
        <v/>
      </c>
      <c r="AD70" s="386" t="str">
        <f t="shared" si="16"/>
        <v/>
      </c>
      <c r="AE70" s="386" t="str">
        <f t="shared" si="17"/>
        <v/>
      </c>
      <c r="AF70" s="386" t="str">
        <f t="shared" si="18"/>
        <v/>
      </c>
      <c r="AG70" s="386" t="str">
        <f t="shared" si="19"/>
        <v/>
      </c>
      <c r="AH70" s="386" t="str">
        <f t="shared" si="20"/>
        <v/>
      </c>
      <c r="AI70" s="386" t="str">
        <f t="shared" si="21"/>
        <v/>
      </c>
      <c r="AJ70" s="386" t="str">
        <f t="shared" si="22"/>
        <v/>
      </c>
      <c r="AK70" s="386" t="str">
        <f t="shared" si="23"/>
        <v/>
      </c>
      <c r="AL70" s="388"/>
      <c r="AM70" s="388"/>
      <c r="AN70" s="388"/>
      <c r="AO70" s="388"/>
      <c r="AP70" s="402" t="str">
        <f t="shared" si="24"/>
        <v/>
      </c>
      <c r="AQ70" s="388"/>
      <c r="AR70" s="388"/>
      <c r="AS70" s="388"/>
      <c r="AT70" s="388"/>
      <c r="AU70" s="402" t="str">
        <f t="shared" si="25"/>
        <v/>
      </c>
      <c r="AV70" s="389"/>
      <c r="AW70" s="381"/>
      <c r="AX70" s="381"/>
      <c r="AY70" s="373"/>
      <c r="AZ70" s="390"/>
      <c r="BA70" s="390"/>
      <c r="BB70" s="391"/>
      <c r="BC70" s="392"/>
      <c r="BD70" s="393"/>
      <c r="BE70" s="393"/>
      <c r="BF70" s="393"/>
      <c r="BG70" s="394"/>
      <c r="BH70" s="395"/>
      <c r="BI70" s="374"/>
      <c r="BJ70" s="374"/>
      <c r="BK70" s="374"/>
      <c r="BL70" s="389"/>
      <c r="BM70" s="397"/>
      <c r="BN70" s="389"/>
      <c r="BO70" s="419" t="str">
        <f t="shared" si="26"/>
        <v/>
      </c>
      <c r="BP70" s="389"/>
      <c r="BQ70" s="397"/>
      <c r="BR70" s="419"/>
      <c r="BS70" s="419"/>
      <c r="BT70" s="419"/>
      <c r="BU70" s="432"/>
      <c r="BV70" s="419"/>
      <c r="BW70" s="419"/>
      <c r="BX70" s="419"/>
      <c r="BY70" s="389"/>
      <c r="BZ70" s="389"/>
      <c r="CA70" s="389"/>
      <c r="CB70" s="389"/>
      <c r="CC70" s="389"/>
      <c r="CD70" s="389"/>
      <c r="CE70" s="389"/>
      <c r="CF70" s="389"/>
      <c r="CG70" s="389"/>
      <c r="CH70" s="389"/>
      <c r="CI70" s="389"/>
      <c r="CJ70" s="422"/>
      <c r="CK70" s="422"/>
      <c r="CL70" s="422"/>
      <c r="CM70" s="422"/>
      <c r="CN70" s="422"/>
      <c r="CO70" s="422"/>
      <c r="CP70" s="422"/>
      <c r="CQ70" s="433" t="s">
        <v>489</v>
      </c>
      <c r="CR70" s="431" t="str">
        <f t="shared" si="32"/>
        <v/>
      </c>
      <c r="CS70" s="35" t="str">
        <f t="shared" si="33"/>
        <v>Direct or WHSE.</v>
      </c>
      <c r="CT70" s="411"/>
      <c r="CW70" s="153" t="str">
        <f t="shared" si="34"/>
        <v/>
      </c>
      <c r="CX70" s="153" t="str">
        <f t="shared" si="35"/>
        <v/>
      </c>
      <c r="CY70" s="153" t="str">
        <f t="shared" si="36"/>
        <v/>
      </c>
      <c r="DA70" s="423" t="s">
        <v>199</v>
      </c>
      <c r="DB70" s="23">
        <v>2</v>
      </c>
    </row>
    <row r="71" spans="1:106" ht="19.5" customHeight="1">
      <c r="A71" s="10">
        <v>49</v>
      </c>
      <c r="B71" s="373"/>
      <c r="C71" s="373"/>
      <c r="D71" s="396"/>
      <c r="E71" s="375"/>
      <c r="F71" s="373"/>
      <c r="G71" s="373"/>
      <c r="H71" s="376"/>
      <c r="I71" s="377"/>
      <c r="J71" s="378"/>
      <c r="K71" s="379"/>
      <c r="L71" s="374"/>
      <c r="M71" s="380" t="str">
        <f t="shared" ca="1" si="9"/>
        <v/>
      </c>
      <c r="N71" s="373"/>
      <c r="O71" s="381"/>
      <c r="P71" s="381"/>
      <c r="Q71" s="382"/>
      <c r="R71" s="381"/>
      <c r="S71" s="383"/>
      <c r="T71" s="384" t="str">
        <f t="shared" si="10"/>
        <v/>
      </c>
      <c r="U71" s="385"/>
      <c r="V71" s="384" t="str">
        <f t="shared" si="5"/>
        <v/>
      </c>
      <c r="W71" s="386"/>
      <c r="X71" s="386" t="str">
        <f t="shared" si="11"/>
        <v/>
      </c>
      <c r="Y71" s="386" t="str">
        <f t="shared" si="12"/>
        <v/>
      </c>
      <c r="Z71" s="386" t="str">
        <f t="shared" si="13"/>
        <v/>
      </c>
      <c r="AA71" s="387"/>
      <c r="AB71" s="386" t="str">
        <f t="shared" si="14"/>
        <v/>
      </c>
      <c r="AC71" s="386" t="str">
        <f t="shared" si="15"/>
        <v/>
      </c>
      <c r="AD71" s="386" t="str">
        <f t="shared" si="16"/>
        <v/>
      </c>
      <c r="AE71" s="386" t="str">
        <f t="shared" si="17"/>
        <v/>
      </c>
      <c r="AF71" s="386" t="str">
        <f t="shared" si="18"/>
        <v/>
      </c>
      <c r="AG71" s="386" t="str">
        <f t="shared" si="19"/>
        <v/>
      </c>
      <c r="AH71" s="386" t="str">
        <f t="shared" si="20"/>
        <v/>
      </c>
      <c r="AI71" s="386" t="str">
        <f t="shared" si="21"/>
        <v/>
      </c>
      <c r="AJ71" s="386" t="str">
        <f t="shared" si="22"/>
        <v/>
      </c>
      <c r="AK71" s="386" t="str">
        <f t="shared" si="23"/>
        <v/>
      </c>
      <c r="AL71" s="388"/>
      <c r="AM71" s="388"/>
      <c r="AN71" s="388"/>
      <c r="AO71" s="388"/>
      <c r="AP71" s="402" t="str">
        <f t="shared" si="24"/>
        <v/>
      </c>
      <c r="AQ71" s="388"/>
      <c r="AR71" s="388"/>
      <c r="AS71" s="388"/>
      <c r="AT71" s="388"/>
      <c r="AU71" s="402" t="str">
        <f t="shared" si="25"/>
        <v/>
      </c>
      <c r="AV71" s="389"/>
      <c r="AW71" s="381"/>
      <c r="AX71" s="381"/>
      <c r="AY71" s="373"/>
      <c r="AZ71" s="390"/>
      <c r="BA71" s="390"/>
      <c r="BB71" s="391"/>
      <c r="BC71" s="392"/>
      <c r="BD71" s="393"/>
      <c r="BE71" s="393"/>
      <c r="BF71" s="393"/>
      <c r="BG71" s="394"/>
      <c r="BH71" s="395"/>
      <c r="BI71" s="374"/>
      <c r="BJ71" s="374"/>
      <c r="BK71" s="374"/>
      <c r="BL71" s="389"/>
      <c r="BM71" s="397"/>
      <c r="BN71" s="389"/>
      <c r="BO71" s="419" t="str">
        <f t="shared" si="26"/>
        <v/>
      </c>
      <c r="BP71" s="389"/>
      <c r="BQ71" s="397"/>
      <c r="BR71" s="419"/>
      <c r="BS71" s="419"/>
      <c r="BT71" s="419"/>
      <c r="BU71" s="432"/>
      <c r="BV71" s="419"/>
      <c r="BW71" s="419"/>
      <c r="BX71" s="419"/>
      <c r="BY71" s="389"/>
      <c r="BZ71" s="389"/>
      <c r="CA71" s="389"/>
      <c r="CB71" s="389"/>
      <c r="CC71" s="389"/>
      <c r="CD71" s="389"/>
      <c r="CE71" s="389"/>
      <c r="CF71" s="389"/>
      <c r="CG71" s="389"/>
      <c r="CH71" s="389"/>
      <c r="CI71" s="389"/>
      <c r="CJ71" s="422"/>
      <c r="CK71" s="422"/>
      <c r="CL71" s="422"/>
      <c r="CM71" s="422"/>
      <c r="CN71" s="422"/>
      <c r="CO71" s="422"/>
      <c r="CP71" s="422"/>
      <c r="CQ71" s="433" t="s">
        <v>490</v>
      </c>
      <c r="CR71" s="431" t="str">
        <f t="shared" si="32"/>
        <v/>
      </c>
      <c r="CS71" s="35" t="str">
        <f t="shared" si="33"/>
        <v>Direct or WHSE.</v>
      </c>
      <c r="CT71" s="411"/>
      <c r="CW71" s="153" t="str">
        <f t="shared" si="34"/>
        <v/>
      </c>
      <c r="CX71" s="153" t="str">
        <f t="shared" si="35"/>
        <v/>
      </c>
      <c r="CY71" s="153" t="str">
        <f t="shared" si="36"/>
        <v/>
      </c>
      <c r="DA71" s="423" t="s">
        <v>200</v>
      </c>
      <c r="DB71" s="23">
        <v>0.5</v>
      </c>
    </row>
    <row r="72" spans="1:106" ht="19.5" customHeight="1">
      <c r="A72" s="10">
        <v>50</v>
      </c>
      <c r="B72" s="373"/>
      <c r="C72" s="373"/>
      <c r="D72" s="396"/>
      <c r="E72" s="375"/>
      <c r="F72" s="373"/>
      <c r="G72" s="373"/>
      <c r="H72" s="376"/>
      <c r="I72" s="377"/>
      <c r="J72" s="378"/>
      <c r="K72" s="379"/>
      <c r="L72" s="374"/>
      <c r="M72" s="380" t="str">
        <f t="shared" ca="1" si="9"/>
        <v/>
      </c>
      <c r="N72" s="373"/>
      <c r="O72" s="381"/>
      <c r="P72" s="381"/>
      <c r="Q72" s="382"/>
      <c r="R72" s="381"/>
      <c r="S72" s="383"/>
      <c r="T72" s="384" t="str">
        <f t="shared" si="10"/>
        <v/>
      </c>
      <c r="U72" s="385"/>
      <c r="V72" s="384" t="str">
        <f t="shared" si="5"/>
        <v/>
      </c>
      <c r="W72" s="386"/>
      <c r="X72" s="386" t="str">
        <f t="shared" si="11"/>
        <v/>
      </c>
      <c r="Y72" s="386" t="str">
        <f t="shared" si="12"/>
        <v/>
      </c>
      <c r="Z72" s="386" t="str">
        <f t="shared" si="13"/>
        <v/>
      </c>
      <c r="AA72" s="387"/>
      <c r="AB72" s="386" t="str">
        <f t="shared" si="14"/>
        <v/>
      </c>
      <c r="AC72" s="386" t="str">
        <f t="shared" si="15"/>
        <v/>
      </c>
      <c r="AD72" s="386" t="str">
        <f t="shared" si="16"/>
        <v/>
      </c>
      <c r="AE72" s="386" t="str">
        <f t="shared" si="17"/>
        <v/>
      </c>
      <c r="AF72" s="386" t="str">
        <f t="shared" si="18"/>
        <v/>
      </c>
      <c r="AG72" s="386" t="str">
        <f t="shared" si="19"/>
        <v/>
      </c>
      <c r="AH72" s="386" t="str">
        <f t="shared" si="20"/>
        <v/>
      </c>
      <c r="AI72" s="386" t="str">
        <f t="shared" si="21"/>
        <v/>
      </c>
      <c r="AJ72" s="386" t="str">
        <f t="shared" si="22"/>
        <v/>
      </c>
      <c r="AK72" s="386" t="str">
        <f t="shared" si="23"/>
        <v/>
      </c>
      <c r="AL72" s="388"/>
      <c r="AM72" s="388"/>
      <c r="AN72" s="388"/>
      <c r="AO72" s="388"/>
      <c r="AP72" s="402" t="str">
        <f t="shared" si="24"/>
        <v/>
      </c>
      <c r="AQ72" s="388"/>
      <c r="AR72" s="388"/>
      <c r="AS72" s="388"/>
      <c r="AT72" s="388"/>
      <c r="AU72" s="402" t="str">
        <f t="shared" si="25"/>
        <v/>
      </c>
      <c r="AV72" s="389"/>
      <c r="AW72" s="381"/>
      <c r="AX72" s="381"/>
      <c r="AY72" s="373"/>
      <c r="AZ72" s="390"/>
      <c r="BA72" s="390"/>
      <c r="BB72" s="391"/>
      <c r="BC72" s="392"/>
      <c r="BD72" s="393"/>
      <c r="BE72" s="393"/>
      <c r="BF72" s="393"/>
      <c r="BG72" s="394"/>
      <c r="BH72" s="395"/>
      <c r="BI72" s="374"/>
      <c r="BJ72" s="374"/>
      <c r="BK72" s="374"/>
      <c r="BL72" s="389"/>
      <c r="BM72" s="397"/>
      <c r="BN72" s="389"/>
      <c r="BO72" s="419" t="str">
        <f t="shared" si="26"/>
        <v/>
      </c>
      <c r="BP72" s="389"/>
      <c r="BQ72" s="397"/>
      <c r="BR72" s="419"/>
      <c r="BS72" s="419"/>
      <c r="BT72" s="419"/>
      <c r="BU72" s="432"/>
      <c r="BV72" s="419"/>
      <c r="BW72" s="419"/>
      <c r="BX72" s="419"/>
      <c r="BY72" s="389"/>
      <c r="BZ72" s="389"/>
      <c r="CA72" s="389"/>
      <c r="CB72" s="389"/>
      <c r="CC72" s="389"/>
      <c r="CD72" s="389"/>
      <c r="CE72" s="389"/>
      <c r="CF72" s="389"/>
      <c r="CG72" s="389"/>
      <c r="CH72" s="389"/>
      <c r="CI72" s="389"/>
      <c r="CJ72" s="422"/>
      <c r="CK72" s="422"/>
      <c r="CL72" s="422"/>
      <c r="CM72" s="422"/>
      <c r="CN72" s="422"/>
      <c r="CO72" s="422"/>
      <c r="CP72" s="422"/>
      <c r="CQ72" s="433" t="s">
        <v>491</v>
      </c>
      <c r="CR72" s="431" t="str">
        <f t="shared" si="32"/>
        <v/>
      </c>
      <c r="CS72" s="35" t="str">
        <f t="shared" si="33"/>
        <v>Direct or WHSE.</v>
      </c>
      <c r="CT72" s="411"/>
      <c r="CW72" s="153" t="str">
        <f t="shared" si="34"/>
        <v/>
      </c>
      <c r="CX72" s="153" t="str">
        <f t="shared" si="35"/>
        <v/>
      </c>
      <c r="CY72" s="153" t="str">
        <f t="shared" si="36"/>
        <v/>
      </c>
      <c r="DA72" s="423" t="s">
        <v>201</v>
      </c>
      <c r="DB72" s="23">
        <v>3.5</v>
      </c>
    </row>
    <row r="73" spans="1:106" ht="19.5" customHeight="1">
      <c r="A73" s="10">
        <v>51</v>
      </c>
      <c r="B73" s="373"/>
      <c r="C73" s="373"/>
      <c r="D73" s="396"/>
      <c r="E73" s="375"/>
      <c r="F73" s="373"/>
      <c r="G73" s="373"/>
      <c r="H73" s="376"/>
      <c r="I73" s="377"/>
      <c r="J73" s="378"/>
      <c r="K73" s="379"/>
      <c r="L73" s="374"/>
      <c r="M73" s="380" t="str">
        <f t="shared" ca="1" si="9"/>
        <v/>
      </c>
      <c r="N73" s="373"/>
      <c r="O73" s="381"/>
      <c r="P73" s="381"/>
      <c r="Q73" s="382"/>
      <c r="R73" s="381"/>
      <c r="S73" s="383"/>
      <c r="T73" s="384" t="str">
        <f t="shared" si="10"/>
        <v/>
      </c>
      <c r="U73" s="385"/>
      <c r="V73" s="384" t="str">
        <f t="shared" si="5"/>
        <v/>
      </c>
      <c r="W73" s="386"/>
      <c r="X73" s="386" t="str">
        <f t="shared" si="11"/>
        <v/>
      </c>
      <c r="Y73" s="386" t="str">
        <f t="shared" si="12"/>
        <v/>
      </c>
      <c r="Z73" s="386" t="str">
        <f t="shared" si="13"/>
        <v/>
      </c>
      <c r="AA73" s="387"/>
      <c r="AB73" s="386" t="str">
        <f t="shared" si="14"/>
        <v/>
      </c>
      <c r="AC73" s="386" t="str">
        <f t="shared" si="15"/>
        <v/>
      </c>
      <c r="AD73" s="386" t="str">
        <f t="shared" si="16"/>
        <v/>
      </c>
      <c r="AE73" s="386" t="str">
        <f t="shared" si="17"/>
        <v/>
      </c>
      <c r="AF73" s="386" t="str">
        <f t="shared" si="18"/>
        <v/>
      </c>
      <c r="AG73" s="386" t="str">
        <f t="shared" si="19"/>
        <v/>
      </c>
      <c r="AH73" s="386" t="str">
        <f t="shared" si="20"/>
        <v/>
      </c>
      <c r="AI73" s="386" t="str">
        <f t="shared" si="21"/>
        <v/>
      </c>
      <c r="AJ73" s="386" t="str">
        <f t="shared" si="22"/>
        <v/>
      </c>
      <c r="AK73" s="386" t="str">
        <f t="shared" si="23"/>
        <v/>
      </c>
      <c r="AL73" s="388"/>
      <c r="AM73" s="388"/>
      <c r="AN73" s="388"/>
      <c r="AO73" s="388"/>
      <c r="AP73" s="402" t="str">
        <f t="shared" si="24"/>
        <v/>
      </c>
      <c r="AQ73" s="388"/>
      <c r="AR73" s="388"/>
      <c r="AS73" s="388"/>
      <c r="AT73" s="388"/>
      <c r="AU73" s="402" t="str">
        <f t="shared" si="25"/>
        <v/>
      </c>
      <c r="AV73" s="389"/>
      <c r="AW73" s="381"/>
      <c r="AX73" s="381"/>
      <c r="AY73" s="373"/>
      <c r="AZ73" s="390"/>
      <c r="BA73" s="390"/>
      <c r="BB73" s="391"/>
      <c r="BC73" s="392"/>
      <c r="BD73" s="393"/>
      <c r="BE73" s="393"/>
      <c r="BF73" s="393"/>
      <c r="BG73" s="394"/>
      <c r="BH73" s="395"/>
      <c r="BI73" s="374"/>
      <c r="BJ73" s="374"/>
      <c r="BK73" s="374"/>
      <c r="BL73" s="389"/>
      <c r="BM73" s="397"/>
      <c r="BN73" s="389"/>
      <c r="BO73" s="419" t="str">
        <f t="shared" si="26"/>
        <v/>
      </c>
      <c r="BP73" s="389"/>
      <c r="BQ73" s="397"/>
      <c r="BR73" s="419"/>
      <c r="BS73" s="419"/>
      <c r="BT73" s="419"/>
      <c r="BU73" s="432"/>
      <c r="BV73" s="419"/>
      <c r="BW73" s="419"/>
      <c r="BX73" s="419"/>
      <c r="BY73" s="389"/>
      <c r="BZ73" s="389"/>
      <c r="CA73" s="389"/>
      <c r="CB73" s="389"/>
      <c r="CC73" s="389"/>
      <c r="CD73" s="389"/>
      <c r="CE73" s="389"/>
      <c r="CF73" s="389"/>
      <c r="CG73" s="389"/>
      <c r="CH73" s="389"/>
      <c r="CI73" s="389"/>
      <c r="CJ73" s="422"/>
      <c r="CK73" s="422"/>
      <c r="CL73" s="422"/>
      <c r="CM73" s="422"/>
      <c r="CN73" s="422"/>
      <c r="CO73" s="422"/>
      <c r="CP73" s="422"/>
      <c r="CQ73" s="433" t="s">
        <v>492</v>
      </c>
      <c r="CR73" s="431" t="str">
        <f t="shared" si="32"/>
        <v/>
      </c>
      <c r="CS73" s="35" t="str">
        <f t="shared" si="33"/>
        <v>Direct or WHSE.</v>
      </c>
      <c r="CT73" s="411"/>
      <c r="CW73" s="153" t="str">
        <f t="shared" si="34"/>
        <v/>
      </c>
      <c r="CX73" s="153" t="str">
        <f t="shared" si="35"/>
        <v/>
      </c>
      <c r="CY73" s="153" t="str">
        <f t="shared" si="36"/>
        <v/>
      </c>
      <c r="DA73" s="423" t="s">
        <v>202</v>
      </c>
      <c r="DB73" s="23">
        <v>0.5</v>
      </c>
    </row>
    <row r="74" spans="1:106" ht="19.5" customHeight="1">
      <c r="A74" s="10">
        <v>52</v>
      </c>
      <c r="B74" s="373"/>
      <c r="C74" s="373"/>
      <c r="D74" s="396"/>
      <c r="E74" s="375"/>
      <c r="F74" s="373"/>
      <c r="G74" s="373"/>
      <c r="H74" s="376"/>
      <c r="I74" s="377"/>
      <c r="J74" s="378"/>
      <c r="K74" s="379"/>
      <c r="L74" s="374"/>
      <c r="M74" s="380" t="str">
        <f t="shared" ca="1" si="9"/>
        <v/>
      </c>
      <c r="N74" s="373"/>
      <c r="O74" s="381"/>
      <c r="P74" s="381"/>
      <c r="Q74" s="382"/>
      <c r="R74" s="381"/>
      <c r="S74" s="383"/>
      <c r="T74" s="384" t="str">
        <f t="shared" si="10"/>
        <v/>
      </c>
      <c r="U74" s="385"/>
      <c r="V74" s="384" t="str">
        <f t="shared" si="5"/>
        <v/>
      </c>
      <c r="W74" s="386"/>
      <c r="X74" s="386" t="str">
        <f t="shared" si="11"/>
        <v/>
      </c>
      <c r="Y74" s="386" t="str">
        <f t="shared" si="12"/>
        <v/>
      </c>
      <c r="Z74" s="386" t="str">
        <f t="shared" si="13"/>
        <v/>
      </c>
      <c r="AA74" s="387"/>
      <c r="AB74" s="386" t="str">
        <f t="shared" si="14"/>
        <v/>
      </c>
      <c r="AC74" s="386" t="str">
        <f t="shared" si="15"/>
        <v/>
      </c>
      <c r="AD74" s="386" t="str">
        <f t="shared" si="16"/>
        <v/>
      </c>
      <c r="AE74" s="386" t="str">
        <f t="shared" si="17"/>
        <v/>
      </c>
      <c r="AF74" s="386" t="str">
        <f t="shared" si="18"/>
        <v/>
      </c>
      <c r="AG74" s="386" t="str">
        <f t="shared" si="19"/>
        <v/>
      </c>
      <c r="AH74" s="386" t="str">
        <f t="shared" si="20"/>
        <v/>
      </c>
      <c r="AI74" s="386" t="str">
        <f t="shared" si="21"/>
        <v/>
      </c>
      <c r="AJ74" s="386" t="str">
        <f t="shared" si="22"/>
        <v/>
      </c>
      <c r="AK74" s="386" t="str">
        <f t="shared" si="23"/>
        <v/>
      </c>
      <c r="AL74" s="388"/>
      <c r="AM74" s="388"/>
      <c r="AN74" s="388"/>
      <c r="AO74" s="388"/>
      <c r="AP74" s="402" t="str">
        <f t="shared" si="24"/>
        <v/>
      </c>
      <c r="AQ74" s="388"/>
      <c r="AR74" s="388"/>
      <c r="AS74" s="388"/>
      <c r="AT74" s="388"/>
      <c r="AU74" s="402" t="str">
        <f t="shared" si="25"/>
        <v/>
      </c>
      <c r="AV74" s="389"/>
      <c r="AW74" s="381"/>
      <c r="AX74" s="381"/>
      <c r="AY74" s="373"/>
      <c r="AZ74" s="390"/>
      <c r="BA74" s="390"/>
      <c r="BB74" s="391"/>
      <c r="BC74" s="392"/>
      <c r="BD74" s="393"/>
      <c r="BE74" s="393"/>
      <c r="BF74" s="393"/>
      <c r="BG74" s="394"/>
      <c r="BH74" s="395"/>
      <c r="BI74" s="374"/>
      <c r="BJ74" s="374"/>
      <c r="BK74" s="374"/>
      <c r="BL74" s="389"/>
      <c r="BM74" s="397"/>
      <c r="BN74" s="389"/>
      <c r="BO74" s="419" t="str">
        <f t="shared" si="26"/>
        <v/>
      </c>
      <c r="BP74" s="389"/>
      <c r="BQ74" s="397"/>
      <c r="BR74" s="419"/>
      <c r="BS74" s="419"/>
      <c r="BT74" s="419"/>
      <c r="BU74" s="432"/>
      <c r="BV74" s="419"/>
      <c r="BW74" s="419"/>
      <c r="BX74" s="419"/>
      <c r="BY74" s="389"/>
      <c r="BZ74" s="389"/>
      <c r="CA74" s="389"/>
      <c r="CB74" s="389"/>
      <c r="CC74" s="389"/>
      <c r="CD74" s="389"/>
      <c r="CE74" s="389"/>
      <c r="CF74" s="389"/>
      <c r="CG74" s="389"/>
      <c r="CH74" s="389"/>
      <c r="CI74" s="389"/>
      <c r="CJ74" s="422"/>
      <c r="CK74" s="422"/>
      <c r="CL74" s="422"/>
      <c r="CM74" s="422"/>
      <c r="CN74" s="422"/>
      <c r="CO74" s="422"/>
      <c r="CP74" s="422"/>
      <c r="CQ74" s="433" t="s">
        <v>493</v>
      </c>
      <c r="CR74" s="431" t="str">
        <f t="shared" si="32"/>
        <v/>
      </c>
      <c r="CS74" s="35" t="str">
        <f t="shared" si="33"/>
        <v>Direct or WHSE.</v>
      </c>
      <c r="CT74" s="411"/>
      <c r="CW74" s="153" t="str">
        <f t="shared" si="34"/>
        <v/>
      </c>
      <c r="CX74" s="153" t="str">
        <f t="shared" si="35"/>
        <v/>
      </c>
      <c r="CY74" s="153" t="str">
        <f t="shared" si="36"/>
        <v/>
      </c>
      <c r="DA74" s="423" t="s">
        <v>203</v>
      </c>
      <c r="DB74" s="23">
        <v>3.5</v>
      </c>
    </row>
    <row r="75" spans="1:106" ht="19.5" customHeight="1">
      <c r="A75" s="10">
        <v>53</v>
      </c>
      <c r="B75" s="373"/>
      <c r="C75" s="373"/>
      <c r="D75" s="396"/>
      <c r="E75" s="375"/>
      <c r="F75" s="373"/>
      <c r="G75" s="373"/>
      <c r="H75" s="376"/>
      <c r="I75" s="377"/>
      <c r="J75" s="378"/>
      <c r="K75" s="379"/>
      <c r="L75" s="374"/>
      <c r="M75" s="380" t="str">
        <f t="shared" ca="1" si="9"/>
        <v/>
      </c>
      <c r="N75" s="373"/>
      <c r="O75" s="381"/>
      <c r="P75" s="381"/>
      <c r="Q75" s="382"/>
      <c r="R75" s="381"/>
      <c r="S75" s="383"/>
      <c r="T75" s="384" t="str">
        <f t="shared" si="10"/>
        <v/>
      </c>
      <c r="U75" s="385"/>
      <c r="V75" s="384" t="str">
        <f t="shared" si="5"/>
        <v/>
      </c>
      <c r="W75" s="386"/>
      <c r="X75" s="386" t="str">
        <f t="shared" si="11"/>
        <v/>
      </c>
      <c r="Y75" s="386" t="str">
        <f t="shared" si="12"/>
        <v/>
      </c>
      <c r="Z75" s="386" t="str">
        <f t="shared" si="13"/>
        <v/>
      </c>
      <c r="AA75" s="387"/>
      <c r="AB75" s="386" t="str">
        <f t="shared" si="14"/>
        <v/>
      </c>
      <c r="AC75" s="386" t="str">
        <f t="shared" si="15"/>
        <v/>
      </c>
      <c r="AD75" s="386" t="str">
        <f t="shared" si="16"/>
        <v/>
      </c>
      <c r="AE75" s="386" t="str">
        <f t="shared" si="17"/>
        <v/>
      </c>
      <c r="AF75" s="386" t="str">
        <f t="shared" si="18"/>
        <v/>
      </c>
      <c r="AG75" s="386" t="str">
        <f t="shared" si="19"/>
        <v/>
      </c>
      <c r="AH75" s="386" t="str">
        <f t="shared" si="20"/>
        <v/>
      </c>
      <c r="AI75" s="386" t="str">
        <f t="shared" si="21"/>
        <v/>
      </c>
      <c r="AJ75" s="386" t="str">
        <f t="shared" si="22"/>
        <v/>
      </c>
      <c r="AK75" s="386" t="str">
        <f t="shared" si="23"/>
        <v/>
      </c>
      <c r="AL75" s="388"/>
      <c r="AM75" s="388"/>
      <c r="AN75" s="388"/>
      <c r="AO75" s="388"/>
      <c r="AP75" s="402" t="str">
        <f t="shared" si="24"/>
        <v/>
      </c>
      <c r="AQ75" s="388"/>
      <c r="AR75" s="388"/>
      <c r="AS75" s="388"/>
      <c r="AT75" s="388"/>
      <c r="AU75" s="402" t="str">
        <f t="shared" si="25"/>
        <v/>
      </c>
      <c r="AV75" s="389"/>
      <c r="AW75" s="381"/>
      <c r="AX75" s="381"/>
      <c r="AY75" s="373"/>
      <c r="AZ75" s="390"/>
      <c r="BA75" s="390"/>
      <c r="BB75" s="391"/>
      <c r="BC75" s="392"/>
      <c r="BD75" s="393"/>
      <c r="BE75" s="393"/>
      <c r="BF75" s="393"/>
      <c r="BG75" s="394"/>
      <c r="BH75" s="395"/>
      <c r="BI75" s="374"/>
      <c r="BJ75" s="374"/>
      <c r="BK75" s="374"/>
      <c r="BL75" s="389"/>
      <c r="BM75" s="397"/>
      <c r="BN75" s="389"/>
      <c r="BO75" s="419" t="str">
        <f t="shared" si="26"/>
        <v/>
      </c>
      <c r="BP75" s="389"/>
      <c r="BQ75" s="397"/>
      <c r="BR75" s="419"/>
      <c r="BS75" s="419"/>
      <c r="BT75" s="419"/>
      <c r="BU75" s="432"/>
      <c r="BV75" s="419"/>
      <c r="BW75" s="419"/>
      <c r="BX75" s="419"/>
      <c r="BY75" s="389"/>
      <c r="BZ75" s="389"/>
      <c r="CA75" s="389"/>
      <c r="CB75" s="389"/>
      <c r="CC75" s="389"/>
      <c r="CD75" s="389"/>
      <c r="CE75" s="389"/>
      <c r="CF75" s="389"/>
      <c r="CG75" s="389"/>
      <c r="CH75" s="389"/>
      <c r="CI75" s="389"/>
      <c r="CJ75" s="422"/>
      <c r="CK75" s="422"/>
      <c r="CL75" s="422"/>
      <c r="CM75" s="422"/>
      <c r="CN75" s="422"/>
      <c r="CO75" s="422"/>
      <c r="CP75" s="422"/>
      <c r="CQ75" s="433" t="s">
        <v>494</v>
      </c>
      <c r="CR75" s="431" t="str">
        <f t="shared" si="32"/>
        <v/>
      </c>
      <c r="CS75" s="35" t="str">
        <f t="shared" si="33"/>
        <v>Direct or WHSE.</v>
      </c>
      <c r="CT75" s="411"/>
      <c r="CW75" s="153" t="str">
        <f t="shared" si="34"/>
        <v/>
      </c>
      <c r="CX75" s="153" t="str">
        <f t="shared" si="35"/>
        <v/>
      </c>
      <c r="CY75" s="153" t="str">
        <f t="shared" si="36"/>
        <v/>
      </c>
      <c r="DA75" s="423" t="s">
        <v>212</v>
      </c>
      <c r="DB75" s="23">
        <v>1.5</v>
      </c>
    </row>
    <row r="76" spans="1:106" ht="19.5" customHeight="1">
      <c r="A76" s="10">
        <v>54</v>
      </c>
      <c r="B76" s="373"/>
      <c r="C76" s="373"/>
      <c r="D76" s="396"/>
      <c r="E76" s="375"/>
      <c r="F76" s="373"/>
      <c r="G76" s="373"/>
      <c r="H76" s="376"/>
      <c r="I76" s="377"/>
      <c r="J76" s="378"/>
      <c r="K76" s="379"/>
      <c r="L76" s="374"/>
      <c r="M76" s="380" t="str">
        <f t="shared" ca="1" si="9"/>
        <v/>
      </c>
      <c r="N76" s="373"/>
      <c r="O76" s="381"/>
      <c r="P76" s="381"/>
      <c r="Q76" s="382"/>
      <c r="R76" s="381"/>
      <c r="S76" s="383"/>
      <c r="T76" s="384" t="str">
        <f t="shared" si="10"/>
        <v/>
      </c>
      <c r="U76" s="385"/>
      <c r="V76" s="384" t="str">
        <f t="shared" si="5"/>
        <v/>
      </c>
      <c r="W76" s="386"/>
      <c r="X76" s="386" t="str">
        <f t="shared" si="11"/>
        <v/>
      </c>
      <c r="Y76" s="386" t="str">
        <f t="shared" si="12"/>
        <v/>
      </c>
      <c r="Z76" s="386" t="str">
        <f t="shared" si="13"/>
        <v/>
      </c>
      <c r="AA76" s="387"/>
      <c r="AB76" s="386" t="str">
        <f t="shared" si="14"/>
        <v/>
      </c>
      <c r="AC76" s="386" t="str">
        <f t="shared" si="15"/>
        <v/>
      </c>
      <c r="AD76" s="386" t="str">
        <f t="shared" si="16"/>
        <v/>
      </c>
      <c r="AE76" s="386" t="str">
        <f t="shared" si="17"/>
        <v/>
      </c>
      <c r="AF76" s="386" t="str">
        <f t="shared" si="18"/>
        <v/>
      </c>
      <c r="AG76" s="386" t="str">
        <f t="shared" si="19"/>
        <v/>
      </c>
      <c r="AH76" s="386" t="str">
        <f t="shared" si="20"/>
        <v/>
      </c>
      <c r="AI76" s="386" t="str">
        <f t="shared" si="21"/>
        <v/>
      </c>
      <c r="AJ76" s="386" t="str">
        <f t="shared" si="22"/>
        <v/>
      </c>
      <c r="AK76" s="386" t="str">
        <f t="shared" si="23"/>
        <v/>
      </c>
      <c r="AL76" s="388"/>
      <c r="AM76" s="388"/>
      <c r="AN76" s="388"/>
      <c r="AO76" s="388"/>
      <c r="AP76" s="402" t="str">
        <f t="shared" si="24"/>
        <v/>
      </c>
      <c r="AQ76" s="388"/>
      <c r="AR76" s="388"/>
      <c r="AS76" s="388"/>
      <c r="AT76" s="388"/>
      <c r="AU76" s="402" t="str">
        <f t="shared" si="25"/>
        <v/>
      </c>
      <c r="AV76" s="389"/>
      <c r="AW76" s="381"/>
      <c r="AX76" s="381"/>
      <c r="AY76" s="373"/>
      <c r="AZ76" s="390"/>
      <c r="BA76" s="390"/>
      <c r="BB76" s="391"/>
      <c r="BC76" s="392"/>
      <c r="BD76" s="393"/>
      <c r="BE76" s="393"/>
      <c r="BF76" s="393"/>
      <c r="BG76" s="394"/>
      <c r="BH76" s="395"/>
      <c r="BI76" s="374"/>
      <c r="BJ76" s="374"/>
      <c r="BK76" s="374"/>
      <c r="BL76" s="389"/>
      <c r="BM76" s="397"/>
      <c r="BN76" s="389"/>
      <c r="BO76" s="419" t="str">
        <f t="shared" si="26"/>
        <v/>
      </c>
      <c r="BP76" s="389"/>
      <c r="BQ76" s="397"/>
      <c r="BR76" s="419"/>
      <c r="BS76" s="419"/>
      <c r="BT76" s="419"/>
      <c r="BU76" s="432"/>
      <c r="BV76" s="419"/>
      <c r="BW76" s="419"/>
      <c r="BX76" s="419"/>
      <c r="BY76" s="389"/>
      <c r="BZ76" s="389"/>
      <c r="CA76" s="389"/>
      <c r="CB76" s="389"/>
      <c r="CC76" s="389"/>
      <c r="CD76" s="389"/>
      <c r="CE76" s="389"/>
      <c r="CF76" s="389"/>
      <c r="CG76" s="389"/>
      <c r="CH76" s="389"/>
      <c r="CI76" s="389"/>
      <c r="CJ76" s="422"/>
      <c r="CK76" s="422"/>
      <c r="CL76" s="422"/>
      <c r="CM76" s="422"/>
      <c r="CN76" s="422"/>
      <c r="CO76" s="422"/>
      <c r="CP76" s="422"/>
      <c r="CQ76" s="433" t="s">
        <v>495</v>
      </c>
      <c r="CR76" s="431" t="str">
        <f t="shared" si="32"/>
        <v/>
      </c>
      <c r="CS76" s="35" t="str">
        <f t="shared" si="33"/>
        <v>Direct or WHSE.</v>
      </c>
      <c r="CT76" s="411"/>
      <c r="CW76" s="153" t="str">
        <f t="shared" si="34"/>
        <v/>
      </c>
      <c r="CX76" s="153" t="str">
        <f t="shared" si="35"/>
        <v/>
      </c>
      <c r="CY76" s="153" t="str">
        <f t="shared" si="36"/>
        <v/>
      </c>
      <c r="DA76" s="423" t="s">
        <v>219</v>
      </c>
      <c r="DB76" s="23">
        <v>2.5</v>
      </c>
    </row>
    <row r="77" spans="1:106" ht="19.5" customHeight="1">
      <c r="A77" s="10">
        <v>55</v>
      </c>
      <c r="B77" s="373"/>
      <c r="C77" s="373"/>
      <c r="D77" s="396"/>
      <c r="E77" s="375"/>
      <c r="F77" s="373"/>
      <c r="G77" s="373"/>
      <c r="H77" s="376"/>
      <c r="I77" s="377"/>
      <c r="J77" s="378"/>
      <c r="K77" s="379"/>
      <c r="L77" s="374"/>
      <c r="M77" s="380" t="str">
        <f t="shared" ca="1" si="9"/>
        <v/>
      </c>
      <c r="N77" s="373"/>
      <c r="O77" s="381"/>
      <c r="P77" s="381"/>
      <c r="Q77" s="382"/>
      <c r="R77" s="381"/>
      <c r="S77" s="383"/>
      <c r="T77" s="384" t="str">
        <f t="shared" si="10"/>
        <v/>
      </c>
      <c r="U77" s="385"/>
      <c r="V77" s="384" t="str">
        <f t="shared" si="5"/>
        <v/>
      </c>
      <c r="W77" s="386"/>
      <c r="X77" s="386" t="str">
        <f t="shared" si="11"/>
        <v/>
      </c>
      <c r="Y77" s="386" t="str">
        <f t="shared" si="12"/>
        <v/>
      </c>
      <c r="Z77" s="386" t="str">
        <f t="shared" si="13"/>
        <v/>
      </c>
      <c r="AA77" s="387"/>
      <c r="AB77" s="386" t="str">
        <f t="shared" si="14"/>
        <v/>
      </c>
      <c r="AC77" s="386" t="str">
        <f t="shared" si="15"/>
        <v/>
      </c>
      <c r="AD77" s="386" t="str">
        <f t="shared" si="16"/>
        <v/>
      </c>
      <c r="AE77" s="386" t="str">
        <f t="shared" si="17"/>
        <v/>
      </c>
      <c r="AF77" s="386" t="str">
        <f t="shared" si="18"/>
        <v/>
      </c>
      <c r="AG77" s="386" t="str">
        <f t="shared" si="19"/>
        <v/>
      </c>
      <c r="AH77" s="386" t="str">
        <f t="shared" si="20"/>
        <v/>
      </c>
      <c r="AI77" s="386" t="str">
        <f t="shared" si="21"/>
        <v/>
      </c>
      <c r="AJ77" s="386" t="str">
        <f t="shared" si="22"/>
        <v/>
      </c>
      <c r="AK77" s="386" t="str">
        <f t="shared" si="23"/>
        <v/>
      </c>
      <c r="AL77" s="388"/>
      <c r="AM77" s="388"/>
      <c r="AN77" s="388"/>
      <c r="AO77" s="388"/>
      <c r="AP77" s="402" t="str">
        <f t="shared" si="24"/>
        <v/>
      </c>
      <c r="AQ77" s="388"/>
      <c r="AR77" s="388"/>
      <c r="AS77" s="388"/>
      <c r="AT77" s="388"/>
      <c r="AU77" s="402" t="str">
        <f t="shared" si="25"/>
        <v/>
      </c>
      <c r="AV77" s="389"/>
      <c r="AW77" s="381"/>
      <c r="AX77" s="381"/>
      <c r="AY77" s="373"/>
      <c r="AZ77" s="390"/>
      <c r="BA77" s="390"/>
      <c r="BB77" s="391"/>
      <c r="BC77" s="392"/>
      <c r="BD77" s="393"/>
      <c r="BE77" s="393"/>
      <c r="BF77" s="393"/>
      <c r="BG77" s="394"/>
      <c r="BH77" s="395"/>
      <c r="BI77" s="374"/>
      <c r="BJ77" s="374"/>
      <c r="BK77" s="374"/>
      <c r="BL77" s="389"/>
      <c r="BM77" s="397"/>
      <c r="BN77" s="389"/>
      <c r="BO77" s="419" t="str">
        <f t="shared" si="26"/>
        <v/>
      </c>
      <c r="BP77" s="389"/>
      <c r="BQ77" s="397"/>
      <c r="BR77" s="419"/>
      <c r="BS77" s="419"/>
      <c r="BT77" s="419"/>
      <c r="BU77" s="432"/>
      <c r="BV77" s="419"/>
      <c r="BW77" s="419"/>
      <c r="BX77" s="419"/>
      <c r="BY77" s="389"/>
      <c r="BZ77" s="389"/>
      <c r="CA77" s="389"/>
      <c r="CB77" s="389"/>
      <c r="CC77" s="389"/>
      <c r="CD77" s="389"/>
      <c r="CE77" s="389"/>
      <c r="CF77" s="389"/>
      <c r="CG77" s="389"/>
      <c r="CH77" s="389"/>
      <c r="CI77" s="389"/>
      <c r="CJ77" s="422"/>
      <c r="CK77" s="422"/>
      <c r="CL77" s="422"/>
      <c r="CM77" s="422"/>
      <c r="CN77" s="422"/>
      <c r="CO77" s="422"/>
      <c r="CP77" s="422"/>
      <c r="CQ77" s="433" t="s">
        <v>496</v>
      </c>
      <c r="CR77" s="431" t="str">
        <f t="shared" si="32"/>
        <v/>
      </c>
      <c r="CS77" s="35" t="str">
        <f t="shared" si="33"/>
        <v>Direct or WHSE.</v>
      </c>
      <c r="CT77" s="411"/>
      <c r="CW77" s="153" t="str">
        <f t="shared" si="34"/>
        <v/>
      </c>
      <c r="CX77" s="153" t="str">
        <f t="shared" si="35"/>
        <v/>
      </c>
      <c r="CY77" s="153" t="str">
        <f t="shared" si="36"/>
        <v/>
      </c>
      <c r="DA77" s="423" t="s">
        <v>220</v>
      </c>
      <c r="DB77" s="23">
        <v>2</v>
      </c>
    </row>
    <row r="78" spans="1:106" ht="19.5" customHeight="1">
      <c r="A78" s="10">
        <v>56</v>
      </c>
      <c r="B78" s="373"/>
      <c r="C78" s="373"/>
      <c r="D78" s="396"/>
      <c r="E78" s="375"/>
      <c r="F78" s="373"/>
      <c r="G78" s="373"/>
      <c r="H78" s="376"/>
      <c r="I78" s="377"/>
      <c r="J78" s="378"/>
      <c r="K78" s="379"/>
      <c r="L78" s="374"/>
      <c r="M78" s="380" t="str">
        <f t="shared" ca="1" si="9"/>
        <v/>
      </c>
      <c r="N78" s="373"/>
      <c r="O78" s="381"/>
      <c r="P78" s="381"/>
      <c r="Q78" s="382"/>
      <c r="R78" s="381"/>
      <c r="S78" s="383"/>
      <c r="T78" s="384" t="str">
        <f t="shared" si="10"/>
        <v/>
      </c>
      <c r="U78" s="385"/>
      <c r="V78" s="384" t="str">
        <f t="shared" si="5"/>
        <v/>
      </c>
      <c r="W78" s="386"/>
      <c r="X78" s="386" t="str">
        <f t="shared" si="11"/>
        <v/>
      </c>
      <c r="Y78" s="386" t="str">
        <f t="shared" si="12"/>
        <v/>
      </c>
      <c r="Z78" s="386" t="str">
        <f t="shared" si="13"/>
        <v/>
      </c>
      <c r="AA78" s="387"/>
      <c r="AB78" s="386" t="str">
        <f t="shared" si="14"/>
        <v/>
      </c>
      <c r="AC78" s="386" t="str">
        <f t="shared" si="15"/>
        <v/>
      </c>
      <c r="AD78" s="386" t="str">
        <f t="shared" si="16"/>
        <v/>
      </c>
      <c r="AE78" s="386" t="str">
        <f t="shared" si="17"/>
        <v/>
      </c>
      <c r="AF78" s="386" t="str">
        <f t="shared" si="18"/>
        <v/>
      </c>
      <c r="AG78" s="386" t="str">
        <f t="shared" si="19"/>
        <v/>
      </c>
      <c r="AH78" s="386" t="str">
        <f t="shared" si="20"/>
        <v/>
      </c>
      <c r="AI78" s="386" t="str">
        <f t="shared" si="21"/>
        <v/>
      </c>
      <c r="AJ78" s="386" t="str">
        <f t="shared" si="22"/>
        <v/>
      </c>
      <c r="AK78" s="386" t="str">
        <f t="shared" si="23"/>
        <v/>
      </c>
      <c r="AL78" s="388"/>
      <c r="AM78" s="388"/>
      <c r="AN78" s="388"/>
      <c r="AO78" s="388"/>
      <c r="AP78" s="402" t="str">
        <f t="shared" si="24"/>
        <v/>
      </c>
      <c r="AQ78" s="388"/>
      <c r="AR78" s="388"/>
      <c r="AS78" s="388"/>
      <c r="AT78" s="388"/>
      <c r="AU78" s="402" t="str">
        <f t="shared" si="25"/>
        <v/>
      </c>
      <c r="AV78" s="389"/>
      <c r="AW78" s="381"/>
      <c r="AX78" s="381"/>
      <c r="AY78" s="373"/>
      <c r="AZ78" s="390"/>
      <c r="BA78" s="390"/>
      <c r="BB78" s="391"/>
      <c r="BC78" s="392"/>
      <c r="BD78" s="393"/>
      <c r="BE78" s="393"/>
      <c r="BF78" s="393"/>
      <c r="BG78" s="394"/>
      <c r="BH78" s="395"/>
      <c r="BI78" s="374"/>
      <c r="BJ78" s="374"/>
      <c r="BK78" s="374"/>
      <c r="BL78" s="389"/>
      <c r="BM78" s="397"/>
      <c r="BN78" s="389"/>
      <c r="BO78" s="419" t="str">
        <f t="shared" si="26"/>
        <v/>
      </c>
      <c r="BP78" s="389"/>
      <c r="BQ78" s="397"/>
      <c r="BR78" s="419"/>
      <c r="BS78" s="419"/>
      <c r="BT78" s="419"/>
      <c r="BU78" s="432"/>
      <c r="BV78" s="419"/>
      <c r="BW78" s="419"/>
      <c r="BX78" s="419"/>
      <c r="BY78" s="389"/>
      <c r="BZ78" s="389"/>
      <c r="CA78" s="389"/>
      <c r="CB78" s="389"/>
      <c r="CC78" s="389"/>
      <c r="CD78" s="389"/>
      <c r="CE78" s="389"/>
      <c r="CF78" s="389"/>
      <c r="CG78" s="389"/>
      <c r="CH78" s="389"/>
      <c r="CI78" s="389"/>
      <c r="CJ78" s="422"/>
      <c r="CK78" s="422"/>
      <c r="CL78" s="422"/>
      <c r="CM78" s="422"/>
      <c r="CN78" s="422"/>
      <c r="CO78" s="422"/>
      <c r="CP78" s="422"/>
      <c r="CQ78" s="433" t="s">
        <v>497</v>
      </c>
      <c r="CR78" s="431" t="str">
        <f t="shared" si="32"/>
        <v/>
      </c>
      <c r="CS78" s="35" t="str">
        <f t="shared" si="33"/>
        <v>Direct or WHSE.</v>
      </c>
      <c r="CT78" s="411"/>
      <c r="CW78" s="153" t="str">
        <f t="shared" si="34"/>
        <v/>
      </c>
      <c r="CX78" s="153" t="str">
        <f t="shared" si="35"/>
        <v/>
      </c>
      <c r="CY78" s="153" t="str">
        <f t="shared" si="36"/>
        <v/>
      </c>
      <c r="DA78" s="423" t="s">
        <v>204</v>
      </c>
      <c r="DB78" s="23">
        <v>2</v>
      </c>
    </row>
    <row r="79" spans="1:106" ht="19.5" customHeight="1">
      <c r="A79" s="10">
        <v>57</v>
      </c>
      <c r="B79" s="373"/>
      <c r="C79" s="373"/>
      <c r="D79" s="396"/>
      <c r="E79" s="375"/>
      <c r="F79" s="373"/>
      <c r="G79" s="373"/>
      <c r="H79" s="376"/>
      <c r="I79" s="377"/>
      <c r="J79" s="378"/>
      <c r="K79" s="379"/>
      <c r="L79" s="374"/>
      <c r="M79" s="380" t="str">
        <f t="shared" ca="1" si="9"/>
        <v/>
      </c>
      <c r="N79" s="373"/>
      <c r="O79" s="381"/>
      <c r="P79" s="381"/>
      <c r="Q79" s="382"/>
      <c r="R79" s="381"/>
      <c r="S79" s="383"/>
      <c r="T79" s="384" t="str">
        <f t="shared" si="10"/>
        <v/>
      </c>
      <c r="U79" s="385"/>
      <c r="V79" s="384" t="str">
        <f t="shared" si="5"/>
        <v/>
      </c>
      <c r="W79" s="386"/>
      <c r="X79" s="386" t="str">
        <f t="shared" si="11"/>
        <v/>
      </c>
      <c r="Y79" s="386" t="str">
        <f t="shared" si="12"/>
        <v/>
      </c>
      <c r="Z79" s="386" t="str">
        <f t="shared" si="13"/>
        <v/>
      </c>
      <c r="AA79" s="387"/>
      <c r="AB79" s="386" t="str">
        <f t="shared" si="14"/>
        <v/>
      </c>
      <c r="AC79" s="386" t="str">
        <f t="shared" si="15"/>
        <v/>
      </c>
      <c r="AD79" s="386" t="str">
        <f t="shared" si="16"/>
        <v/>
      </c>
      <c r="AE79" s="386" t="str">
        <f t="shared" si="17"/>
        <v/>
      </c>
      <c r="AF79" s="386" t="str">
        <f t="shared" si="18"/>
        <v/>
      </c>
      <c r="AG79" s="386" t="str">
        <f t="shared" si="19"/>
        <v/>
      </c>
      <c r="AH79" s="386" t="str">
        <f t="shared" si="20"/>
        <v/>
      </c>
      <c r="AI79" s="386" t="str">
        <f t="shared" si="21"/>
        <v/>
      </c>
      <c r="AJ79" s="386" t="str">
        <f t="shared" si="22"/>
        <v/>
      </c>
      <c r="AK79" s="386" t="str">
        <f t="shared" si="23"/>
        <v/>
      </c>
      <c r="AL79" s="388"/>
      <c r="AM79" s="388"/>
      <c r="AN79" s="388"/>
      <c r="AO79" s="388"/>
      <c r="AP79" s="402" t="str">
        <f t="shared" si="24"/>
        <v/>
      </c>
      <c r="AQ79" s="388"/>
      <c r="AR79" s="388"/>
      <c r="AS79" s="388"/>
      <c r="AT79" s="388"/>
      <c r="AU79" s="402" t="str">
        <f t="shared" si="25"/>
        <v/>
      </c>
      <c r="AV79" s="389"/>
      <c r="AW79" s="381"/>
      <c r="AX79" s="381"/>
      <c r="AY79" s="373"/>
      <c r="AZ79" s="390"/>
      <c r="BA79" s="390"/>
      <c r="BB79" s="391"/>
      <c r="BC79" s="392"/>
      <c r="BD79" s="393"/>
      <c r="BE79" s="393"/>
      <c r="BF79" s="393"/>
      <c r="BG79" s="394"/>
      <c r="BH79" s="395"/>
      <c r="BI79" s="374"/>
      <c r="BJ79" s="374"/>
      <c r="BK79" s="374"/>
      <c r="BL79" s="389"/>
      <c r="BM79" s="397"/>
      <c r="BN79" s="389"/>
      <c r="BO79" s="419" t="str">
        <f t="shared" si="26"/>
        <v/>
      </c>
      <c r="BP79" s="389"/>
      <c r="BQ79" s="397"/>
      <c r="BR79" s="419"/>
      <c r="BS79" s="419"/>
      <c r="BT79" s="419"/>
      <c r="BU79" s="432"/>
      <c r="BV79" s="419"/>
      <c r="BW79" s="419"/>
      <c r="BX79" s="419"/>
      <c r="BY79" s="389"/>
      <c r="BZ79" s="389"/>
      <c r="CA79" s="389"/>
      <c r="CB79" s="389"/>
      <c r="CC79" s="389"/>
      <c r="CD79" s="389"/>
      <c r="CE79" s="389"/>
      <c r="CF79" s="389"/>
      <c r="CG79" s="389"/>
      <c r="CH79" s="389"/>
      <c r="CI79" s="389"/>
      <c r="CJ79" s="422"/>
      <c r="CK79" s="422"/>
      <c r="CL79" s="422"/>
      <c r="CM79" s="422"/>
      <c r="CN79" s="422"/>
      <c r="CO79" s="422"/>
      <c r="CP79" s="422"/>
      <c r="CQ79" s="433" t="s">
        <v>498</v>
      </c>
      <c r="CR79" s="431" t="str">
        <f t="shared" si="32"/>
        <v/>
      </c>
      <c r="CS79" s="35" t="str">
        <f t="shared" si="33"/>
        <v>Direct or WHSE.</v>
      </c>
      <c r="CT79" s="411"/>
      <c r="CW79" s="153" t="str">
        <f t="shared" si="34"/>
        <v/>
      </c>
      <c r="CX79" s="153" t="str">
        <f t="shared" si="35"/>
        <v/>
      </c>
      <c r="CY79" s="153" t="str">
        <f t="shared" si="36"/>
        <v/>
      </c>
      <c r="DA79" s="423" t="s">
        <v>209</v>
      </c>
      <c r="DB79" s="23">
        <v>3</v>
      </c>
    </row>
    <row r="80" spans="1:106" ht="19.5" customHeight="1">
      <c r="A80" s="10">
        <v>58</v>
      </c>
      <c r="B80" s="373"/>
      <c r="C80" s="373"/>
      <c r="D80" s="396"/>
      <c r="E80" s="375"/>
      <c r="F80" s="373"/>
      <c r="G80" s="373"/>
      <c r="H80" s="376"/>
      <c r="I80" s="377"/>
      <c r="J80" s="378"/>
      <c r="K80" s="379"/>
      <c r="L80" s="374"/>
      <c r="M80" s="380" t="str">
        <f t="shared" ca="1" si="9"/>
        <v/>
      </c>
      <c r="N80" s="373"/>
      <c r="O80" s="381"/>
      <c r="P80" s="381"/>
      <c r="Q80" s="382"/>
      <c r="R80" s="381"/>
      <c r="S80" s="383"/>
      <c r="T80" s="384" t="str">
        <f t="shared" si="10"/>
        <v/>
      </c>
      <c r="U80" s="385"/>
      <c r="V80" s="384" t="str">
        <f t="shared" si="5"/>
        <v/>
      </c>
      <c r="W80" s="386"/>
      <c r="X80" s="386" t="str">
        <f t="shared" si="11"/>
        <v/>
      </c>
      <c r="Y80" s="386" t="str">
        <f t="shared" si="12"/>
        <v/>
      </c>
      <c r="Z80" s="386" t="str">
        <f t="shared" si="13"/>
        <v/>
      </c>
      <c r="AA80" s="387"/>
      <c r="AB80" s="386" t="str">
        <f t="shared" si="14"/>
        <v/>
      </c>
      <c r="AC80" s="386" t="str">
        <f t="shared" si="15"/>
        <v/>
      </c>
      <c r="AD80" s="386" t="str">
        <f t="shared" si="16"/>
        <v/>
      </c>
      <c r="AE80" s="386" t="str">
        <f t="shared" si="17"/>
        <v/>
      </c>
      <c r="AF80" s="386" t="str">
        <f t="shared" si="18"/>
        <v/>
      </c>
      <c r="AG80" s="386" t="str">
        <f t="shared" si="19"/>
        <v/>
      </c>
      <c r="AH80" s="386" t="str">
        <f t="shared" si="20"/>
        <v/>
      </c>
      <c r="AI80" s="386" t="str">
        <f t="shared" si="21"/>
        <v/>
      </c>
      <c r="AJ80" s="386" t="str">
        <f t="shared" si="22"/>
        <v/>
      </c>
      <c r="AK80" s="386" t="str">
        <f t="shared" si="23"/>
        <v/>
      </c>
      <c r="AL80" s="388"/>
      <c r="AM80" s="388"/>
      <c r="AN80" s="388"/>
      <c r="AO80" s="388"/>
      <c r="AP80" s="402" t="str">
        <f t="shared" si="24"/>
        <v/>
      </c>
      <c r="AQ80" s="388"/>
      <c r="AR80" s="388"/>
      <c r="AS80" s="388"/>
      <c r="AT80" s="388"/>
      <c r="AU80" s="402" t="str">
        <f t="shared" si="25"/>
        <v/>
      </c>
      <c r="AV80" s="389"/>
      <c r="AW80" s="381"/>
      <c r="AX80" s="381"/>
      <c r="AY80" s="373"/>
      <c r="AZ80" s="390"/>
      <c r="BA80" s="390"/>
      <c r="BB80" s="391"/>
      <c r="BC80" s="392"/>
      <c r="BD80" s="393"/>
      <c r="BE80" s="393"/>
      <c r="BF80" s="393"/>
      <c r="BG80" s="394"/>
      <c r="BH80" s="395"/>
      <c r="BI80" s="374"/>
      <c r="BJ80" s="374"/>
      <c r="BK80" s="374"/>
      <c r="BL80" s="389"/>
      <c r="BM80" s="397"/>
      <c r="BN80" s="389"/>
      <c r="BO80" s="419" t="str">
        <f t="shared" si="26"/>
        <v/>
      </c>
      <c r="BP80" s="389"/>
      <c r="BQ80" s="397"/>
      <c r="BR80" s="419"/>
      <c r="BS80" s="419"/>
      <c r="BT80" s="419"/>
      <c r="BU80" s="432"/>
      <c r="BV80" s="419"/>
      <c r="BW80" s="419"/>
      <c r="BX80" s="419"/>
      <c r="BY80" s="389"/>
      <c r="BZ80" s="389"/>
      <c r="CA80" s="389"/>
      <c r="CB80" s="389"/>
      <c r="CC80" s="389"/>
      <c r="CD80" s="389"/>
      <c r="CE80" s="389"/>
      <c r="CF80" s="389"/>
      <c r="CG80" s="389"/>
      <c r="CH80" s="389"/>
      <c r="CI80" s="389"/>
      <c r="CJ80" s="422"/>
      <c r="CK80" s="422"/>
      <c r="CL80" s="422"/>
      <c r="CM80" s="422"/>
      <c r="CN80" s="422"/>
      <c r="CO80" s="422"/>
      <c r="CP80" s="422"/>
      <c r="CQ80" s="433" t="s">
        <v>499</v>
      </c>
      <c r="CR80" s="431" t="str">
        <f t="shared" si="32"/>
        <v/>
      </c>
      <c r="CS80" s="35" t="str">
        <f t="shared" si="33"/>
        <v>Direct or WHSE.</v>
      </c>
      <c r="CT80" s="411"/>
      <c r="CW80" s="153" t="str">
        <f t="shared" si="34"/>
        <v/>
      </c>
      <c r="CX80" s="153" t="str">
        <f t="shared" si="35"/>
        <v/>
      </c>
      <c r="CY80" s="153" t="str">
        <f t="shared" si="36"/>
        <v/>
      </c>
      <c r="DA80" s="423" t="s">
        <v>213</v>
      </c>
      <c r="DB80" s="23">
        <v>2.5</v>
      </c>
    </row>
    <row r="81" spans="1:106" ht="19.5" customHeight="1">
      <c r="A81" s="10">
        <v>59</v>
      </c>
      <c r="B81" s="373"/>
      <c r="C81" s="373"/>
      <c r="D81" s="396"/>
      <c r="E81" s="375"/>
      <c r="F81" s="373"/>
      <c r="G81" s="373"/>
      <c r="H81" s="376"/>
      <c r="I81" s="377"/>
      <c r="J81" s="378"/>
      <c r="K81" s="379"/>
      <c r="L81" s="374"/>
      <c r="M81" s="380" t="str">
        <f t="shared" ca="1" si="9"/>
        <v/>
      </c>
      <c r="N81" s="373"/>
      <c r="O81" s="381"/>
      <c r="P81" s="381"/>
      <c r="Q81" s="382"/>
      <c r="R81" s="381"/>
      <c r="S81" s="383"/>
      <c r="T81" s="384" t="str">
        <f t="shared" si="10"/>
        <v/>
      </c>
      <c r="U81" s="385"/>
      <c r="V81" s="384" t="str">
        <f t="shared" si="5"/>
        <v/>
      </c>
      <c r="W81" s="386"/>
      <c r="X81" s="386" t="str">
        <f t="shared" si="11"/>
        <v/>
      </c>
      <c r="Y81" s="386" t="str">
        <f t="shared" si="12"/>
        <v/>
      </c>
      <c r="Z81" s="386" t="str">
        <f t="shared" si="13"/>
        <v/>
      </c>
      <c r="AA81" s="387"/>
      <c r="AB81" s="386" t="str">
        <f t="shared" si="14"/>
        <v/>
      </c>
      <c r="AC81" s="386" t="str">
        <f t="shared" si="15"/>
        <v/>
      </c>
      <c r="AD81" s="386" t="str">
        <f t="shared" si="16"/>
        <v/>
      </c>
      <c r="AE81" s="386" t="str">
        <f t="shared" si="17"/>
        <v/>
      </c>
      <c r="AF81" s="386" t="str">
        <f t="shared" si="18"/>
        <v/>
      </c>
      <c r="AG81" s="386" t="str">
        <f t="shared" si="19"/>
        <v/>
      </c>
      <c r="AH81" s="386" t="str">
        <f t="shared" si="20"/>
        <v/>
      </c>
      <c r="AI81" s="386" t="str">
        <f t="shared" si="21"/>
        <v/>
      </c>
      <c r="AJ81" s="386" t="str">
        <f t="shared" si="22"/>
        <v/>
      </c>
      <c r="AK81" s="386" t="str">
        <f t="shared" si="23"/>
        <v/>
      </c>
      <c r="AL81" s="388"/>
      <c r="AM81" s="388"/>
      <c r="AN81" s="388"/>
      <c r="AO81" s="388"/>
      <c r="AP81" s="402" t="str">
        <f t="shared" si="24"/>
        <v/>
      </c>
      <c r="AQ81" s="388"/>
      <c r="AR81" s="388"/>
      <c r="AS81" s="388"/>
      <c r="AT81" s="388"/>
      <c r="AU81" s="402" t="str">
        <f t="shared" si="25"/>
        <v/>
      </c>
      <c r="AV81" s="389"/>
      <c r="AW81" s="381"/>
      <c r="AX81" s="381"/>
      <c r="AY81" s="373"/>
      <c r="AZ81" s="390"/>
      <c r="BA81" s="390"/>
      <c r="BB81" s="391"/>
      <c r="BC81" s="392"/>
      <c r="BD81" s="393"/>
      <c r="BE81" s="393"/>
      <c r="BF81" s="393"/>
      <c r="BG81" s="394"/>
      <c r="BH81" s="395"/>
      <c r="BI81" s="374"/>
      <c r="BJ81" s="374"/>
      <c r="BK81" s="374"/>
      <c r="BL81" s="389"/>
      <c r="BM81" s="397"/>
      <c r="BN81" s="389"/>
      <c r="BO81" s="419" t="str">
        <f t="shared" si="26"/>
        <v/>
      </c>
      <c r="BP81" s="389"/>
      <c r="BQ81" s="397"/>
      <c r="BR81" s="419"/>
      <c r="BS81" s="419"/>
      <c r="BT81" s="419"/>
      <c r="BU81" s="432"/>
      <c r="BV81" s="419"/>
      <c r="BW81" s="419"/>
      <c r="BX81" s="419"/>
      <c r="BY81" s="389"/>
      <c r="BZ81" s="389"/>
      <c r="CA81" s="389"/>
      <c r="CB81" s="389"/>
      <c r="CC81" s="389"/>
      <c r="CD81" s="389"/>
      <c r="CE81" s="389"/>
      <c r="CF81" s="389"/>
      <c r="CG81" s="389"/>
      <c r="CH81" s="389"/>
      <c r="CI81" s="389"/>
      <c r="CJ81" s="422"/>
      <c r="CK81" s="422"/>
      <c r="CL81" s="422"/>
      <c r="CM81" s="422"/>
      <c r="CN81" s="422"/>
      <c r="CO81" s="422"/>
      <c r="CP81" s="422"/>
      <c r="CQ81" s="433" t="s">
        <v>500</v>
      </c>
      <c r="CR81" s="431" t="str">
        <f t="shared" si="32"/>
        <v/>
      </c>
      <c r="CS81" s="35" t="str">
        <f t="shared" si="33"/>
        <v>Direct or WHSE.</v>
      </c>
      <c r="CT81" s="411"/>
      <c r="CW81" s="153" t="str">
        <f t="shared" si="34"/>
        <v/>
      </c>
      <c r="CX81" s="153" t="str">
        <f t="shared" si="35"/>
        <v/>
      </c>
      <c r="CY81" s="153" t="str">
        <f t="shared" si="36"/>
        <v/>
      </c>
      <c r="DA81" s="423" t="s">
        <v>210</v>
      </c>
      <c r="DB81" s="23">
        <v>0.5</v>
      </c>
    </row>
    <row r="82" spans="1:106" ht="19.5" customHeight="1">
      <c r="A82" s="10">
        <v>60</v>
      </c>
      <c r="B82" s="373"/>
      <c r="C82" s="373"/>
      <c r="D82" s="396"/>
      <c r="E82" s="375"/>
      <c r="F82" s="373"/>
      <c r="G82" s="373"/>
      <c r="H82" s="376"/>
      <c r="I82" s="377"/>
      <c r="J82" s="378"/>
      <c r="K82" s="379"/>
      <c r="L82" s="374"/>
      <c r="M82" s="380" t="str">
        <f t="shared" ca="1" si="9"/>
        <v/>
      </c>
      <c r="N82" s="373"/>
      <c r="O82" s="381"/>
      <c r="P82" s="381"/>
      <c r="Q82" s="382"/>
      <c r="R82" s="381"/>
      <c r="S82" s="383"/>
      <c r="T82" s="384" t="str">
        <f t="shared" si="10"/>
        <v/>
      </c>
      <c r="U82" s="385"/>
      <c r="V82" s="384" t="str">
        <f t="shared" si="5"/>
        <v/>
      </c>
      <c r="W82" s="386"/>
      <c r="X82" s="386" t="str">
        <f t="shared" si="11"/>
        <v/>
      </c>
      <c r="Y82" s="386" t="str">
        <f t="shared" si="12"/>
        <v/>
      </c>
      <c r="Z82" s="386" t="str">
        <f t="shared" si="13"/>
        <v/>
      </c>
      <c r="AA82" s="387"/>
      <c r="AB82" s="386" t="str">
        <f t="shared" si="14"/>
        <v/>
      </c>
      <c r="AC82" s="386" t="str">
        <f t="shared" si="15"/>
        <v/>
      </c>
      <c r="AD82" s="386" t="str">
        <f t="shared" si="16"/>
        <v/>
      </c>
      <c r="AE82" s="386" t="str">
        <f t="shared" si="17"/>
        <v/>
      </c>
      <c r="AF82" s="386" t="str">
        <f t="shared" si="18"/>
        <v/>
      </c>
      <c r="AG82" s="386" t="str">
        <f t="shared" si="19"/>
        <v/>
      </c>
      <c r="AH82" s="386" t="str">
        <f t="shared" si="20"/>
        <v/>
      </c>
      <c r="AI82" s="386" t="str">
        <f t="shared" si="21"/>
        <v/>
      </c>
      <c r="AJ82" s="386" t="str">
        <f t="shared" si="22"/>
        <v/>
      </c>
      <c r="AK82" s="386" t="str">
        <f t="shared" si="23"/>
        <v/>
      </c>
      <c r="AL82" s="388"/>
      <c r="AM82" s="388"/>
      <c r="AN82" s="388"/>
      <c r="AO82" s="388"/>
      <c r="AP82" s="402" t="str">
        <f t="shared" si="24"/>
        <v/>
      </c>
      <c r="AQ82" s="388"/>
      <c r="AR82" s="388"/>
      <c r="AS82" s="388"/>
      <c r="AT82" s="388"/>
      <c r="AU82" s="402" t="str">
        <f t="shared" si="25"/>
        <v/>
      </c>
      <c r="AV82" s="389"/>
      <c r="AW82" s="381"/>
      <c r="AX82" s="381"/>
      <c r="AY82" s="373"/>
      <c r="AZ82" s="390"/>
      <c r="BA82" s="390"/>
      <c r="BB82" s="391"/>
      <c r="BC82" s="392"/>
      <c r="BD82" s="393"/>
      <c r="BE82" s="393"/>
      <c r="BF82" s="393"/>
      <c r="BG82" s="394"/>
      <c r="BH82" s="395"/>
      <c r="BI82" s="374"/>
      <c r="BJ82" s="374"/>
      <c r="BK82" s="374"/>
      <c r="BL82" s="389"/>
      <c r="BM82" s="397"/>
      <c r="BN82" s="389"/>
      <c r="BO82" s="419" t="str">
        <f t="shared" si="26"/>
        <v/>
      </c>
      <c r="BP82" s="389"/>
      <c r="BQ82" s="397"/>
      <c r="BR82" s="419"/>
      <c r="BS82" s="419"/>
      <c r="BT82" s="419"/>
      <c r="BU82" s="432"/>
      <c r="BV82" s="419"/>
      <c r="BW82" s="419"/>
      <c r="BX82" s="419"/>
      <c r="BY82" s="389"/>
      <c r="BZ82" s="389"/>
      <c r="CA82" s="389"/>
      <c r="CB82" s="389"/>
      <c r="CC82" s="389"/>
      <c r="CD82" s="389"/>
      <c r="CE82" s="389"/>
      <c r="CF82" s="389"/>
      <c r="CG82" s="389"/>
      <c r="CH82" s="389"/>
      <c r="CI82" s="389"/>
      <c r="CJ82" s="422"/>
      <c r="CK82" s="422"/>
      <c r="CL82" s="422"/>
      <c r="CM82" s="422"/>
      <c r="CN82" s="422"/>
      <c r="CO82" s="422"/>
      <c r="CP82" s="422"/>
      <c r="CQ82" s="433" t="s">
        <v>501</v>
      </c>
      <c r="CR82" s="431" t="str">
        <f t="shared" si="32"/>
        <v/>
      </c>
      <c r="CS82" s="35" t="str">
        <f t="shared" si="33"/>
        <v>Direct or WHSE.</v>
      </c>
      <c r="CT82" s="411"/>
      <c r="CW82" s="153" t="str">
        <f t="shared" si="34"/>
        <v/>
      </c>
      <c r="CX82" s="153" t="str">
        <f t="shared" si="35"/>
        <v/>
      </c>
      <c r="CY82" s="153" t="str">
        <f t="shared" si="36"/>
        <v/>
      </c>
      <c r="DA82" s="423" t="s">
        <v>214</v>
      </c>
      <c r="DB82" s="23">
        <v>3</v>
      </c>
    </row>
    <row r="83" spans="1:106" ht="19.5" customHeight="1">
      <c r="A83" s="10">
        <v>61</v>
      </c>
      <c r="B83" s="373"/>
      <c r="C83" s="373"/>
      <c r="D83" s="396"/>
      <c r="E83" s="375"/>
      <c r="F83" s="373"/>
      <c r="G83" s="373"/>
      <c r="H83" s="376"/>
      <c r="I83" s="377"/>
      <c r="J83" s="378"/>
      <c r="K83" s="379"/>
      <c r="L83" s="374"/>
      <c r="M83" s="380" t="str">
        <f t="shared" ca="1" si="9"/>
        <v/>
      </c>
      <c r="N83" s="373"/>
      <c r="O83" s="381"/>
      <c r="P83" s="381"/>
      <c r="Q83" s="382"/>
      <c r="R83" s="381"/>
      <c r="S83" s="383"/>
      <c r="T83" s="384" t="str">
        <f t="shared" si="10"/>
        <v/>
      </c>
      <c r="U83" s="385"/>
      <c r="V83" s="384" t="str">
        <f t="shared" si="5"/>
        <v/>
      </c>
      <c r="W83" s="386"/>
      <c r="X83" s="386" t="str">
        <f t="shared" si="11"/>
        <v/>
      </c>
      <c r="Y83" s="386" t="str">
        <f t="shared" si="12"/>
        <v/>
      </c>
      <c r="Z83" s="386" t="str">
        <f t="shared" si="13"/>
        <v/>
      </c>
      <c r="AA83" s="387"/>
      <c r="AB83" s="386" t="str">
        <f t="shared" si="14"/>
        <v/>
      </c>
      <c r="AC83" s="386" t="str">
        <f t="shared" si="15"/>
        <v/>
      </c>
      <c r="AD83" s="386" t="str">
        <f t="shared" si="16"/>
        <v/>
      </c>
      <c r="AE83" s="386" t="str">
        <f t="shared" si="17"/>
        <v/>
      </c>
      <c r="AF83" s="386" t="str">
        <f t="shared" si="18"/>
        <v/>
      </c>
      <c r="AG83" s="386" t="str">
        <f t="shared" si="19"/>
        <v/>
      </c>
      <c r="AH83" s="386" t="str">
        <f t="shared" si="20"/>
        <v/>
      </c>
      <c r="AI83" s="386" t="str">
        <f t="shared" si="21"/>
        <v/>
      </c>
      <c r="AJ83" s="386" t="str">
        <f t="shared" si="22"/>
        <v/>
      </c>
      <c r="AK83" s="386" t="str">
        <f t="shared" si="23"/>
        <v/>
      </c>
      <c r="AL83" s="388"/>
      <c r="AM83" s="388"/>
      <c r="AN83" s="388"/>
      <c r="AO83" s="388"/>
      <c r="AP83" s="402" t="str">
        <f t="shared" si="24"/>
        <v/>
      </c>
      <c r="AQ83" s="388"/>
      <c r="AR83" s="388"/>
      <c r="AS83" s="388"/>
      <c r="AT83" s="388"/>
      <c r="AU83" s="402" t="str">
        <f t="shared" si="25"/>
        <v/>
      </c>
      <c r="AV83" s="389"/>
      <c r="AW83" s="381"/>
      <c r="AX83" s="381"/>
      <c r="AY83" s="373"/>
      <c r="AZ83" s="390"/>
      <c r="BA83" s="390"/>
      <c r="BB83" s="391"/>
      <c r="BC83" s="392"/>
      <c r="BD83" s="393"/>
      <c r="BE83" s="393"/>
      <c r="BF83" s="393"/>
      <c r="BG83" s="394"/>
      <c r="BH83" s="395"/>
      <c r="BI83" s="374"/>
      <c r="BJ83" s="374"/>
      <c r="BK83" s="374"/>
      <c r="BL83" s="389"/>
      <c r="BM83" s="397"/>
      <c r="BN83" s="389"/>
      <c r="BO83" s="419" t="str">
        <f t="shared" si="26"/>
        <v/>
      </c>
      <c r="BP83" s="389"/>
      <c r="BQ83" s="397"/>
      <c r="BR83" s="419"/>
      <c r="BS83" s="419"/>
      <c r="BT83" s="419"/>
      <c r="BU83" s="432"/>
      <c r="BV83" s="419"/>
      <c r="BW83" s="419"/>
      <c r="BX83" s="419"/>
      <c r="BY83" s="389"/>
      <c r="BZ83" s="389"/>
      <c r="CA83" s="389"/>
      <c r="CB83" s="389"/>
      <c r="CC83" s="389"/>
      <c r="CD83" s="389"/>
      <c r="CE83" s="389"/>
      <c r="CF83" s="389"/>
      <c r="CG83" s="389"/>
      <c r="CH83" s="389"/>
      <c r="CI83" s="389"/>
      <c r="CJ83" s="422"/>
      <c r="CK83" s="422"/>
      <c r="CL83" s="422"/>
      <c r="CM83" s="422"/>
      <c r="CN83" s="422"/>
      <c r="CO83" s="422"/>
      <c r="CP83" s="422"/>
      <c r="CQ83" s="433" t="s">
        <v>121</v>
      </c>
      <c r="CR83" s="431" t="str">
        <f t="shared" si="32"/>
        <v/>
      </c>
      <c r="CS83" s="35" t="str">
        <f t="shared" si="33"/>
        <v>Direct or WHSE.</v>
      </c>
      <c r="CT83" s="411"/>
      <c r="CW83" s="153" t="str">
        <f t="shared" si="34"/>
        <v/>
      </c>
      <c r="CX83" s="153" t="str">
        <f t="shared" si="35"/>
        <v/>
      </c>
      <c r="CY83" s="153" t="str">
        <f t="shared" si="36"/>
        <v/>
      </c>
      <c r="DA83" s="423" t="s">
        <v>205</v>
      </c>
      <c r="DB83" s="23">
        <v>2</v>
      </c>
    </row>
    <row r="84" spans="1:106" ht="19.5" customHeight="1">
      <c r="A84" s="10">
        <v>62</v>
      </c>
      <c r="B84" s="373"/>
      <c r="C84" s="373"/>
      <c r="D84" s="396"/>
      <c r="E84" s="375"/>
      <c r="F84" s="373"/>
      <c r="G84" s="373"/>
      <c r="H84" s="376"/>
      <c r="I84" s="377"/>
      <c r="J84" s="378"/>
      <c r="K84" s="379"/>
      <c r="L84" s="374"/>
      <c r="M84" s="380" t="str">
        <f t="shared" ca="1" si="9"/>
        <v/>
      </c>
      <c r="N84" s="373"/>
      <c r="O84" s="381"/>
      <c r="P84" s="381"/>
      <c r="Q84" s="382"/>
      <c r="R84" s="381"/>
      <c r="S84" s="383"/>
      <c r="T84" s="384" t="str">
        <f t="shared" si="10"/>
        <v/>
      </c>
      <c r="U84" s="385"/>
      <c r="V84" s="384" t="str">
        <f t="shared" si="5"/>
        <v/>
      </c>
      <c r="W84" s="386"/>
      <c r="X84" s="386" t="str">
        <f t="shared" si="11"/>
        <v/>
      </c>
      <c r="Y84" s="386" t="str">
        <f t="shared" si="12"/>
        <v/>
      </c>
      <c r="Z84" s="386" t="str">
        <f t="shared" si="13"/>
        <v/>
      </c>
      <c r="AA84" s="387"/>
      <c r="AB84" s="386" t="str">
        <f t="shared" si="14"/>
        <v/>
      </c>
      <c r="AC84" s="386" t="str">
        <f t="shared" si="15"/>
        <v/>
      </c>
      <c r="AD84" s="386" t="str">
        <f t="shared" si="16"/>
        <v/>
      </c>
      <c r="AE84" s="386" t="str">
        <f t="shared" si="17"/>
        <v/>
      </c>
      <c r="AF84" s="386" t="str">
        <f t="shared" si="18"/>
        <v/>
      </c>
      <c r="AG84" s="386" t="str">
        <f t="shared" si="19"/>
        <v/>
      </c>
      <c r="AH84" s="386" t="str">
        <f t="shared" si="20"/>
        <v/>
      </c>
      <c r="AI84" s="386" t="str">
        <f t="shared" si="21"/>
        <v/>
      </c>
      <c r="AJ84" s="386" t="str">
        <f t="shared" si="22"/>
        <v/>
      </c>
      <c r="AK84" s="386" t="str">
        <f t="shared" si="23"/>
        <v/>
      </c>
      <c r="AL84" s="388"/>
      <c r="AM84" s="388"/>
      <c r="AN84" s="388"/>
      <c r="AO84" s="388"/>
      <c r="AP84" s="402" t="str">
        <f t="shared" si="24"/>
        <v/>
      </c>
      <c r="AQ84" s="388"/>
      <c r="AR84" s="388"/>
      <c r="AS84" s="388"/>
      <c r="AT84" s="388"/>
      <c r="AU84" s="402" t="str">
        <f t="shared" si="25"/>
        <v/>
      </c>
      <c r="AV84" s="389"/>
      <c r="AW84" s="381"/>
      <c r="AX84" s="381"/>
      <c r="AY84" s="373"/>
      <c r="AZ84" s="390"/>
      <c r="BA84" s="390"/>
      <c r="BB84" s="391"/>
      <c r="BC84" s="392"/>
      <c r="BD84" s="393"/>
      <c r="BE84" s="393"/>
      <c r="BF84" s="393"/>
      <c r="BG84" s="394"/>
      <c r="BH84" s="395"/>
      <c r="BI84" s="374"/>
      <c r="BJ84" s="374"/>
      <c r="BK84" s="374"/>
      <c r="BL84" s="389"/>
      <c r="BM84" s="397"/>
      <c r="BN84" s="389"/>
      <c r="BO84" s="419" t="str">
        <f t="shared" si="26"/>
        <v/>
      </c>
      <c r="BP84" s="389"/>
      <c r="BQ84" s="397"/>
      <c r="BR84" s="419"/>
      <c r="BS84" s="419"/>
      <c r="BT84" s="419"/>
      <c r="BU84" s="432"/>
      <c r="BV84" s="419"/>
      <c r="BW84" s="419"/>
      <c r="BX84" s="419"/>
      <c r="BY84" s="389"/>
      <c r="BZ84" s="389"/>
      <c r="CA84" s="389"/>
      <c r="CB84" s="389"/>
      <c r="CC84" s="389"/>
      <c r="CD84" s="389"/>
      <c r="CE84" s="389"/>
      <c r="CF84" s="389"/>
      <c r="CG84" s="389"/>
      <c r="CH84" s="389"/>
      <c r="CI84" s="389"/>
      <c r="CJ84" s="422"/>
      <c r="CK84" s="422"/>
      <c r="CL84" s="422"/>
      <c r="CM84" s="422"/>
      <c r="CN84" s="422"/>
      <c r="CO84" s="422"/>
      <c r="CP84" s="422"/>
      <c r="CQ84" s="433" t="s">
        <v>502</v>
      </c>
      <c r="CR84" s="431" t="str">
        <f t="shared" si="32"/>
        <v/>
      </c>
      <c r="CS84" s="35" t="str">
        <f t="shared" si="33"/>
        <v>Direct or WHSE.</v>
      </c>
      <c r="CT84" s="411"/>
      <c r="CW84" s="153" t="str">
        <f t="shared" si="34"/>
        <v/>
      </c>
      <c r="CX84" s="153" t="str">
        <f t="shared" si="35"/>
        <v/>
      </c>
      <c r="CY84" s="153" t="str">
        <f t="shared" si="36"/>
        <v/>
      </c>
      <c r="DA84" s="423" t="s">
        <v>206</v>
      </c>
      <c r="DB84" s="23">
        <v>1.5</v>
      </c>
    </row>
    <row r="85" spans="1:106" ht="19.5" customHeight="1">
      <c r="A85" s="10">
        <v>63</v>
      </c>
      <c r="B85" s="373"/>
      <c r="C85" s="373"/>
      <c r="D85" s="396"/>
      <c r="E85" s="375"/>
      <c r="F85" s="373"/>
      <c r="G85" s="373"/>
      <c r="H85" s="376"/>
      <c r="I85" s="377"/>
      <c r="J85" s="378"/>
      <c r="K85" s="379"/>
      <c r="L85" s="374"/>
      <c r="M85" s="380" t="str">
        <f t="shared" ca="1" si="9"/>
        <v/>
      </c>
      <c r="N85" s="373"/>
      <c r="O85" s="381"/>
      <c r="P85" s="381"/>
      <c r="Q85" s="382"/>
      <c r="R85" s="381"/>
      <c r="S85" s="383"/>
      <c r="T85" s="384" t="str">
        <f t="shared" si="10"/>
        <v/>
      </c>
      <c r="U85" s="385"/>
      <c r="V85" s="384" t="str">
        <f t="shared" si="5"/>
        <v/>
      </c>
      <c r="W85" s="386"/>
      <c r="X85" s="386" t="str">
        <f t="shared" si="11"/>
        <v/>
      </c>
      <c r="Y85" s="386" t="str">
        <f t="shared" si="12"/>
        <v/>
      </c>
      <c r="Z85" s="386" t="str">
        <f t="shared" si="13"/>
        <v/>
      </c>
      <c r="AA85" s="387"/>
      <c r="AB85" s="386" t="str">
        <f t="shared" si="14"/>
        <v/>
      </c>
      <c r="AC85" s="386" t="str">
        <f t="shared" si="15"/>
        <v/>
      </c>
      <c r="AD85" s="386" t="str">
        <f t="shared" si="16"/>
        <v/>
      </c>
      <c r="AE85" s="386" t="str">
        <f t="shared" si="17"/>
        <v/>
      </c>
      <c r="AF85" s="386" t="str">
        <f t="shared" si="18"/>
        <v/>
      </c>
      <c r="AG85" s="386" t="str">
        <f t="shared" si="19"/>
        <v/>
      </c>
      <c r="AH85" s="386" t="str">
        <f t="shared" si="20"/>
        <v/>
      </c>
      <c r="AI85" s="386" t="str">
        <f t="shared" si="21"/>
        <v/>
      </c>
      <c r="AJ85" s="386" t="str">
        <f t="shared" si="22"/>
        <v/>
      </c>
      <c r="AK85" s="386" t="str">
        <f t="shared" si="23"/>
        <v/>
      </c>
      <c r="AL85" s="388"/>
      <c r="AM85" s="388"/>
      <c r="AN85" s="388"/>
      <c r="AO85" s="388"/>
      <c r="AP85" s="402" t="str">
        <f t="shared" si="24"/>
        <v/>
      </c>
      <c r="AQ85" s="388"/>
      <c r="AR85" s="388"/>
      <c r="AS85" s="388"/>
      <c r="AT85" s="388"/>
      <c r="AU85" s="402" t="str">
        <f t="shared" si="25"/>
        <v/>
      </c>
      <c r="AV85" s="389"/>
      <c r="AW85" s="381"/>
      <c r="AX85" s="381"/>
      <c r="AY85" s="373"/>
      <c r="AZ85" s="390"/>
      <c r="BA85" s="390"/>
      <c r="BB85" s="391"/>
      <c r="BC85" s="392"/>
      <c r="BD85" s="393"/>
      <c r="BE85" s="393"/>
      <c r="BF85" s="393"/>
      <c r="BG85" s="394"/>
      <c r="BH85" s="395"/>
      <c r="BI85" s="374"/>
      <c r="BJ85" s="374"/>
      <c r="BK85" s="374"/>
      <c r="BL85" s="389"/>
      <c r="BM85" s="397"/>
      <c r="BN85" s="389"/>
      <c r="BO85" s="419" t="str">
        <f t="shared" si="26"/>
        <v/>
      </c>
      <c r="BP85" s="389"/>
      <c r="BQ85" s="397"/>
      <c r="BR85" s="419"/>
      <c r="BS85" s="419"/>
      <c r="BT85" s="419"/>
      <c r="BU85" s="432"/>
      <c r="BV85" s="419"/>
      <c r="BW85" s="419"/>
      <c r="BX85" s="419"/>
      <c r="BY85" s="389"/>
      <c r="BZ85" s="389"/>
      <c r="CA85" s="389"/>
      <c r="CB85" s="389"/>
      <c r="CC85" s="389"/>
      <c r="CD85" s="389"/>
      <c r="CE85" s="389"/>
      <c r="CF85" s="389"/>
      <c r="CG85" s="389"/>
      <c r="CH85" s="389"/>
      <c r="CI85" s="389"/>
      <c r="CJ85" s="422"/>
      <c r="CK85" s="422"/>
      <c r="CL85" s="422"/>
      <c r="CM85" s="422"/>
      <c r="CN85" s="422"/>
      <c r="CO85" s="422"/>
      <c r="CP85" s="422"/>
      <c r="CQ85" s="432"/>
      <c r="CR85" s="431" t="str">
        <f t="shared" si="32"/>
        <v/>
      </c>
      <c r="CS85" s="35" t="str">
        <f t="shared" si="33"/>
        <v>Direct or WHSE.</v>
      </c>
      <c r="CT85" s="411"/>
      <c r="CW85" s="153" t="str">
        <f t="shared" si="34"/>
        <v/>
      </c>
      <c r="CX85" s="153" t="str">
        <f t="shared" si="35"/>
        <v/>
      </c>
      <c r="CY85" s="153" t="str">
        <f t="shared" si="36"/>
        <v/>
      </c>
      <c r="DA85" s="423" t="s">
        <v>221</v>
      </c>
      <c r="DB85" s="23">
        <v>2.5</v>
      </c>
    </row>
    <row r="86" spans="1:106" ht="19.5" customHeight="1">
      <c r="A86" s="10">
        <v>64</v>
      </c>
      <c r="B86" s="373"/>
      <c r="C86" s="373"/>
      <c r="D86" s="396"/>
      <c r="E86" s="375"/>
      <c r="F86" s="373"/>
      <c r="G86" s="373"/>
      <c r="H86" s="376"/>
      <c r="I86" s="377"/>
      <c r="J86" s="378"/>
      <c r="K86" s="379"/>
      <c r="L86" s="374"/>
      <c r="M86" s="380" t="str">
        <f t="shared" ca="1" si="9"/>
        <v/>
      </c>
      <c r="N86" s="373"/>
      <c r="O86" s="381"/>
      <c r="P86" s="381"/>
      <c r="Q86" s="382"/>
      <c r="R86" s="381"/>
      <c r="S86" s="383"/>
      <c r="T86" s="384" t="str">
        <f t="shared" si="10"/>
        <v/>
      </c>
      <c r="U86" s="385"/>
      <c r="V86" s="384" t="str">
        <f t="shared" si="5"/>
        <v/>
      </c>
      <c r="W86" s="386"/>
      <c r="X86" s="386" t="str">
        <f t="shared" si="11"/>
        <v/>
      </c>
      <c r="Y86" s="386" t="str">
        <f t="shared" si="12"/>
        <v/>
      </c>
      <c r="Z86" s="386" t="str">
        <f t="shared" si="13"/>
        <v/>
      </c>
      <c r="AA86" s="387"/>
      <c r="AB86" s="386" t="str">
        <f t="shared" si="14"/>
        <v/>
      </c>
      <c r="AC86" s="386" t="str">
        <f t="shared" si="15"/>
        <v/>
      </c>
      <c r="AD86" s="386" t="str">
        <f t="shared" si="16"/>
        <v/>
      </c>
      <c r="AE86" s="386" t="str">
        <f t="shared" si="17"/>
        <v/>
      </c>
      <c r="AF86" s="386" t="str">
        <f t="shared" si="18"/>
        <v/>
      </c>
      <c r="AG86" s="386" t="str">
        <f t="shared" si="19"/>
        <v/>
      </c>
      <c r="AH86" s="386" t="str">
        <f t="shared" si="20"/>
        <v/>
      </c>
      <c r="AI86" s="386" t="str">
        <f t="shared" si="21"/>
        <v/>
      </c>
      <c r="AJ86" s="386" t="str">
        <f t="shared" si="22"/>
        <v/>
      </c>
      <c r="AK86" s="386" t="str">
        <f t="shared" si="23"/>
        <v/>
      </c>
      <c r="AL86" s="388"/>
      <c r="AM86" s="388"/>
      <c r="AN86" s="388"/>
      <c r="AO86" s="388"/>
      <c r="AP86" s="402" t="str">
        <f t="shared" si="24"/>
        <v/>
      </c>
      <c r="AQ86" s="388"/>
      <c r="AR86" s="388"/>
      <c r="AS86" s="388"/>
      <c r="AT86" s="388"/>
      <c r="AU86" s="402" t="str">
        <f t="shared" si="25"/>
        <v/>
      </c>
      <c r="AV86" s="389"/>
      <c r="AW86" s="381"/>
      <c r="AX86" s="381"/>
      <c r="AY86" s="373"/>
      <c r="AZ86" s="390"/>
      <c r="BA86" s="390"/>
      <c r="BB86" s="391"/>
      <c r="BC86" s="392"/>
      <c r="BD86" s="393"/>
      <c r="BE86" s="393"/>
      <c r="BF86" s="393"/>
      <c r="BG86" s="394"/>
      <c r="BH86" s="395"/>
      <c r="BI86" s="374"/>
      <c r="BJ86" s="374"/>
      <c r="BK86" s="374"/>
      <c r="BL86" s="389"/>
      <c r="BM86" s="397"/>
      <c r="BN86" s="389"/>
      <c r="BO86" s="419" t="str">
        <f t="shared" si="26"/>
        <v/>
      </c>
      <c r="BP86" s="389"/>
      <c r="BQ86" s="397"/>
      <c r="BR86" s="419"/>
      <c r="BS86" s="419"/>
      <c r="BT86" s="419"/>
      <c r="BU86" s="432"/>
      <c r="BV86" s="419"/>
      <c r="BW86" s="419"/>
      <c r="BX86" s="419"/>
      <c r="BY86" s="389"/>
      <c r="BZ86" s="389"/>
      <c r="CA86" s="389"/>
      <c r="CB86" s="389"/>
      <c r="CC86" s="389"/>
      <c r="CD86" s="389"/>
      <c r="CE86" s="389"/>
      <c r="CF86" s="389"/>
      <c r="CG86" s="389"/>
      <c r="CH86" s="389"/>
      <c r="CI86" s="389"/>
      <c r="CJ86" s="422"/>
      <c r="CK86" s="422"/>
      <c r="CL86" s="422"/>
      <c r="CM86" s="422"/>
      <c r="CN86" s="422"/>
      <c r="CO86" s="422"/>
      <c r="CP86" s="422"/>
      <c r="CQ86" s="432"/>
      <c r="CR86" s="431" t="str">
        <f t="shared" si="32"/>
        <v/>
      </c>
      <c r="CS86" s="35" t="str">
        <f t="shared" si="33"/>
        <v>Direct or WHSE.</v>
      </c>
      <c r="CT86" s="411"/>
      <c r="CW86" s="153" t="str">
        <f t="shared" si="34"/>
        <v/>
      </c>
      <c r="CX86" s="153" t="str">
        <f t="shared" si="35"/>
        <v/>
      </c>
      <c r="CY86" s="153" t="str">
        <f t="shared" si="36"/>
        <v/>
      </c>
      <c r="DA86" s="423" t="s">
        <v>222</v>
      </c>
      <c r="DB86" s="23">
        <v>1.5</v>
      </c>
    </row>
    <row r="87" spans="1:106" ht="19.5" customHeight="1">
      <c r="A87" s="10">
        <v>65</v>
      </c>
      <c r="B87" s="373"/>
      <c r="C87" s="373"/>
      <c r="D87" s="396"/>
      <c r="E87" s="375"/>
      <c r="F87" s="373"/>
      <c r="G87" s="373"/>
      <c r="H87" s="376"/>
      <c r="I87" s="377"/>
      <c r="J87" s="378"/>
      <c r="K87" s="379"/>
      <c r="L87" s="374"/>
      <c r="M87" s="380" t="str">
        <f t="shared" ca="1" si="9"/>
        <v/>
      </c>
      <c r="N87" s="373"/>
      <c r="O87" s="381"/>
      <c r="P87" s="381"/>
      <c r="Q87" s="382"/>
      <c r="R87" s="381"/>
      <c r="S87" s="383"/>
      <c r="T87" s="384" t="str">
        <f t="shared" si="10"/>
        <v/>
      </c>
      <c r="U87" s="385"/>
      <c r="V87" s="384" t="str">
        <f t="shared" si="5"/>
        <v/>
      </c>
      <c r="W87" s="386"/>
      <c r="X87" s="386" t="str">
        <f t="shared" si="11"/>
        <v/>
      </c>
      <c r="Y87" s="386" t="str">
        <f t="shared" si="12"/>
        <v/>
      </c>
      <c r="Z87" s="386" t="str">
        <f t="shared" si="13"/>
        <v/>
      </c>
      <c r="AA87" s="387"/>
      <c r="AB87" s="386" t="str">
        <f t="shared" si="14"/>
        <v/>
      </c>
      <c r="AC87" s="386" t="str">
        <f t="shared" si="15"/>
        <v/>
      </c>
      <c r="AD87" s="386" t="str">
        <f t="shared" si="16"/>
        <v/>
      </c>
      <c r="AE87" s="386" t="str">
        <f t="shared" si="17"/>
        <v/>
      </c>
      <c r="AF87" s="386" t="str">
        <f t="shared" si="18"/>
        <v/>
      </c>
      <c r="AG87" s="386" t="str">
        <f t="shared" si="19"/>
        <v/>
      </c>
      <c r="AH87" s="386" t="str">
        <f t="shared" si="20"/>
        <v/>
      </c>
      <c r="AI87" s="386" t="str">
        <f t="shared" si="21"/>
        <v/>
      </c>
      <c r="AJ87" s="386" t="str">
        <f t="shared" si="22"/>
        <v/>
      </c>
      <c r="AK87" s="386" t="str">
        <f t="shared" si="23"/>
        <v/>
      </c>
      <c r="AL87" s="388"/>
      <c r="AM87" s="388"/>
      <c r="AN87" s="388"/>
      <c r="AO87" s="388"/>
      <c r="AP87" s="402" t="str">
        <f t="shared" si="24"/>
        <v/>
      </c>
      <c r="AQ87" s="388"/>
      <c r="AR87" s="388"/>
      <c r="AS87" s="388"/>
      <c r="AT87" s="388"/>
      <c r="AU87" s="402" t="str">
        <f t="shared" si="25"/>
        <v/>
      </c>
      <c r="AV87" s="389"/>
      <c r="AW87" s="381"/>
      <c r="AX87" s="381"/>
      <c r="AY87" s="373"/>
      <c r="AZ87" s="390"/>
      <c r="BA87" s="390"/>
      <c r="BB87" s="391"/>
      <c r="BC87" s="392"/>
      <c r="BD87" s="393"/>
      <c r="BE87" s="393"/>
      <c r="BF87" s="393"/>
      <c r="BG87" s="394"/>
      <c r="BH87" s="395"/>
      <c r="BI87" s="374"/>
      <c r="BJ87" s="374"/>
      <c r="BK87" s="374"/>
      <c r="BL87" s="389"/>
      <c r="BM87" s="397"/>
      <c r="BN87" s="389"/>
      <c r="BO87" s="419" t="str">
        <f t="shared" si="26"/>
        <v/>
      </c>
      <c r="BP87" s="389"/>
      <c r="BQ87" s="397"/>
      <c r="BR87" s="419"/>
      <c r="BS87" s="419"/>
      <c r="BT87" s="419"/>
      <c r="BU87" s="432"/>
      <c r="BV87" s="419"/>
      <c r="BW87" s="419"/>
      <c r="BX87" s="419"/>
      <c r="BY87" s="389"/>
      <c r="BZ87" s="389"/>
      <c r="CA87" s="389"/>
      <c r="CB87" s="389"/>
      <c r="CC87" s="389"/>
      <c r="CD87" s="389"/>
      <c r="CE87" s="389"/>
      <c r="CF87" s="389"/>
      <c r="CG87" s="389"/>
      <c r="CH87" s="389"/>
      <c r="CI87" s="389"/>
      <c r="CJ87" s="422"/>
      <c r="CK87" s="422"/>
      <c r="CL87" s="422"/>
      <c r="CM87" s="422"/>
      <c r="CN87" s="422"/>
      <c r="CO87" s="422"/>
      <c r="CP87" s="422"/>
      <c r="CQ87" s="432"/>
      <c r="CR87" s="431" t="str">
        <f t="shared" ref="CR87:CR122" si="37">IF(N87="","",IF(MOD(N87,O87)=0,"","CASE PACK Problems"))</f>
        <v/>
      </c>
      <c r="CS87" s="35" t="str">
        <f t="shared" ref="CS87:CS122" si="38">IF($N$3="","Direct or WHSE.",IF(N87="","Need Master Pack QTY.",IF(O87="","Need Inner Pack QTY.",IF($N$3="W",IF(MOD(N87,O87)=0,"","Inner Pack is not a Multiple of the Master pack."),IF(O87="","",IF(O87=N87,"","Master PK and Inner PK don't equal."))))))</f>
        <v>Direct or WHSE.</v>
      </c>
      <c r="CT87" s="411"/>
      <c r="CW87" s="153" t="str">
        <f t="shared" ref="CW87:CW150" si="39">IF(W87="","",MOD(W87,1))</f>
        <v/>
      </c>
      <c r="CX87" s="153" t="str">
        <f t="shared" ref="CX87:CX150" si="40">IF(X87="","",MOD(X87,1))</f>
        <v/>
      </c>
      <c r="CY87" s="153" t="str">
        <f t="shared" ref="CY87:CY122" si="41">IF(W87="","",IF(W87=X87,"Match",""))</f>
        <v/>
      </c>
      <c r="DA87" s="423" t="s">
        <v>211</v>
      </c>
      <c r="DB87" s="23">
        <v>3</v>
      </c>
    </row>
    <row r="88" spans="1:106" ht="19.5" customHeight="1">
      <c r="A88" s="10">
        <v>66</v>
      </c>
      <c r="B88" s="373"/>
      <c r="C88" s="373"/>
      <c r="D88" s="396"/>
      <c r="E88" s="375"/>
      <c r="F88" s="373"/>
      <c r="G88" s="373"/>
      <c r="H88" s="376"/>
      <c r="I88" s="377"/>
      <c r="J88" s="378"/>
      <c r="K88" s="379"/>
      <c r="L88" s="374"/>
      <c r="M88" s="380" t="str">
        <f t="shared" ca="1" si="9"/>
        <v/>
      </c>
      <c r="N88" s="373"/>
      <c r="O88" s="381"/>
      <c r="P88" s="381"/>
      <c r="Q88" s="382"/>
      <c r="R88" s="381"/>
      <c r="S88" s="383"/>
      <c r="T88" s="384" t="str">
        <f t="shared" si="10"/>
        <v/>
      </c>
      <c r="U88" s="385"/>
      <c r="V88" s="384" t="str">
        <f t="shared" si="5"/>
        <v/>
      </c>
      <c r="W88" s="386"/>
      <c r="X88" s="386" t="str">
        <f t="shared" si="11"/>
        <v/>
      </c>
      <c r="Y88" s="386" t="str">
        <f t="shared" si="12"/>
        <v/>
      </c>
      <c r="Z88" s="386" t="str">
        <f t="shared" si="13"/>
        <v/>
      </c>
      <c r="AA88" s="387"/>
      <c r="AB88" s="386" t="str">
        <f t="shared" si="14"/>
        <v/>
      </c>
      <c r="AC88" s="386" t="str">
        <f t="shared" si="15"/>
        <v/>
      </c>
      <c r="AD88" s="386" t="str">
        <f t="shared" si="16"/>
        <v/>
      </c>
      <c r="AE88" s="386" t="str">
        <f t="shared" si="17"/>
        <v/>
      </c>
      <c r="AF88" s="386" t="str">
        <f t="shared" si="18"/>
        <v/>
      </c>
      <c r="AG88" s="386" t="str">
        <f t="shared" si="19"/>
        <v/>
      </c>
      <c r="AH88" s="386" t="str">
        <f t="shared" si="20"/>
        <v/>
      </c>
      <c r="AI88" s="386" t="str">
        <f t="shared" si="21"/>
        <v/>
      </c>
      <c r="AJ88" s="386" t="str">
        <f t="shared" si="22"/>
        <v/>
      </c>
      <c r="AK88" s="386" t="str">
        <f t="shared" si="23"/>
        <v/>
      </c>
      <c r="AL88" s="388"/>
      <c r="AM88" s="388"/>
      <c r="AN88" s="388"/>
      <c r="AO88" s="388"/>
      <c r="AP88" s="402" t="str">
        <f t="shared" si="24"/>
        <v/>
      </c>
      <c r="AQ88" s="388"/>
      <c r="AR88" s="388"/>
      <c r="AS88" s="388"/>
      <c r="AT88" s="388"/>
      <c r="AU88" s="402" t="str">
        <f t="shared" si="25"/>
        <v/>
      </c>
      <c r="AV88" s="389"/>
      <c r="AW88" s="381"/>
      <c r="AX88" s="381"/>
      <c r="AY88" s="373"/>
      <c r="AZ88" s="390"/>
      <c r="BA88" s="390"/>
      <c r="BB88" s="391"/>
      <c r="BC88" s="392"/>
      <c r="BD88" s="393"/>
      <c r="BE88" s="393"/>
      <c r="BF88" s="393"/>
      <c r="BG88" s="394"/>
      <c r="BH88" s="395"/>
      <c r="BI88" s="374"/>
      <c r="BJ88" s="374"/>
      <c r="BK88" s="374"/>
      <c r="BL88" s="389"/>
      <c r="BM88" s="397"/>
      <c r="BN88" s="389"/>
      <c r="BO88" s="419" t="str">
        <f t="shared" si="26"/>
        <v/>
      </c>
      <c r="BP88" s="389"/>
      <c r="BQ88" s="397"/>
      <c r="BR88" s="419"/>
      <c r="BS88" s="419"/>
      <c r="BT88" s="419"/>
      <c r="BU88" s="432"/>
      <c r="BV88" s="419"/>
      <c r="BW88" s="419"/>
      <c r="BX88" s="419"/>
      <c r="BY88" s="389"/>
      <c r="BZ88" s="389"/>
      <c r="CA88" s="389"/>
      <c r="CB88" s="389"/>
      <c r="CC88" s="389"/>
      <c r="CD88" s="389"/>
      <c r="CE88" s="389"/>
      <c r="CF88" s="389"/>
      <c r="CG88" s="389"/>
      <c r="CH88" s="389"/>
      <c r="CI88" s="389"/>
      <c r="CJ88" s="422"/>
      <c r="CK88" s="422"/>
      <c r="CL88" s="422"/>
      <c r="CM88" s="422"/>
      <c r="CN88" s="422"/>
      <c r="CO88" s="422"/>
      <c r="CP88" s="422"/>
      <c r="CQ88" s="432"/>
      <c r="CR88" s="431" t="str">
        <f t="shared" si="37"/>
        <v/>
      </c>
      <c r="CS88" s="35" t="str">
        <f t="shared" si="38"/>
        <v>Direct or WHSE.</v>
      </c>
      <c r="CT88" s="411"/>
      <c r="CW88" s="153" t="str">
        <f t="shared" si="39"/>
        <v/>
      </c>
      <c r="CX88" s="153" t="str">
        <f t="shared" si="40"/>
        <v/>
      </c>
      <c r="CY88" s="153" t="str">
        <f t="shared" si="41"/>
        <v/>
      </c>
      <c r="DA88" s="423" t="s">
        <v>215</v>
      </c>
      <c r="DB88" s="23">
        <v>3.5</v>
      </c>
    </row>
    <row r="89" spans="1:106" ht="19.5" customHeight="1">
      <c r="A89" s="10">
        <v>67</v>
      </c>
      <c r="B89" s="373"/>
      <c r="C89" s="373"/>
      <c r="D89" s="396"/>
      <c r="E89" s="375"/>
      <c r="F89" s="373"/>
      <c r="G89" s="373"/>
      <c r="H89" s="376"/>
      <c r="I89" s="377"/>
      <c r="J89" s="378"/>
      <c r="K89" s="379"/>
      <c r="L89" s="374"/>
      <c r="M89" s="380" t="str">
        <f t="shared" ref="M89:M152" ca="1" si="42">IF(L89="","",TODAY()+L89+14)</f>
        <v/>
      </c>
      <c r="N89" s="373"/>
      <c r="O89" s="381"/>
      <c r="P89" s="381"/>
      <c r="Q89" s="382"/>
      <c r="R89" s="381"/>
      <c r="S89" s="383"/>
      <c r="T89" s="384" t="str">
        <f t="shared" ref="T89:T152" si="43">IF(S89="","",IF(AND(IF($N$5="C",1,0),IF(C89&lt;&gt;"C",1,0))=1,S89+$U$8,S89))</f>
        <v/>
      </c>
      <c r="U89" s="385"/>
      <c r="V89" s="384" t="str">
        <f t="shared" ref="V89:V152" si="44">IF(U89="","",IF(AND(IF($N$5="C",1,0),IF(C89&lt;&gt;"C",1,0))=1,U89+$U$8,U89))</f>
        <v/>
      </c>
      <c r="W89" s="386"/>
      <c r="X89" s="386" t="str">
        <f t="shared" ref="X89:X152" si="45">IF(W89="","",W89)</f>
        <v/>
      </c>
      <c r="Y89" s="386" t="str">
        <f t="shared" ref="Y89:Y122" si="46">IF(W89="","",W89)</f>
        <v/>
      </c>
      <c r="Z89" s="386" t="str">
        <f t="shared" ref="Z89:Z122" si="47">IF(Q89="N","",IF(Q89="","",IF(W89="","",W89)))</f>
        <v/>
      </c>
      <c r="AA89" s="387"/>
      <c r="AB89" s="386" t="str">
        <f t="shared" ref="AB89:AB122" si="48">IF(W89="","",W89)</f>
        <v/>
      </c>
      <c r="AC89" s="386" t="str">
        <f t="shared" ref="AC89:AC122" si="49">IF(W89="","",W89)</f>
        <v/>
      </c>
      <c r="AD89" s="386" t="str">
        <f t="shared" ref="AD89:AD122" si="50">IF(W89="","",W89)</f>
        <v/>
      </c>
      <c r="AE89" s="386" t="str">
        <f t="shared" ref="AE89:AE122" si="51">IF(W89="","",W89)</f>
        <v/>
      </c>
      <c r="AF89" s="386" t="str">
        <f t="shared" ref="AF89:AF122" si="52">IF(W89="","",W89)</f>
        <v/>
      </c>
      <c r="AG89" s="386" t="str">
        <f t="shared" ref="AG89:AG122" si="53">IF(W89="","",W89)</f>
        <v/>
      </c>
      <c r="AH89" s="386" t="str">
        <f t="shared" ref="AH89:AH122" si="54">IF(W89="","",W89)</f>
        <v/>
      </c>
      <c r="AI89" s="386" t="str">
        <f t="shared" ref="AI89:AI152" si="55">IF(W89="","",W89)</f>
        <v/>
      </c>
      <c r="AJ89" s="386" t="str">
        <f t="shared" ref="AJ89:AJ152" si="56">IF(W89="","",W89)</f>
        <v/>
      </c>
      <c r="AK89" s="386" t="str">
        <f t="shared" ref="AK89:AK152" si="57">IF(Z89="","",Z89)</f>
        <v/>
      </c>
      <c r="AL89" s="388"/>
      <c r="AM89" s="388"/>
      <c r="AN89" s="388"/>
      <c r="AO89" s="388"/>
      <c r="AP89" s="402" t="str">
        <f t="shared" ref="AP89:AP122" si="58">IF(AND(AL89="",AM89="",AN89="",AO89=""),"",IF(AL89="","Missing Height",IF(AM89="","Missing Width",IF(AN89="","Missing Length",AL89*AM89*AN89/1728))))</f>
        <v/>
      </c>
      <c r="AQ89" s="388"/>
      <c r="AR89" s="388"/>
      <c r="AS89" s="388"/>
      <c r="AT89" s="388"/>
      <c r="AU89" s="402" t="str">
        <f t="shared" ref="AU89:AU122" si="59">IF(AND(AQ89="",AR89="",AS89="",AT89=""),"",IF(AQ89="","Missing Height",IF(AR89="","Missing Width",IF(AS89="","Missing Length",AQ89*AR89*AS89/1728))))</f>
        <v/>
      </c>
      <c r="AV89" s="389"/>
      <c r="AW89" s="381"/>
      <c r="AX89" s="381"/>
      <c r="AY89" s="373"/>
      <c r="AZ89" s="390"/>
      <c r="BA89" s="390"/>
      <c r="BB89" s="391"/>
      <c r="BC89" s="392"/>
      <c r="BD89" s="393"/>
      <c r="BE89" s="393"/>
      <c r="BF89" s="393"/>
      <c r="BG89" s="394"/>
      <c r="BH89" s="395"/>
      <c r="BI89" s="374"/>
      <c r="BJ89" s="374"/>
      <c r="BK89" s="374"/>
      <c r="BL89" s="389"/>
      <c r="BM89" s="397"/>
      <c r="BN89" s="389"/>
      <c r="BO89" s="419" t="str">
        <f t="shared" ref="BO89:BO152" si="60">IF(I89="","",I89)</f>
        <v/>
      </c>
      <c r="BP89" s="389"/>
      <c r="BQ89" s="397"/>
      <c r="BR89" s="419"/>
      <c r="BS89" s="419"/>
      <c r="BT89" s="419"/>
      <c r="BU89" s="432"/>
      <c r="BV89" s="419"/>
      <c r="BW89" s="419"/>
      <c r="BX89" s="419"/>
      <c r="BY89" s="389"/>
      <c r="BZ89" s="389"/>
      <c r="CA89" s="389"/>
      <c r="CB89" s="389"/>
      <c r="CC89" s="389"/>
      <c r="CD89" s="389"/>
      <c r="CE89" s="389"/>
      <c r="CF89" s="389"/>
      <c r="CG89" s="389"/>
      <c r="CH89" s="389"/>
      <c r="CI89" s="389"/>
      <c r="CJ89" s="422"/>
      <c r="CK89" s="422"/>
      <c r="CL89" s="422"/>
      <c r="CM89" s="422"/>
      <c r="CN89" s="422"/>
      <c r="CO89" s="422"/>
      <c r="CP89" s="422"/>
      <c r="CQ89" s="432"/>
      <c r="CR89" s="431" t="str">
        <f t="shared" si="37"/>
        <v/>
      </c>
      <c r="CS89" s="35" t="str">
        <f t="shared" si="38"/>
        <v>Direct or WHSE.</v>
      </c>
      <c r="CT89" s="411"/>
      <c r="CW89" s="153" t="str">
        <f t="shared" si="39"/>
        <v/>
      </c>
      <c r="CX89" s="153" t="str">
        <f t="shared" si="40"/>
        <v/>
      </c>
      <c r="CY89" s="153" t="str">
        <f t="shared" si="41"/>
        <v/>
      </c>
      <c r="DA89" s="423" t="s">
        <v>216</v>
      </c>
      <c r="DB89" s="23">
        <v>1</v>
      </c>
    </row>
    <row r="90" spans="1:106" ht="19.5" customHeight="1">
      <c r="A90" s="10">
        <v>68</v>
      </c>
      <c r="B90" s="373"/>
      <c r="C90" s="373"/>
      <c r="D90" s="396"/>
      <c r="E90" s="375"/>
      <c r="F90" s="373"/>
      <c r="G90" s="373"/>
      <c r="H90" s="376"/>
      <c r="I90" s="377"/>
      <c r="J90" s="378"/>
      <c r="K90" s="379"/>
      <c r="L90" s="374"/>
      <c r="M90" s="380" t="str">
        <f t="shared" ca="1" si="42"/>
        <v/>
      </c>
      <c r="N90" s="373"/>
      <c r="O90" s="381"/>
      <c r="P90" s="381"/>
      <c r="Q90" s="382"/>
      <c r="R90" s="381"/>
      <c r="S90" s="383"/>
      <c r="T90" s="384" t="str">
        <f t="shared" si="43"/>
        <v/>
      </c>
      <c r="U90" s="385"/>
      <c r="V90" s="384" t="str">
        <f t="shared" si="44"/>
        <v/>
      </c>
      <c r="W90" s="386"/>
      <c r="X90" s="386" t="str">
        <f t="shared" si="45"/>
        <v/>
      </c>
      <c r="Y90" s="386" t="str">
        <f t="shared" si="46"/>
        <v/>
      </c>
      <c r="Z90" s="386" t="str">
        <f t="shared" si="47"/>
        <v/>
      </c>
      <c r="AA90" s="387"/>
      <c r="AB90" s="386" t="str">
        <f t="shared" si="48"/>
        <v/>
      </c>
      <c r="AC90" s="386" t="str">
        <f t="shared" si="49"/>
        <v/>
      </c>
      <c r="AD90" s="386" t="str">
        <f t="shared" si="50"/>
        <v/>
      </c>
      <c r="AE90" s="386" t="str">
        <f t="shared" si="51"/>
        <v/>
      </c>
      <c r="AF90" s="386" t="str">
        <f t="shared" si="52"/>
        <v/>
      </c>
      <c r="AG90" s="386" t="str">
        <f t="shared" si="53"/>
        <v/>
      </c>
      <c r="AH90" s="386" t="str">
        <f t="shared" si="54"/>
        <v/>
      </c>
      <c r="AI90" s="386" t="str">
        <f t="shared" si="55"/>
        <v/>
      </c>
      <c r="AJ90" s="386" t="str">
        <f t="shared" si="56"/>
        <v/>
      </c>
      <c r="AK90" s="386" t="str">
        <f t="shared" si="57"/>
        <v/>
      </c>
      <c r="AL90" s="388"/>
      <c r="AM90" s="388"/>
      <c r="AN90" s="388"/>
      <c r="AO90" s="388"/>
      <c r="AP90" s="402" t="str">
        <f t="shared" si="58"/>
        <v/>
      </c>
      <c r="AQ90" s="388"/>
      <c r="AR90" s="388"/>
      <c r="AS90" s="388"/>
      <c r="AT90" s="388"/>
      <c r="AU90" s="402" t="str">
        <f t="shared" si="59"/>
        <v/>
      </c>
      <c r="AV90" s="389"/>
      <c r="AW90" s="381"/>
      <c r="AX90" s="381"/>
      <c r="AY90" s="373"/>
      <c r="AZ90" s="390"/>
      <c r="BA90" s="390"/>
      <c r="BB90" s="391"/>
      <c r="BC90" s="392"/>
      <c r="BD90" s="393"/>
      <c r="BE90" s="393"/>
      <c r="BF90" s="393"/>
      <c r="BG90" s="394"/>
      <c r="BH90" s="395"/>
      <c r="BI90" s="374"/>
      <c r="BJ90" s="374"/>
      <c r="BK90" s="374"/>
      <c r="BL90" s="389"/>
      <c r="BM90" s="397"/>
      <c r="BN90" s="389"/>
      <c r="BO90" s="419" t="str">
        <f t="shared" si="60"/>
        <v/>
      </c>
      <c r="BP90" s="389"/>
      <c r="BQ90" s="397"/>
      <c r="BR90" s="419"/>
      <c r="BS90" s="419"/>
      <c r="BT90" s="419"/>
      <c r="BU90" s="432"/>
      <c r="BV90" s="419"/>
      <c r="BW90" s="419"/>
      <c r="BX90" s="419"/>
      <c r="BY90" s="389"/>
      <c r="BZ90" s="389"/>
      <c r="CA90" s="389"/>
      <c r="CB90" s="389"/>
      <c r="CC90" s="389"/>
      <c r="CD90" s="389"/>
      <c r="CE90" s="389"/>
      <c r="CF90" s="389"/>
      <c r="CG90" s="389"/>
      <c r="CH90" s="389"/>
      <c r="CI90" s="389"/>
      <c r="CJ90" s="422"/>
      <c r="CK90" s="422"/>
      <c r="CL90" s="422"/>
      <c r="CM90" s="422"/>
      <c r="CN90" s="422"/>
      <c r="CO90" s="422"/>
      <c r="CP90" s="422"/>
      <c r="CQ90" s="432"/>
      <c r="CR90" s="431" t="str">
        <f t="shared" si="37"/>
        <v/>
      </c>
      <c r="CS90" s="35" t="str">
        <f t="shared" si="38"/>
        <v>Direct or WHSE.</v>
      </c>
      <c r="CT90" s="411"/>
      <c r="CW90" s="153" t="str">
        <f t="shared" si="39"/>
        <v/>
      </c>
      <c r="CX90" s="153" t="str">
        <f t="shared" si="40"/>
        <v/>
      </c>
      <c r="CY90" s="153" t="str">
        <f t="shared" si="41"/>
        <v/>
      </c>
      <c r="DA90" s="423" t="s">
        <v>207</v>
      </c>
      <c r="DB90" s="23">
        <v>1.25</v>
      </c>
    </row>
    <row r="91" spans="1:106" ht="19.5" customHeight="1">
      <c r="A91" s="10">
        <v>69</v>
      </c>
      <c r="B91" s="373"/>
      <c r="C91" s="373"/>
      <c r="D91" s="396"/>
      <c r="E91" s="375"/>
      <c r="F91" s="373"/>
      <c r="G91" s="373"/>
      <c r="H91" s="376"/>
      <c r="I91" s="377"/>
      <c r="J91" s="378"/>
      <c r="K91" s="379"/>
      <c r="L91" s="374"/>
      <c r="M91" s="380" t="str">
        <f t="shared" ca="1" si="42"/>
        <v/>
      </c>
      <c r="N91" s="373"/>
      <c r="O91" s="381"/>
      <c r="P91" s="381"/>
      <c r="Q91" s="382"/>
      <c r="R91" s="381"/>
      <c r="S91" s="383"/>
      <c r="T91" s="384" t="str">
        <f t="shared" si="43"/>
        <v/>
      </c>
      <c r="U91" s="385"/>
      <c r="V91" s="384" t="str">
        <f t="shared" si="44"/>
        <v/>
      </c>
      <c r="W91" s="386"/>
      <c r="X91" s="386" t="str">
        <f t="shared" si="45"/>
        <v/>
      </c>
      <c r="Y91" s="386" t="str">
        <f t="shared" si="46"/>
        <v/>
      </c>
      <c r="Z91" s="386" t="str">
        <f t="shared" si="47"/>
        <v/>
      </c>
      <c r="AA91" s="387"/>
      <c r="AB91" s="386" t="str">
        <f t="shared" si="48"/>
        <v/>
      </c>
      <c r="AC91" s="386" t="str">
        <f t="shared" si="49"/>
        <v/>
      </c>
      <c r="AD91" s="386" t="str">
        <f t="shared" si="50"/>
        <v/>
      </c>
      <c r="AE91" s="386" t="str">
        <f t="shared" si="51"/>
        <v/>
      </c>
      <c r="AF91" s="386" t="str">
        <f t="shared" si="52"/>
        <v/>
      </c>
      <c r="AG91" s="386" t="str">
        <f t="shared" si="53"/>
        <v/>
      </c>
      <c r="AH91" s="386" t="str">
        <f t="shared" si="54"/>
        <v/>
      </c>
      <c r="AI91" s="386" t="str">
        <f t="shared" si="55"/>
        <v/>
      </c>
      <c r="AJ91" s="386" t="str">
        <f t="shared" si="56"/>
        <v/>
      </c>
      <c r="AK91" s="386" t="str">
        <f t="shared" si="57"/>
        <v/>
      </c>
      <c r="AL91" s="388"/>
      <c r="AM91" s="388"/>
      <c r="AN91" s="388"/>
      <c r="AO91" s="388"/>
      <c r="AP91" s="402" t="str">
        <f t="shared" si="58"/>
        <v/>
      </c>
      <c r="AQ91" s="388"/>
      <c r="AR91" s="388"/>
      <c r="AS91" s="388"/>
      <c r="AT91" s="388"/>
      <c r="AU91" s="402" t="str">
        <f t="shared" si="59"/>
        <v/>
      </c>
      <c r="AV91" s="389"/>
      <c r="AW91" s="381"/>
      <c r="AX91" s="381"/>
      <c r="AY91" s="373"/>
      <c r="AZ91" s="390"/>
      <c r="BA91" s="390"/>
      <c r="BB91" s="391"/>
      <c r="BC91" s="392"/>
      <c r="BD91" s="393"/>
      <c r="BE91" s="393"/>
      <c r="BF91" s="393"/>
      <c r="BG91" s="394"/>
      <c r="BH91" s="395"/>
      <c r="BI91" s="374"/>
      <c r="BJ91" s="374"/>
      <c r="BK91" s="374"/>
      <c r="BL91" s="389"/>
      <c r="BM91" s="397"/>
      <c r="BN91" s="389"/>
      <c r="BO91" s="419" t="str">
        <f t="shared" si="60"/>
        <v/>
      </c>
      <c r="BP91" s="389"/>
      <c r="BQ91" s="397"/>
      <c r="BR91" s="419"/>
      <c r="BS91" s="419"/>
      <c r="BT91" s="419"/>
      <c r="BU91" s="432"/>
      <c r="BV91" s="419"/>
      <c r="BW91" s="419"/>
      <c r="BX91" s="419"/>
      <c r="BY91" s="389"/>
      <c r="BZ91" s="389"/>
      <c r="CA91" s="389"/>
      <c r="CB91" s="389"/>
      <c r="CC91" s="389"/>
      <c r="CD91" s="389"/>
      <c r="CE91" s="389"/>
      <c r="CF91" s="389"/>
      <c r="CG91" s="389"/>
      <c r="CH91" s="389"/>
      <c r="CI91" s="389"/>
      <c r="CJ91" s="422"/>
      <c r="CK91" s="422"/>
      <c r="CL91" s="422"/>
      <c r="CM91" s="422"/>
      <c r="CN91" s="422"/>
      <c r="CO91" s="422"/>
      <c r="CP91" s="422"/>
      <c r="CQ91" s="432"/>
      <c r="CR91" s="431" t="str">
        <f t="shared" si="37"/>
        <v/>
      </c>
      <c r="CS91" s="35" t="str">
        <f t="shared" si="38"/>
        <v>Direct or WHSE.</v>
      </c>
      <c r="CT91" s="411"/>
      <c r="CW91" s="153" t="str">
        <f t="shared" si="39"/>
        <v/>
      </c>
      <c r="CX91" s="153" t="str">
        <f t="shared" si="40"/>
        <v/>
      </c>
      <c r="CY91" s="153" t="str">
        <f t="shared" si="41"/>
        <v/>
      </c>
      <c r="DA91" s="423" t="s">
        <v>208</v>
      </c>
      <c r="DB91" s="23">
        <v>2</v>
      </c>
    </row>
    <row r="92" spans="1:106" ht="19.5" customHeight="1">
      <c r="A92" s="10">
        <v>70</v>
      </c>
      <c r="B92" s="373"/>
      <c r="C92" s="373"/>
      <c r="D92" s="396"/>
      <c r="E92" s="375"/>
      <c r="F92" s="373"/>
      <c r="G92" s="373"/>
      <c r="H92" s="376"/>
      <c r="I92" s="377"/>
      <c r="J92" s="378"/>
      <c r="K92" s="379"/>
      <c r="L92" s="374"/>
      <c r="M92" s="380" t="str">
        <f t="shared" ca="1" si="42"/>
        <v/>
      </c>
      <c r="N92" s="373"/>
      <c r="O92" s="381"/>
      <c r="P92" s="381"/>
      <c r="Q92" s="382"/>
      <c r="R92" s="381"/>
      <c r="S92" s="383"/>
      <c r="T92" s="384" t="str">
        <f t="shared" si="43"/>
        <v/>
      </c>
      <c r="U92" s="385"/>
      <c r="V92" s="384" t="str">
        <f t="shared" si="44"/>
        <v/>
      </c>
      <c r="W92" s="386"/>
      <c r="X92" s="386" t="str">
        <f t="shared" si="45"/>
        <v/>
      </c>
      <c r="Y92" s="386" t="str">
        <f t="shared" si="46"/>
        <v/>
      </c>
      <c r="Z92" s="386" t="str">
        <f t="shared" si="47"/>
        <v/>
      </c>
      <c r="AA92" s="387"/>
      <c r="AB92" s="386" t="str">
        <f t="shared" si="48"/>
        <v/>
      </c>
      <c r="AC92" s="386" t="str">
        <f t="shared" si="49"/>
        <v/>
      </c>
      <c r="AD92" s="386" t="str">
        <f t="shared" si="50"/>
        <v/>
      </c>
      <c r="AE92" s="386" t="str">
        <f t="shared" si="51"/>
        <v/>
      </c>
      <c r="AF92" s="386" t="str">
        <f t="shared" si="52"/>
        <v/>
      </c>
      <c r="AG92" s="386" t="str">
        <f t="shared" si="53"/>
        <v/>
      </c>
      <c r="AH92" s="386" t="str">
        <f t="shared" si="54"/>
        <v/>
      </c>
      <c r="AI92" s="386" t="str">
        <f t="shared" si="55"/>
        <v/>
      </c>
      <c r="AJ92" s="386" t="str">
        <f t="shared" si="56"/>
        <v/>
      </c>
      <c r="AK92" s="386" t="str">
        <f t="shared" si="57"/>
        <v/>
      </c>
      <c r="AL92" s="388"/>
      <c r="AM92" s="388"/>
      <c r="AN92" s="388"/>
      <c r="AO92" s="388"/>
      <c r="AP92" s="402" t="str">
        <f t="shared" si="58"/>
        <v/>
      </c>
      <c r="AQ92" s="388"/>
      <c r="AR92" s="388"/>
      <c r="AS92" s="388"/>
      <c r="AT92" s="388"/>
      <c r="AU92" s="402" t="str">
        <f t="shared" si="59"/>
        <v/>
      </c>
      <c r="AV92" s="389"/>
      <c r="AW92" s="381"/>
      <c r="AX92" s="381"/>
      <c r="AY92" s="373"/>
      <c r="AZ92" s="390"/>
      <c r="BA92" s="390"/>
      <c r="BB92" s="391"/>
      <c r="BC92" s="392"/>
      <c r="BD92" s="393"/>
      <c r="BE92" s="393"/>
      <c r="BF92" s="393"/>
      <c r="BG92" s="394"/>
      <c r="BH92" s="395"/>
      <c r="BI92" s="374"/>
      <c r="BJ92" s="374"/>
      <c r="BK92" s="374"/>
      <c r="BL92" s="389"/>
      <c r="BM92" s="397"/>
      <c r="BN92" s="389"/>
      <c r="BO92" s="419" t="str">
        <f t="shared" si="60"/>
        <v/>
      </c>
      <c r="BP92" s="389"/>
      <c r="BQ92" s="397"/>
      <c r="BR92" s="419"/>
      <c r="BS92" s="419"/>
      <c r="BT92" s="419"/>
      <c r="BU92" s="432"/>
      <c r="BV92" s="419"/>
      <c r="BW92" s="419"/>
      <c r="BX92" s="419"/>
      <c r="BY92" s="389"/>
      <c r="BZ92" s="389"/>
      <c r="CA92" s="389"/>
      <c r="CB92" s="389"/>
      <c r="CC92" s="389"/>
      <c r="CD92" s="389"/>
      <c r="CE92" s="389"/>
      <c r="CF92" s="389"/>
      <c r="CG92" s="389"/>
      <c r="CH92" s="389"/>
      <c r="CI92" s="389"/>
      <c r="CJ92" s="422"/>
      <c r="CK92" s="422"/>
      <c r="CL92" s="422"/>
      <c r="CM92" s="422"/>
      <c r="CN92" s="422"/>
      <c r="CO92" s="422"/>
      <c r="CP92" s="422"/>
      <c r="CQ92" s="432"/>
      <c r="CR92" s="431" t="str">
        <f t="shared" si="37"/>
        <v/>
      </c>
      <c r="CS92" s="35" t="str">
        <f t="shared" si="38"/>
        <v>Direct or WHSE.</v>
      </c>
      <c r="CT92" s="411"/>
      <c r="CW92" s="153" t="str">
        <f t="shared" si="39"/>
        <v/>
      </c>
      <c r="CX92" s="153" t="str">
        <f t="shared" si="40"/>
        <v/>
      </c>
      <c r="CY92" s="153" t="str">
        <f t="shared" si="41"/>
        <v/>
      </c>
      <c r="DA92" s="423" t="s">
        <v>217</v>
      </c>
      <c r="DB92" s="23">
        <v>5</v>
      </c>
    </row>
    <row r="93" spans="1:106" ht="19.5" customHeight="1">
      <c r="A93" s="10">
        <v>71</v>
      </c>
      <c r="B93" s="373"/>
      <c r="C93" s="373"/>
      <c r="D93" s="396"/>
      <c r="E93" s="375"/>
      <c r="F93" s="373"/>
      <c r="G93" s="373"/>
      <c r="H93" s="376"/>
      <c r="I93" s="377"/>
      <c r="J93" s="378"/>
      <c r="K93" s="379"/>
      <c r="L93" s="374"/>
      <c r="M93" s="380" t="str">
        <f t="shared" ca="1" si="42"/>
        <v/>
      </c>
      <c r="N93" s="373"/>
      <c r="O93" s="381"/>
      <c r="P93" s="381"/>
      <c r="Q93" s="382"/>
      <c r="R93" s="381"/>
      <c r="S93" s="383"/>
      <c r="T93" s="384" t="str">
        <f t="shared" si="43"/>
        <v/>
      </c>
      <c r="U93" s="385"/>
      <c r="V93" s="384" t="str">
        <f t="shared" si="44"/>
        <v/>
      </c>
      <c r="W93" s="386"/>
      <c r="X93" s="386" t="str">
        <f t="shared" si="45"/>
        <v/>
      </c>
      <c r="Y93" s="386" t="str">
        <f t="shared" si="46"/>
        <v/>
      </c>
      <c r="Z93" s="386" t="str">
        <f t="shared" si="47"/>
        <v/>
      </c>
      <c r="AA93" s="387"/>
      <c r="AB93" s="386" t="str">
        <f t="shared" si="48"/>
        <v/>
      </c>
      <c r="AC93" s="386" t="str">
        <f t="shared" si="49"/>
        <v/>
      </c>
      <c r="AD93" s="386" t="str">
        <f t="shared" si="50"/>
        <v/>
      </c>
      <c r="AE93" s="386" t="str">
        <f t="shared" si="51"/>
        <v/>
      </c>
      <c r="AF93" s="386" t="str">
        <f t="shared" si="52"/>
        <v/>
      </c>
      <c r="AG93" s="386" t="str">
        <f t="shared" si="53"/>
        <v/>
      </c>
      <c r="AH93" s="386" t="str">
        <f t="shared" si="54"/>
        <v/>
      </c>
      <c r="AI93" s="386" t="str">
        <f t="shared" si="55"/>
        <v/>
      </c>
      <c r="AJ93" s="386" t="str">
        <f t="shared" si="56"/>
        <v/>
      </c>
      <c r="AK93" s="386" t="str">
        <f t="shared" si="57"/>
        <v/>
      </c>
      <c r="AL93" s="388"/>
      <c r="AM93" s="388"/>
      <c r="AN93" s="388"/>
      <c r="AO93" s="388"/>
      <c r="AP93" s="402" t="str">
        <f t="shared" si="58"/>
        <v/>
      </c>
      <c r="AQ93" s="388"/>
      <c r="AR93" s="388"/>
      <c r="AS93" s="388"/>
      <c r="AT93" s="388"/>
      <c r="AU93" s="402" t="str">
        <f t="shared" si="59"/>
        <v/>
      </c>
      <c r="AV93" s="389"/>
      <c r="AW93" s="381"/>
      <c r="AX93" s="381"/>
      <c r="AY93" s="373"/>
      <c r="AZ93" s="390"/>
      <c r="BA93" s="390"/>
      <c r="BB93" s="391"/>
      <c r="BC93" s="392"/>
      <c r="BD93" s="393"/>
      <c r="BE93" s="393"/>
      <c r="BF93" s="393"/>
      <c r="BG93" s="394"/>
      <c r="BH93" s="395"/>
      <c r="BI93" s="374"/>
      <c r="BJ93" s="374"/>
      <c r="BK93" s="374"/>
      <c r="BL93" s="389"/>
      <c r="BM93" s="397"/>
      <c r="BN93" s="389"/>
      <c r="BO93" s="419" t="str">
        <f t="shared" si="60"/>
        <v/>
      </c>
      <c r="BP93" s="389"/>
      <c r="BQ93" s="397"/>
      <c r="BR93" s="419"/>
      <c r="BS93" s="419"/>
      <c r="BT93" s="419"/>
      <c r="BU93" s="432"/>
      <c r="BV93" s="419"/>
      <c r="BW93" s="419"/>
      <c r="BX93" s="419"/>
      <c r="BY93" s="389"/>
      <c r="BZ93" s="389"/>
      <c r="CA93" s="389"/>
      <c r="CB93" s="389"/>
      <c r="CC93" s="389"/>
      <c r="CD93" s="389"/>
      <c r="CE93" s="389"/>
      <c r="CF93" s="389"/>
      <c r="CG93" s="389"/>
      <c r="CH93" s="389"/>
      <c r="CI93" s="389"/>
      <c r="CJ93" s="422"/>
      <c r="CK93" s="422"/>
      <c r="CL93" s="422"/>
      <c r="CM93" s="422"/>
      <c r="CN93" s="422"/>
      <c r="CO93" s="422"/>
      <c r="CP93" s="422"/>
      <c r="CQ93" s="432"/>
      <c r="CR93" s="431" t="str">
        <f t="shared" si="37"/>
        <v/>
      </c>
      <c r="CS93" s="35" t="str">
        <f t="shared" si="38"/>
        <v>Direct or WHSE.</v>
      </c>
      <c r="CT93" s="411"/>
      <c r="CW93" s="153" t="str">
        <f t="shared" si="39"/>
        <v/>
      </c>
      <c r="CX93" s="153" t="str">
        <f t="shared" si="40"/>
        <v/>
      </c>
      <c r="CY93" s="153" t="str">
        <f t="shared" si="41"/>
        <v/>
      </c>
      <c r="DA93" s="423" t="s">
        <v>218</v>
      </c>
      <c r="DB93" s="23">
        <v>1.5</v>
      </c>
    </row>
    <row r="94" spans="1:106" ht="19.5" customHeight="1">
      <c r="A94" s="10">
        <v>72</v>
      </c>
      <c r="B94" s="373"/>
      <c r="C94" s="373"/>
      <c r="D94" s="396"/>
      <c r="E94" s="375"/>
      <c r="F94" s="373"/>
      <c r="G94" s="373"/>
      <c r="H94" s="376"/>
      <c r="I94" s="377"/>
      <c r="J94" s="378"/>
      <c r="K94" s="379"/>
      <c r="L94" s="374"/>
      <c r="M94" s="380" t="str">
        <f t="shared" ca="1" si="42"/>
        <v/>
      </c>
      <c r="N94" s="373"/>
      <c r="O94" s="381"/>
      <c r="P94" s="381"/>
      <c r="Q94" s="382"/>
      <c r="R94" s="381"/>
      <c r="S94" s="383"/>
      <c r="T94" s="384" t="str">
        <f t="shared" si="43"/>
        <v/>
      </c>
      <c r="U94" s="385"/>
      <c r="V94" s="384" t="str">
        <f t="shared" si="44"/>
        <v/>
      </c>
      <c r="W94" s="386"/>
      <c r="X94" s="386" t="str">
        <f t="shared" si="45"/>
        <v/>
      </c>
      <c r="Y94" s="386" t="str">
        <f t="shared" si="46"/>
        <v/>
      </c>
      <c r="Z94" s="386" t="str">
        <f t="shared" si="47"/>
        <v/>
      </c>
      <c r="AA94" s="387"/>
      <c r="AB94" s="386" t="str">
        <f t="shared" si="48"/>
        <v/>
      </c>
      <c r="AC94" s="386" t="str">
        <f t="shared" si="49"/>
        <v/>
      </c>
      <c r="AD94" s="386" t="str">
        <f t="shared" si="50"/>
        <v/>
      </c>
      <c r="AE94" s="386" t="str">
        <f t="shared" si="51"/>
        <v/>
      </c>
      <c r="AF94" s="386" t="str">
        <f t="shared" si="52"/>
        <v/>
      </c>
      <c r="AG94" s="386" t="str">
        <f t="shared" si="53"/>
        <v/>
      </c>
      <c r="AH94" s="386" t="str">
        <f t="shared" si="54"/>
        <v/>
      </c>
      <c r="AI94" s="386" t="str">
        <f t="shared" si="55"/>
        <v/>
      </c>
      <c r="AJ94" s="386" t="str">
        <f t="shared" si="56"/>
        <v/>
      </c>
      <c r="AK94" s="386" t="str">
        <f t="shared" si="57"/>
        <v/>
      </c>
      <c r="AL94" s="388"/>
      <c r="AM94" s="388"/>
      <c r="AN94" s="388"/>
      <c r="AO94" s="388"/>
      <c r="AP94" s="402" t="str">
        <f t="shared" si="58"/>
        <v/>
      </c>
      <c r="AQ94" s="388"/>
      <c r="AR94" s="388"/>
      <c r="AS94" s="388"/>
      <c r="AT94" s="388"/>
      <c r="AU94" s="402" t="str">
        <f t="shared" si="59"/>
        <v/>
      </c>
      <c r="AV94" s="389"/>
      <c r="AW94" s="381"/>
      <c r="AX94" s="381"/>
      <c r="AY94" s="373"/>
      <c r="AZ94" s="390"/>
      <c r="BA94" s="390"/>
      <c r="BB94" s="391"/>
      <c r="BC94" s="392"/>
      <c r="BD94" s="393"/>
      <c r="BE94" s="393"/>
      <c r="BF94" s="393"/>
      <c r="BG94" s="394"/>
      <c r="BH94" s="395"/>
      <c r="BI94" s="374"/>
      <c r="BJ94" s="374"/>
      <c r="BK94" s="374"/>
      <c r="BL94" s="389"/>
      <c r="BM94" s="397"/>
      <c r="BN94" s="389"/>
      <c r="BO94" s="419" t="str">
        <f t="shared" si="60"/>
        <v/>
      </c>
      <c r="BP94" s="389"/>
      <c r="BQ94" s="397"/>
      <c r="BR94" s="419"/>
      <c r="BS94" s="419"/>
      <c r="BT94" s="419"/>
      <c r="BU94" s="432"/>
      <c r="BV94" s="419"/>
      <c r="BW94" s="419"/>
      <c r="BX94" s="419"/>
      <c r="BY94" s="389"/>
      <c r="BZ94" s="389"/>
      <c r="CA94" s="389"/>
      <c r="CB94" s="389"/>
      <c r="CC94" s="389"/>
      <c r="CD94" s="389"/>
      <c r="CE94" s="389"/>
      <c r="CF94" s="389"/>
      <c r="CG94" s="389"/>
      <c r="CH94" s="389"/>
      <c r="CI94" s="389"/>
      <c r="CJ94" s="422"/>
      <c r="CK94" s="422"/>
      <c r="CL94" s="422"/>
      <c r="CM94" s="422"/>
      <c r="CN94" s="422"/>
      <c r="CO94" s="422"/>
      <c r="CP94" s="422"/>
      <c r="CQ94" s="432"/>
      <c r="CR94" s="431" t="str">
        <f t="shared" si="37"/>
        <v/>
      </c>
      <c r="CS94" s="35" t="str">
        <f t="shared" si="38"/>
        <v>Direct or WHSE.</v>
      </c>
      <c r="CT94" s="411"/>
      <c r="CW94" s="153" t="str">
        <f t="shared" si="39"/>
        <v/>
      </c>
      <c r="CX94" s="153" t="str">
        <f t="shared" si="40"/>
        <v/>
      </c>
      <c r="CY94" s="153" t="str">
        <f t="shared" si="41"/>
        <v/>
      </c>
      <c r="DA94" s="423" t="s">
        <v>223</v>
      </c>
      <c r="DB94" s="23">
        <v>1.25</v>
      </c>
    </row>
    <row r="95" spans="1:106" ht="19.5" customHeight="1">
      <c r="A95" s="10">
        <v>73</v>
      </c>
      <c r="B95" s="373"/>
      <c r="C95" s="373"/>
      <c r="D95" s="396"/>
      <c r="E95" s="375"/>
      <c r="F95" s="373"/>
      <c r="G95" s="373"/>
      <c r="H95" s="376"/>
      <c r="I95" s="377"/>
      <c r="J95" s="378"/>
      <c r="K95" s="379"/>
      <c r="L95" s="374"/>
      <c r="M95" s="380" t="str">
        <f t="shared" ca="1" si="42"/>
        <v/>
      </c>
      <c r="N95" s="373"/>
      <c r="O95" s="381"/>
      <c r="P95" s="381"/>
      <c r="Q95" s="382"/>
      <c r="R95" s="381"/>
      <c r="S95" s="383"/>
      <c r="T95" s="384" t="str">
        <f t="shared" si="43"/>
        <v/>
      </c>
      <c r="U95" s="385"/>
      <c r="V95" s="384" t="str">
        <f t="shared" si="44"/>
        <v/>
      </c>
      <c r="W95" s="386"/>
      <c r="X95" s="386" t="str">
        <f t="shared" si="45"/>
        <v/>
      </c>
      <c r="Y95" s="386" t="str">
        <f t="shared" si="46"/>
        <v/>
      </c>
      <c r="Z95" s="386" t="str">
        <f t="shared" si="47"/>
        <v/>
      </c>
      <c r="AA95" s="387"/>
      <c r="AB95" s="386" t="str">
        <f t="shared" si="48"/>
        <v/>
      </c>
      <c r="AC95" s="386" t="str">
        <f t="shared" si="49"/>
        <v/>
      </c>
      <c r="AD95" s="386" t="str">
        <f t="shared" si="50"/>
        <v/>
      </c>
      <c r="AE95" s="386" t="str">
        <f t="shared" si="51"/>
        <v/>
      </c>
      <c r="AF95" s="386" t="str">
        <f t="shared" si="52"/>
        <v/>
      </c>
      <c r="AG95" s="386" t="str">
        <f t="shared" si="53"/>
        <v/>
      </c>
      <c r="AH95" s="386" t="str">
        <f t="shared" si="54"/>
        <v/>
      </c>
      <c r="AI95" s="386" t="str">
        <f t="shared" si="55"/>
        <v/>
      </c>
      <c r="AJ95" s="386" t="str">
        <f t="shared" si="56"/>
        <v/>
      </c>
      <c r="AK95" s="386" t="str">
        <f t="shared" si="57"/>
        <v/>
      </c>
      <c r="AL95" s="388"/>
      <c r="AM95" s="388"/>
      <c r="AN95" s="388"/>
      <c r="AO95" s="388"/>
      <c r="AP95" s="402" t="str">
        <f t="shared" si="58"/>
        <v/>
      </c>
      <c r="AQ95" s="388"/>
      <c r="AR95" s="388"/>
      <c r="AS95" s="388"/>
      <c r="AT95" s="388"/>
      <c r="AU95" s="402" t="str">
        <f t="shared" si="59"/>
        <v/>
      </c>
      <c r="AV95" s="389"/>
      <c r="AW95" s="381"/>
      <c r="AX95" s="381"/>
      <c r="AY95" s="373"/>
      <c r="AZ95" s="390"/>
      <c r="BA95" s="390"/>
      <c r="BB95" s="391"/>
      <c r="BC95" s="392"/>
      <c r="BD95" s="393"/>
      <c r="BE95" s="393"/>
      <c r="BF95" s="393"/>
      <c r="BG95" s="394"/>
      <c r="BH95" s="395"/>
      <c r="BI95" s="374"/>
      <c r="BJ95" s="374"/>
      <c r="BK95" s="374"/>
      <c r="BL95" s="389"/>
      <c r="BM95" s="397"/>
      <c r="BN95" s="389"/>
      <c r="BO95" s="419" t="str">
        <f t="shared" si="60"/>
        <v/>
      </c>
      <c r="BP95" s="389"/>
      <c r="BQ95" s="397"/>
      <c r="BR95" s="419"/>
      <c r="BS95" s="419"/>
      <c r="BT95" s="419"/>
      <c r="BU95" s="432"/>
      <c r="BV95" s="419"/>
      <c r="BW95" s="419"/>
      <c r="BX95" s="419"/>
      <c r="BY95" s="389"/>
      <c r="BZ95" s="389"/>
      <c r="CA95" s="389"/>
      <c r="CB95" s="389"/>
      <c r="CC95" s="389"/>
      <c r="CD95" s="389"/>
      <c r="CE95" s="389"/>
      <c r="CF95" s="389"/>
      <c r="CG95" s="389"/>
      <c r="CH95" s="389"/>
      <c r="CI95" s="389"/>
      <c r="CJ95" s="422"/>
      <c r="CK95" s="422"/>
      <c r="CL95" s="422"/>
      <c r="CM95" s="422"/>
      <c r="CN95" s="422"/>
      <c r="CO95" s="422"/>
      <c r="CP95" s="422"/>
      <c r="CQ95" s="432"/>
      <c r="CR95" s="431" t="str">
        <f t="shared" si="37"/>
        <v/>
      </c>
      <c r="CS95" s="35" t="str">
        <f t="shared" si="38"/>
        <v>Direct or WHSE.</v>
      </c>
      <c r="CT95" s="411"/>
      <c r="CW95" s="153" t="str">
        <f t="shared" si="39"/>
        <v/>
      </c>
      <c r="CX95" s="153" t="str">
        <f t="shared" si="40"/>
        <v/>
      </c>
      <c r="CY95" s="153" t="str">
        <f t="shared" si="41"/>
        <v/>
      </c>
      <c r="DA95" s="423" t="s">
        <v>224</v>
      </c>
      <c r="DB95" s="23">
        <v>0.5</v>
      </c>
    </row>
    <row r="96" spans="1:106" ht="19.5" customHeight="1">
      <c r="A96" s="10">
        <v>74</v>
      </c>
      <c r="B96" s="373"/>
      <c r="C96" s="373"/>
      <c r="D96" s="396"/>
      <c r="E96" s="375"/>
      <c r="F96" s="373"/>
      <c r="G96" s="373"/>
      <c r="H96" s="376"/>
      <c r="I96" s="377"/>
      <c r="J96" s="378"/>
      <c r="K96" s="379"/>
      <c r="L96" s="374"/>
      <c r="M96" s="380" t="str">
        <f t="shared" ca="1" si="42"/>
        <v/>
      </c>
      <c r="N96" s="373"/>
      <c r="O96" s="381"/>
      <c r="P96" s="381"/>
      <c r="Q96" s="382"/>
      <c r="R96" s="381"/>
      <c r="S96" s="383"/>
      <c r="T96" s="384" t="str">
        <f t="shared" si="43"/>
        <v/>
      </c>
      <c r="U96" s="385"/>
      <c r="V96" s="384" t="str">
        <f t="shared" si="44"/>
        <v/>
      </c>
      <c r="W96" s="386"/>
      <c r="X96" s="386" t="str">
        <f t="shared" si="45"/>
        <v/>
      </c>
      <c r="Y96" s="386" t="str">
        <f t="shared" si="46"/>
        <v/>
      </c>
      <c r="Z96" s="386" t="str">
        <f t="shared" si="47"/>
        <v/>
      </c>
      <c r="AA96" s="387"/>
      <c r="AB96" s="386" t="str">
        <f t="shared" si="48"/>
        <v/>
      </c>
      <c r="AC96" s="386" t="str">
        <f t="shared" si="49"/>
        <v/>
      </c>
      <c r="AD96" s="386" t="str">
        <f t="shared" si="50"/>
        <v/>
      </c>
      <c r="AE96" s="386" t="str">
        <f t="shared" si="51"/>
        <v/>
      </c>
      <c r="AF96" s="386" t="str">
        <f t="shared" si="52"/>
        <v/>
      </c>
      <c r="AG96" s="386" t="str">
        <f t="shared" si="53"/>
        <v/>
      </c>
      <c r="AH96" s="386" t="str">
        <f t="shared" si="54"/>
        <v/>
      </c>
      <c r="AI96" s="386" t="str">
        <f t="shared" si="55"/>
        <v/>
      </c>
      <c r="AJ96" s="386" t="str">
        <f t="shared" si="56"/>
        <v/>
      </c>
      <c r="AK96" s="386" t="str">
        <f t="shared" si="57"/>
        <v/>
      </c>
      <c r="AL96" s="388"/>
      <c r="AM96" s="388"/>
      <c r="AN96" s="388"/>
      <c r="AO96" s="388"/>
      <c r="AP96" s="402" t="str">
        <f t="shared" si="58"/>
        <v/>
      </c>
      <c r="AQ96" s="388"/>
      <c r="AR96" s="388"/>
      <c r="AS96" s="388"/>
      <c r="AT96" s="388"/>
      <c r="AU96" s="402" t="str">
        <f t="shared" si="59"/>
        <v/>
      </c>
      <c r="AV96" s="389"/>
      <c r="AW96" s="381"/>
      <c r="AX96" s="381"/>
      <c r="AY96" s="373"/>
      <c r="AZ96" s="390"/>
      <c r="BA96" s="390"/>
      <c r="BB96" s="391"/>
      <c r="BC96" s="392"/>
      <c r="BD96" s="393"/>
      <c r="BE96" s="393"/>
      <c r="BF96" s="393"/>
      <c r="BG96" s="394"/>
      <c r="BH96" s="395"/>
      <c r="BI96" s="374"/>
      <c r="BJ96" s="374"/>
      <c r="BK96" s="374"/>
      <c r="BL96" s="389"/>
      <c r="BM96" s="397"/>
      <c r="BN96" s="389"/>
      <c r="BO96" s="419" t="str">
        <f t="shared" si="60"/>
        <v/>
      </c>
      <c r="BP96" s="389"/>
      <c r="BQ96" s="397"/>
      <c r="BR96" s="419"/>
      <c r="BS96" s="419"/>
      <c r="BT96" s="419"/>
      <c r="BU96" s="432"/>
      <c r="BV96" s="419"/>
      <c r="BW96" s="419"/>
      <c r="BX96" s="419"/>
      <c r="BY96" s="389"/>
      <c r="BZ96" s="389"/>
      <c r="CA96" s="389"/>
      <c r="CB96" s="389"/>
      <c r="CC96" s="389"/>
      <c r="CD96" s="389"/>
      <c r="CE96" s="389"/>
      <c r="CF96" s="389"/>
      <c r="CG96" s="389"/>
      <c r="CH96" s="389"/>
      <c r="CI96" s="389"/>
      <c r="CJ96" s="422"/>
      <c r="CK96" s="422"/>
      <c r="CL96" s="422"/>
      <c r="CM96" s="422"/>
      <c r="CN96" s="422"/>
      <c r="CO96" s="422"/>
      <c r="CP96" s="422"/>
      <c r="CQ96" s="432"/>
      <c r="CR96" s="431" t="str">
        <f t="shared" si="37"/>
        <v/>
      </c>
      <c r="CS96" s="35" t="str">
        <f t="shared" si="38"/>
        <v>Direct or WHSE.</v>
      </c>
      <c r="CT96" s="411"/>
      <c r="CW96" s="153" t="str">
        <f t="shared" si="39"/>
        <v/>
      </c>
      <c r="CX96" s="153" t="str">
        <f t="shared" si="40"/>
        <v/>
      </c>
      <c r="CY96" s="153" t="str">
        <f t="shared" si="41"/>
        <v/>
      </c>
      <c r="DA96" s="423" t="s">
        <v>225</v>
      </c>
      <c r="DB96" s="23">
        <v>5</v>
      </c>
    </row>
    <row r="97" spans="1:106" ht="19.5" customHeight="1">
      <c r="A97" s="10">
        <v>75</v>
      </c>
      <c r="B97" s="373"/>
      <c r="C97" s="373"/>
      <c r="D97" s="396"/>
      <c r="E97" s="375"/>
      <c r="F97" s="373"/>
      <c r="G97" s="373"/>
      <c r="H97" s="376"/>
      <c r="I97" s="377"/>
      <c r="J97" s="378"/>
      <c r="K97" s="379"/>
      <c r="L97" s="374"/>
      <c r="M97" s="380" t="str">
        <f t="shared" ca="1" si="42"/>
        <v/>
      </c>
      <c r="N97" s="373"/>
      <c r="O97" s="381"/>
      <c r="P97" s="381"/>
      <c r="Q97" s="382"/>
      <c r="R97" s="381"/>
      <c r="S97" s="383"/>
      <c r="T97" s="384" t="str">
        <f t="shared" si="43"/>
        <v/>
      </c>
      <c r="U97" s="385"/>
      <c r="V97" s="384" t="str">
        <f t="shared" si="44"/>
        <v/>
      </c>
      <c r="W97" s="386"/>
      <c r="X97" s="386" t="str">
        <f t="shared" si="45"/>
        <v/>
      </c>
      <c r="Y97" s="386" t="str">
        <f t="shared" si="46"/>
        <v/>
      </c>
      <c r="Z97" s="386" t="str">
        <f t="shared" si="47"/>
        <v/>
      </c>
      <c r="AA97" s="387"/>
      <c r="AB97" s="386" t="str">
        <f t="shared" si="48"/>
        <v/>
      </c>
      <c r="AC97" s="386" t="str">
        <f t="shared" si="49"/>
        <v/>
      </c>
      <c r="AD97" s="386" t="str">
        <f t="shared" si="50"/>
        <v/>
      </c>
      <c r="AE97" s="386" t="str">
        <f t="shared" si="51"/>
        <v/>
      </c>
      <c r="AF97" s="386" t="str">
        <f t="shared" si="52"/>
        <v/>
      </c>
      <c r="AG97" s="386" t="str">
        <f t="shared" si="53"/>
        <v/>
      </c>
      <c r="AH97" s="386" t="str">
        <f t="shared" si="54"/>
        <v/>
      </c>
      <c r="AI97" s="386" t="str">
        <f t="shared" si="55"/>
        <v/>
      </c>
      <c r="AJ97" s="386" t="str">
        <f t="shared" si="56"/>
        <v/>
      </c>
      <c r="AK97" s="386" t="str">
        <f t="shared" si="57"/>
        <v/>
      </c>
      <c r="AL97" s="388"/>
      <c r="AM97" s="388"/>
      <c r="AN97" s="388"/>
      <c r="AO97" s="388"/>
      <c r="AP97" s="402" t="str">
        <f t="shared" si="58"/>
        <v/>
      </c>
      <c r="AQ97" s="388"/>
      <c r="AR97" s="388"/>
      <c r="AS97" s="388"/>
      <c r="AT97" s="388"/>
      <c r="AU97" s="402" t="str">
        <f t="shared" si="59"/>
        <v/>
      </c>
      <c r="AV97" s="389"/>
      <c r="AW97" s="381"/>
      <c r="AX97" s="381"/>
      <c r="AY97" s="373"/>
      <c r="AZ97" s="390"/>
      <c r="BA97" s="390"/>
      <c r="BB97" s="391"/>
      <c r="BC97" s="392"/>
      <c r="BD97" s="393"/>
      <c r="BE97" s="393"/>
      <c r="BF97" s="393"/>
      <c r="BG97" s="394"/>
      <c r="BH97" s="395"/>
      <c r="BI97" s="374"/>
      <c r="BJ97" s="374"/>
      <c r="BK97" s="374"/>
      <c r="BL97" s="389"/>
      <c r="BM97" s="397"/>
      <c r="BN97" s="389"/>
      <c r="BO97" s="419" t="str">
        <f t="shared" si="60"/>
        <v/>
      </c>
      <c r="BP97" s="389"/>
      <c r="BQ97" s="397"/>
      <c r="BR97" s="419"/>
      <c r="BS97" s="419"/>
      <c r="BT97" s="419"/>
      <c r="BU97" s="432"/>
      <c r="BV97" s="419"/>
      <c r="BW97" s="419"/>
      <c r="BX97" s="419"/>
      <c r="BY97" s="389"/>
      <c r="BZ97" s="389"/>
      <c r="CA97" s="389"/>
      <c r="CB97" s="389"/>
      <c r="CC97" s="389"/>
      <c r="CD97" s="389"/>
      <c r="CE97" s="389"/>
      <c r="CF97" s="389"/>
      <c r="CG97" s="389"/>
      <c r="CH97" s="389"/>
      <c r="CI97" s="389"/>
      <c r="CJ97" s="422"/>
      <c r="CK97" s="422"/>
      <c r="CL97" s="422"/>
      <c r="CM97" s="422"/>
      <c r="CN97" s="422"/>
      <c r="CO97" s="422"/>
      <c r="CP97" s="422"/>
      <c r="CQ97" s="432"/>
      <c r="CR97" s="431" t="str">
        <f t="shared" si="37"/>
        <v/>
      </c>
      <c r="CS97" s="35" t="str">
        <f t="shared" si="38"/>
        <v>Direct or WHSE.</v>
      </c>
      <c r="CT97" s="411"/>
      <c r="CW97" s="153" t="str">
        <f t="shared" si="39"/>
        <v/>
      </c>
      <c r="CX97" s="153" t="str">
        <f t="shared" si="40"/>
        <v/>
      </c>
      <c r="CY97" s="153" t="str">
        <f t="shared" si="41"/>
        <v/>
      </c>
      <c r="DA97" s="423" t="s">
        <v>234</v>
      </c>
      <c r="DB97" s="23">
        <v>7.5</v>
      </c>
    </row>
    <row r="98" spans="1:106" ht="19.5" customHeight="1">
      <c r="A98" s="10">
        <v>76</v>
      </c>
      <c r="B98" s="373"/>
      <c r="C98" s="373"/>
      <c r="D98" s="396"/>
      <c r="E98" s="375"/>
      <c r="F98" s="373"/>
      <c r="G98" s="373"/>
      <c r="H98" s="376"/>
      <c r="I98" s="377"/>
      <c r="J98" s="378"/>
      <c r="K98" s="379"/>
      <c r="L98" s="374"/>
      <c r="M98" s="380" t="str">
        <f t="shared" ca="1" si="42"/>
        <v/>
      </c>
      <c r="N98" s="373"/>
      <c r="O98" s="381"/>
      <c r="P98" s="381"/>
      <c r="Q98" s="382"/>
      <c r="R98" s="381"/>
      <c r="S98" s="383"/>
      <c r="T98" s="384" t="str">
        <f t="shared" si="43"/>
        <v/>
      </c>
      <c r="U98" s="385"/>
      <c r="V98" s="384" t="str">
        <f t="shared" si="44"/>
        <v/>
      </c>
      <c r="W98" s="386"/>
      <c r="X98" s="386" t="str">
        <f t="shared" si="45"/>
        <v/>
      </c>
      <c r="Y98" s="386" t="str">
        <f t="shared" si="46"/>
        <v/>
      </c>
      <c r="Z98" s="386" t="str">
        <f t="shared" si="47"/>
        <v/>
      </c>
      <c r="AA98" s="387"/>
      <c r="AB98" s="386" t="str">
        <f t="shared" si="48"/>
        <v/>
      </c>
      <c r="AC98" s="386" t="str">
        <f t="shared" si="49"/>
        <v/>
      </c>
      <c r="AD98" s="386" t="str">
        <f t="shared" si="50"/>
        <v/>
      </c>
      <c r="AE98" s="386" t="str">
        <f t="shared" si="51"/>
        <v/>
      </c>
      <c r="AF98" s="386" t="str">
        <f t="shared" si="52"/>
        <v/>
      </c>
      <c r="AG98" s="386" t="str">
        <f t="shared" si="53"/>
        <v/>
      </c>
      <c r="AH98" s="386" t="str">
        <f t="shared" si="54"/>
        <v/>
      </c>
      <c r="AI98" s="386" t="str">
        <f t="shared" si="55"/>
        <v/>
      </c>
      <c r="AJ98" s="386" t="str">
        <f t="shared" si="56"/>
        <v/>
      </c>
      <c r="AK98" s="386" t="str">
        <f t="shared" si="57"/>
        <v/>
      </c>
      <c r="AL98" s="388"/>
      <c r="AM98" s="388"/>
      <c r="AN98" s="388"/>
      <c r="AO98" s="388"/>
      <c r="AP98" s="402" t="str">
        <f t="shared" si="58"/>
        <v/>
      </c>
      <c r="AQ98" s="388"/>
      <c r="AR98" s="388"/>
      <c r="AS98" s="388"/>
      <c r="AT98" s="388"/>
      <c r="AU98" s="402" t="str">
        <f t="shared" si="59"/>
        <v/>
      </c>
      <c r="AV98" s="389"/>
      <c r="AW98" s="381"/>
      <c r="AX98" s="381"/>
      <c r="AY98" s="373"/>
      <c r="AZ98" s="390"/>
      <c r="BA98" s="390"/>
      <c r="BB98" s="391"/>
      <c r="BC98" s="392"/>
      <c r="BD98" s="393"/>
      <c r="BE98" s="393"/>
      <c r="BF98" s="393"/>
      <c r="BG98" s="394"/>
      <c r="BH98" s="395"/>
      <c r="BI98" s="374"/>
      <c r="BJ98" s="374"/>
      <c r="BK98" s="374"/>
      <c r="BL98" s="389"/>
      <c r="BM98" s="397"/>
      <c r="BN98" s="389"/>
      <c r="BO98" s="419" t="str">
        <f t="shared" si="60"/>
        <v/>
      </c>
      <c r="BP98" s="389"/>
      <c r="BQ98" s="397"/>
      <c r="BR98" s="419"/>
      <c r="BS98" s="419"/>
      <c r="BT98" s="419"/>
      <c r="BU98" s="432"/>
      <c r="BV98" s="419"/>
      <c r="BW98" s="419"/>
      <c r="BX98" s="419"/>
      <c r="BY98" s="389"/>
      <c r="BZ98" s="389"/>
      <c r="CA98" s="389"/>
      <c r="CB98" s="389"/>
      <c r="CC98" s="389"/>
      <c r="CD98" s="389"/>
      <c r="CE98" s="389"/>
      <c r="CF98" s="389"/>
      <c r="CG98" s="389"/>
      <c r="CH98" s="389"/>
      <c r="CI98" s="389"/>
      <c r="CJ98" s="422"/>
      <c r="CK98" s="422"/>
      <c r="CL98" s="422"/>
      <c r="CM98" s="422"/>
      <c r="CN98" s="422"/>
      <c r="CO98" s="422"/>
      <c r="CP98" s="422"/>
      <c r="CQ98" s="432"/>
      <c r="CR98" s="431" t="str">
        <f t="shared" si="37"/>
        <v/>
      </c>
      <c r="CS98" s="35" t="str">
        <f t="shared" si="38"/>
        <v>Direct or WHSE.</v>
      </c>
      <c r="CT98" s="411"/>
      <c r="CW98" s="153" t="str">
        <f t="shared" si="39"/>
        <v/>
      </c>
      <c r="CX98" s="153" t="str">
        <f t="shared" si="40"/>
        <v/>
      </c>
      <c r="CY98" s="153" t="str">
        <f t="shared" si="41"/>
        <v/>
      </c>
      <c r="DA98" s="423" t="s">
        <v>235</v>
      </c>
      <c r="DB98" s="23">
        <v>7.5</v>
      </c>
    </row>
    <row r="99" spans="1:106" ht="19.5" customHeight="1">
      <c r="A99" s="10">
        <v>77</v>
      </c>
      <c r="B99" s="373"/>
      <c r="C99" s="373"/>
      <c r="D99" s="396"/>
      <c r="E99" s="375"/>
      <c r="F99" s="373"/>
      <c r="G99" s="373"/>
      <c r="H99" s="376"/>
      <c r="I99" s="377"/>
      <c r="J99" s="378"/>
      <c r="K99" s="379"/>
      <c r="L99" s="374"/>
      <c r="M99" s="380" t="str">
        <f t="shared" ca="1" si="42"/>
        <v/>
      </c>
      <c r="N99" s="373"/>
      <c r="O99" s="381"/>
      <c r="P99" s="381"/>
      <c r="Q99" s="382"/>
      <c r="R99" s="381"/>
      <c r="S99" s="383"/>
      <c r="T99" s="384" t="str">
        <f t="shared" si="43"/>
        <v/>
      </c>
      <c r="U99" s="385"/>
      <c r="V99" s="384" t="str">
        <f t="shared" si="44"/>
        <v/>
      </c>
      <c r="W99" s="386"/>
      <c r="X99" s="386" t="str">
        <f t="shared" si="45"/>
        <v/>
      </c>
      <c r="Y99" s="386" t="str">
        <f t="shared" si="46"/>
        <v/>
      </c>
      <c r="Z99" s="386" t="str">
        <f t="shared" si="47"/>
        <v/>
      </c>
      <c r="AA99" s="387"/>
      <c r="AB99" s="386" t="str">
        <f t="shared" si="48"/>
        <v/>
      </c>
      <c r="AC99" s="386" t="str">
        <f t="shared" si="49"/>
        <v/>
      </c>
      <c r="AD99" s="386" t="str">
        <f t="shared" si="50"/>
        <v/>
      </c>
      <c r="AE99" s="386" t="str">
        <f t="shared" si="51"/>
        <v/>
      </c>
      <c r="AF99" s="386" t="str">
        <f t="shared" si="52"/>
        <v/>
      </c>
      <c r="AG99" s="386" t="str">
        <f t="shared" si="53"/>
        <v/>
      </c>
      <c r="AH99" s="386" t="str">
        <f t="shared" si="54"/>
        <v/>
      </c>
      <c r="AI99" s="386" t="str">
        <f t="shared" si="55"/>
        <v/>
      </c>
      <c r="AJ99" s="386" t="str">
        <f t="shared" si="56"/>
        <v/>
      </c>
      <c r="AK99" s="386" t="str">
        <f t="shared" si="57"/>
        <v/>
      </c>
      <c r="AL99" s="388"/>
      <c r="AM99" s="388"/>
      <c r="AN99" s="388"/>
      <c r="AO99" s="388"/>
      <c r="AP99" s="402" t="str">
        <f t="shared" si="58"/>
        <v/>
      </c>
      <c r="AQ99" s="388"/>
      <c r="AR99" s="388"/>
      <c r="AS99" s="388"/>
      <c r="AT99" s="388"/>
      <c r="AU99" s="402" t="str">
        <f t="shared" si="59"/>
        <v/>
      </c>
      <c r="AV99" s="389"/>
      <c r="AW99" s="381"/>
      <c r="AX99" s="381"/>
      <c r="AY99" s="373"/>
      <c r="AZ99" s="390"/>
      <c r="BA99" s="390"/>
      <c r="BB99" s="391"/>
      <c r="BC99" s="392"/>
      <c r="BD99" s="393"/>
      <c r="BE99" s="393"/>
      <c r="BF99" s="393"/>
      <c r="BG99" s="394"/>
      <c r="BH99" s="395"/>
      <c r="BI99" s="374"/>
      <c r="BJ99" s="374"/>
      <c r="BK99" s="374"/>
      <c r="BL99" s="389"/>
      <c r="BM99" s="397"/>
      <c r="BN99" s="389"/>
      <c r="BO99" s="419" t="str">
        <f t="shared" si="60"/>
        <v/>
      </c>
      <c r="BP99" s="389"/>
      <c r="BQ99" s="397"/>
      <c r="BR99" s="419"/>
      <c r="BS99" s="419"/>
      <c r="BT99" s="419"/>
      <c r="BU99" s="432"/>
      <c r="BV99" s="419"/>
      <c r="BW99" s="419"/>
      <c r="BX99" s="419"/>
      <c r="BY99" s="389"/>
      <c r="BZ99" s="389"/>
      <c r="CA99" s="389"/>
      <c r="CB99" s="389"/>
      <c r="CC99" s="389"/>
      <c r="CD99" s="389"/>
      <c r="CE99" s="389"/>
      <c r="CF99" s="389"/>
      <c r="CG99" s="389"/>
      <c r="CH99" s="389"/>
      <c r="CI99" s="389"/>
      <c r="CJ99" s="422"/>
      <c r="CK99" s="422"/>
      <c r="CL99" s="422"/>
      <c r="CM99" s="422"/>
      <c r="CN99" s="422"/>
      <c r="CO99" s="422"/>
      <c r="CP99" s="422"/>
      <c r="CQ99" s="432"/>
      <c r="CR99" s="431" t="str">
        <f t="shared" si="37"/>
        <v/>
      </c>
      <c r="CS99" s="35" t="str">
        <f t="shared" si="38"/>
        <v>Direct or WHSE.</v>
      </c>
      <c r="CT99" s="411"/>
      <c r="CW99" s="153" t="str">
        <f t="shared" si="39"/>
        <v/>
      </c>
      <c r="CX99" s="153" t="str">
        <f t="shared" si="40"/>
        <v/>
      </c>
      <c r="CY99" s="153" t="str">
        <f t="shared" si="41"/>
        <v/>
      </c>
      <c r="DA99" s="423" t="s">
        <v>226</v>
      </c>
      <c r="DB99" s="23">
        <v>3</v>
      </c>
    </row>
    <row r="100" spans="1:106" ht="19.5" customHeight="1">
      <c r="A100" s="10">
        <v>78</v>
      </c>
      <c r="B100" s="373"/>
      <c r="C100" s="373"/>
      <c r="D100" s="396"/>
      <c r="E100" s="375"/>
      <c r="F100" s="373"/>
      <c r="G100" s="373"/>
      <c r="H100" s="376"/>
      <c r="I100" s="377"/>
      <c r="J100" s="378"/>
      <c r="K100" s="379"/>
      <c r="L100" s="374"/>
      <c r="M100" s="380" t="str">
        <f t="shared" ca="1" si="42"/>
        <v/>
      </c>
      <c r="N100" s="373"/>
      <c r="O100" s="381"/>
      <c r="P100" s="381"/>
      <c r="Q100" s="382"/>
      <c r="R100" s="381"/>
      <c r="S100" s="383"/>
      <c r="T100" s="384" t="str">
        <f t="shared" si="43"/>
        <v/>
      </c>
      <c r="U100" s="385"/>
      <c r="V100" s="384" t="str">
        <f t="shared" si="44"/>
        <v/>
      </c>
      <c r="W100" s="386"/>
      <c r="X100" s="386" t="str">
        <f t="shared" si="45"/>
        <v/>
      </c>
      <c r="Y100" s="386" t="str">
        <f t="shared" si="46"/>
        <v/>
      </c>
      <c r="Z100" s="386" t="str">
        <f t="shared" si="47"/>
        <v/>
      </c>
      <c r="AA100" s="387"/>
      <c r="AB100" s="386" t="str">
        <f t="shared" si="48"/>
        <v/>
      </c>
      <c r="AC100" s="386" t="str">
        <f t="shared" si="49"/>
        <v/>
      </c>
      <c r="AD100" s="386" t="str">
        <f t="shared" si="50"/>
        <v/>
      </c>
      <c r="AE100" s="386" t="str">
        <f t="shared" si="51"/>
        <v/>
      </c>
      <c r="AF100" s="386" t="str">
        <f t="shared" si="52"/>
        <v/>
      </c>
      <c r="AG100" s="386" t="str">
        <f t="shared" si="53"/>
        <v/>
      </c>
      <c r="AH100" s="386" t="str">
        <f t="shared" si="54"/>
        <v/>
      </c>
      <c r="AI100" s="386" t="str">
        <f t="shared" si="55"/>
        <v/>
      </c>
      <c r="AJ100" s="386" t="str">
        <f t="shared" si="56"/>
        <v/>
      </c>
      <c r="AK100" s="386" t="str">
        <f t="shared" si="57"/>
        <v/>
      </c>
      <c r="AL100" s="388"/>
      <c r="AM100" s="388"/>
      <c r="AN100" s="388"/>
      <c r="AO100" s="388"/>
      <c r="AP100" s="402" t="str">
        <f t="shared" si="58"/>
        <v/>
      </c>
      <c r="AQ100" s="388"/>
      <c r="AR100" s="388"/>
      <c r="AS100" s="388"/>
      <c r="AT100" s="388"/>
      <c r="AU100" s="402" t="str">
        <f t="shared" si="59"/>
        <v/>
      </c>
      <c r="AV100" s="389"/>
      <c r="AW100" s="381"/>
      <c r="AX100" s="381"/>
      <c r="AY100" s="373"/>
      <c r="AZ100" s="390"/>
      <c r="BA100" s="390"/>
      <c r="BB100" s="391"/>
      <c r="BC100" s="392"/>
      <c r="BD100" s="393"/>
      <c r="BE100" s="393"/>
      <c r="BF100" s="393"/>
      <c r="BG100" s="394"/>
      <c r="BH100" s="395"/>
      <c r="BI100" s="374"/>
      <c r="BJ100" s="374"/>
      <c r="BK100" s="374"/>
      <c r="BL100" s="389"/>
      <c r="BM100" s="397"/>
      <c r="BN100" s="389"/>
      <c r="BO100" s="419" t="str">
        <f t="shared" si="60"/>
        <v/>
      </c>
      <c r="BP100" s="389"/>
      <c r="BQ100" s="397"/>
      <c r="BR100" s="419"/>
      <c r="BS100" s="419"/>
      <c r="BT100" s="419"/>
      <c r="BU100" s="432"/>
      <c r="BV100" s="419"/>
      <c r="BW100" s="419"/>
      <c r="BX100" s="419"/>
      <c r="BY100" s="389"/>
      <c r="BZ100" s="389"/>
      <c r="CA100" s="389"/>
      <c r="CB100" s="389"/>
      <c r="CC100" s="389"/>
      <c r="CD100" s="389"/>
      <c r="CE100" s="389"/>
      <c r="CF100" s="389"/>
      <c r="CG100" s="389"/>
      <c r="CH100" s="389"/>
      <c r="CI100" s="389"/>
      <c r="CJ100" s="422"/>
      <c r="CK100" s="422"/>
      <c r="CL100" s="422"/>
      <c r="CM100" s="422"/>
      <c r="CN100" s="422"/>
      <c r="CO100" s="422"/>
      <c r="CP100" s="422"/>
      <c r="CQ100" s="432"/>
      <c r="CR100" s="431" t="str">
        <f t="shared" si="37"/>
        <v/>
      </c>
      <c r="CS100" s="35" t="str">
        <f t="shared" si="38"/>
        <v>Direct or WHSE.</v>
      </c>
      <c r="CT100" s="411"/>
      <c r="CW100" s="153" t="str">
        <f t="shared" si="39"/>
        <v/>
      </c>
      <c r="CX100" s="153" t="str">
        <f t="shared" si="40"/>
        <v/>
      </c>
      <c r="CY100" s="153" t="str">
        <f t="shared" si="41"/>
        <v/>
      </c>
      <c r="DA100" s="423" t="s">
        <v>236</v>
      </c>
      <c r="DB100" s="23">
        <v>1.25</v>
      </c>
    </row>
    <row r="101" spans="1:106" ht="19.5" customHeight="1">
      <c r="A101" s="10">
        <v>79</v>
      </c>
      <c r="B101" s="373"/>
      <c r="C101" s="373"/>
      <c r="D101" s="396"/>
      <c r="E101" s="375"/>
      <c r="F101" s="373"/>
      <c r="G101" s="373"/>
      <c r="H101" s="376"/>
      <c r="I101" s="377"/>
      <c r="J101" s="378"/>
      <c r="K101" s="379"/>
      <c r="L101" s="374"/>
      <c r="M101" s="380" t="str">
        <f t="shared" ca="1" si="42"/>
        <v/>
      </c>
      <c r="N101" s="373"/>
      <c r="O101" s="381"/>
      <c r="P101" s="381"/>
      <c r="Q101" s="382"/>
      <c r="R101" s="381"/>
      <c r="S101" s="383"/>
      <c r="T101" s="384" t="str">
        <f t="shared" si="43"/>
        <v/>
      </c>
      <c r="U101" s="385"/>
      <c r="V101" s="384" t="str">
        <f t="shared" si="44"/>
        <v/>
      </c>
      <c r="W101" s="386"/>
      <c r="X101" s="386" t="str">
        <f t="shared" si="45"/>
        <v/>
      </c>
      <c r="Y101" s="386" t="str">
        <f t="shared" si="46"/>
        <v/>
      </c>
      <c r="Z101" s="386" t="str">
        <f t="shared" si="47"/>
        <v/>
      </c>
      <c r="AA101" s="387"/>
      <c r="AB101" s="386" t="str">
        <f t="shared" si="48"/>
        <v/>
      </c>
      <c r="AC101" s="386" t="str">
        <f t="shared" si="49"/>
        <v/>
      </c>
      <c r="AD101" s="386" t="str">
        <f t="shared" si="50"/>
        <v/>
      </c>
      <c r="AE101" s="386" t="str">
        <f t="shared" si="51"/>
        <v/>
      </c>
      <c r="AF101" s="386" t="str">
        <f t="shared" si="52"/>
        <v/>
      </c>
      <c r="AG101" s="386" t="str">
        <f t="shared" si="53"/>
        <v/>
      </c>
      <c r="AH101" s="386" t="str">
        <f t="shared" si="54"/>
        <v/>
      </c>
      <c r="AI101" s="386" t="str">
        <f t="shared" si="55"/>
        <v/>
      </c>
      <c r="AJ101" s="386" t="str">
        <f t="shared" si="56"/>
        <v/>
      </c>
      <c r="AK101" s="386" t="str">
        <f t="shared" si="57"/>
        <v/>
      </c>
      <c r="AL101" s="388"/>
      <c r="AM101" s="388"/>
      <c r="AN101" s="388"/>
      <c r="AO101" s="388"/>
      <c r="AP101" s="402" t="str">
        <f t="shared" si="58"/>
        <v/>
      </c>
      <c r="AQ101" s="388"/>
      <c r="AR101" s="388"/>
      <c r="AS101" s="388"/>
      <c r="AT101" s="388"/>
      <c r="AU101" s="402" t="str">
        <f t="shared" si="59"/>
        <v/>
      </c>
      <c r="AV101" s="389"/>
      <c r="AW101" s="381"/>
      <c r="AX101" s="381"/>
      <c r="AY101" s="373"/>
      <c r="AZ101" s="390"/>
      <c r="BA101" s="390"/>
      <c r="BB101" s="391"/>
      <c r="BC101" s="392"/>
      <c r="BD101" s="393"/>
      <c r="BE101" s="393"/>
      <c r="BF101" s="393"/>
      <c r="BG101" s="394"/>
      <c r="BH101" s="395"/>
      <c r="BI101" s="374"/>
      <c r="BJ101" s="374"/>
      <c r="BK101" s="374"/>
      <c r="BL101" s="389"/>
      <c r="BM101" s="397"/>
      <c r="BN101" s="389"/>
      <c r="BO101" s="419" t="str">
        <f t="shared" si="60"/>
        <v/>
      </c>
      <c r="BP101" s="389"/>
      <c r="BQ101" s="397"/>
      <c r="BR101" s="419"/>
      <c r="BS101" s="419"/>
      <c r="BT101" s="419"/>
      <c r="BU101" s="432"/>
      <c r="BV101" s="419"/>
      <c r="BW101" s="419"/>
      <c r="BX101" s="419"/>
      <c r="BY101" s="389"/>
      <c r="BZ101" s="389"/>
      <c r="CA101" s="389"/>
      <c r="CB101" s="389"/>
      <c r="CC101" s="389"/>
      <c r="CD101" s="389"/>
      <c r="CE101" s="389"/>
      <c r="CF101" s="389"/>
      <c r="CG101" s="389"/>
      <c r="CH101" s="389"/>
      <c r="CI101" s="389"/>
      <c r="CJ101" s="422"/>
      <c r="CK101" s="422"/>
      <c r="CL101" s="422"/>
      <c r="CM101" s="422"/>
      <c r="CN101" s="422"/>
      <c r="CO101" s="422"/>
      <c r="CP101" s="422"/>
      <c r="CQ101" s="432"/>
      <c r="CR101" s="431" t="str">
        <f t="shared" si="37"/>
        <v/>
      </c>
      <c r="CS101" s="35" t="str">
        <f t="shared" si="38"/>
        <v>Direct or WHSE.</v>
      </c>
      <c r="CT101" s="411"/>
      <c r="CW101" s="153" t="str">
        <f t="shared" si="39"/>
        <v/>
      </c>
      <c r="CX101" s="153" t="str">
        <f t="shared" si="40"/>
        <v/>
      </c>
      <c r="CY101" s="153" t="str">
        <f t="shared" si="41"/>
        <v/>
      </c>
      <c r="DA101" s="423" t="s">
        <v>227</v>
      </c>
      <c r="DB101" s="23">
        <v>2.25</v>
      </c>
    </row>
    <row r="102" spans="1:106" ht="19.5" customHeight="1">
      <c r="A102" s="10">
        <v>80</v>
      </c>
      <c r="B102" s="373"/>
      <c r="C102" s="373"/>
      <c r="D102" s="396"/>
      <c r="E102" s="375"/>
      <c r="F102" s="373"/>
      <c r="G102" s="373"/>
      <c r="H102" s="376"/>
      <c r="I102" s="377"/>
      <c r="J102" s="378"/>
      <c r="K102" s="379"/>
      <c r="L102" s="374"/>
      <c r="M102" s="380" t="str">
        <f t="shared" ca="1" si="42"/>
        <v/>
      </c>
      <c r="N102" s="373"/>
      <c r="O102" s="381"/>
      <c r="P102" s="381"/>
      <c r="Q102" s="382"/>
      <c r="R102" s="381"/>
      <c r="S102" s="383"/>
      <c r="T102" s="384" t="str">
        <f t="shared" si="43"/>
        <v/>
      </c>
      <c r="U102" s="385"/>
      <c r="V102" s="384" t="str">
        <f t="shared" si="44"/>
        <v/>
      </c>
      <c r="W102" s="386"/>
      <c r="X102" s="386" t="str">
        <f t="shared" si="45"/>
        <v/>
      </c>
      <c r="Y102" s="386" t="str">
        <f t="shared" si="46"/>
        <v/>
      </c>
      <c r="Z102" s="386" t="str">
        <f t="shared" si="47"/>
        <v/>
      </c>
      <c r="AA102" s="387"/>
      <c r="AB102" s="386" t="str">
        <f t="shared" si="48"/>
        <v/>
      </c>
      <c r="AC102" s="386" t="str">
        <f t="shared" si="49"/>
        <v/>
      </c>
      <c r="AD102" s="386" t="str">
        <f t="shared" si="50"/>
        <v/>
      </c>
      <c r="AE102" s="386" t="str">
        <f t="shared" si="51"/>
        <v/>
      </c>
      <c r="AF102" s="386" t="str">
        <f t="shared" si="52"/>
        <v/>
      </c>
      <c r="AG102" s="386" t="str">
        <f t="shared" si="53"/>
        <v/>
      </c>
      <c r="AH102" s="386" t="str">
        <f t="shared" si="54"/>
        <v/>
      </c>
      <c r="AI102" s="386" t="str">
        <f t="shared" si="55"/>
        <v/>
      </c>
      <c r="AJ102" s="386" t="str">
        <f t="shared" si="56"/>
        <v/>
      </c>
      <c r="AK102" s="386" t="str">
        <f t="shared" si="57"/>
        <v/>
      </c>
      <c r="AL102" s="388"/>
      <c r="AM102" s="388"/>
      <c r="AN102" s="388"/>
      <c r="AO102" s="388"/>
      <c r="AP102" s="402" t="str">
        <f t="shared" si="58"/>
        <v/>
      </c>
      <c r="AQ102" s="388"/>
      <c r="AR102" s="388"/>
      <c r="AS102" s="388"/>
      <c r="AT102" s="388"/>
      <c r="AU102" s="402" t="str">
        <f t="shared" si="59"/>
        <v/>
      </c>
      <c r="AV102" s="389"/>
      <c r="AW102" s="381"/>
      <c r="AX102" s="381"/>
      <c r="AY102" s="373"/>
      <c r="AZ102" s="390"/>
      <c r="BA102" s="390"/>
      <c r="BB102" s="391"/>
      <c r="BC102" s="392"/>
      <c r="BD102" s="393"/>
      <c r="BE102" s="393"/>
      <c r="BF102" s="393"/>
      <c r="BG102" s="394"/>
      <c r="BH102" s="395"/>
      <c r="BI102" s="374"/>
      <c r="BJ102" s="374"/>
      <c r="BK102" s="374"/>
      <c r="BL102" s="389"/>
      <c r="BM102" s="397"/>
      <c r="BN102" s="389"/>
      <c r="BO102" s="419" t="str">
        <f t="shared" si="60"/>
        <v/>
      </c>
      <c r="BP102" s="389"/>
      <c r="BQ102" s="397"/>
      <c r="BR102" s="419"/>
      <c r="BS102" s="419"/>
      <c r="BT102" s="419"/>
      <c r="BU102" s="432"/>
      <c r="BV102" s="419"/>
      <c r="BW102" s="419"/>
      <c r="BX102" s="419"/>
      <c r="BY102" s="389"/>
      <c r="BZ102" s="389"/>
      <c r="CA102" s="389"/>
      <c r="CB102" s="389"/>
      <c r="CC102" s="389"/>
      <c r="CD102" s="389"/>
      <c r="CE102" s="389"/>
      <c r="CF102" s="389"/>
      <c r="CG102" s="389"/>
      <c r="CH102" s="389"/>
      <c r="CI102" s="389"/>
      <c r="CJ102" s="422"/>
      <c r="CK102" s="422"/>
      <c r="CL102" s="422"/>
      <c r="CM102" s="422"/>
      <c r="CN102" s="422"/>
      <c r="CO102" s="422"/>
      <c r="CP102" s="422"/>
      <c r="CQ102" s="432"/>
      <c r="CR102" s="431" t="str">
        <f t="shared" si="37"/>
        <v/>
      </c>
      <c r="CS102" s="35" t="str">
        <f t="shared" si="38"/>
        <v>Direct or WHSE.</v>
      </c>
      <c r="CT102" s="411"/>
      <c r="CW102" s="153" t="str">
        <f t="shared" si="39"/>
        <v/>
      </c>
      <c r="CX102" s="153" t="str">
        <f t="shared" si="40"/>
        <v/>
      </c>
      <c r="CY102" s="153" t="str">
        <f t="shared" si="41"/>
        <v/>
      </c>
      <c r="DA102" s="423" t="s">
        <v>228</v>
      </c>
      <c r="DB102" s="23">
        <v>1.5</v>
      </c>
    </row>
    <row r="103" spans="1:106" ht="19.5" customHeight="1">
      <c r="A103" s="10">
        <v>81</v>
      </c>
      <c r="B103" s="373"/>
      <c r="C103" s="373"/>
      <c r="D103" s="396"/>
      <c r="E103" s="375"/>
      <c r="F103" s="373"/>
      <c r="G103" s="373"/>
      <c r="H103" s="376"/>
      <c r="I103" s="377"/>
      <c r="J103" s="378"/>
      <c r="K103" s="379"/>
      <c r="L103" s="374"/>
      <c r="M103" s="380" t="str">
        <f t="shared" ca="1" si="42"/>
        <v/>
      </c>
      <c r="N103" s="373"/>
      <c r="O103" s="381"/>
      <c r="P103" s="381"/>
      <c r="Q103" s="382"/>
      <c r="R103" s="381"/>
      <c r="S103" s="383"/>
      <c r="T103" s="384" t="str">
        <f t="shared" si="43"/>
        <v/>
      </c>
      <c r="U103" s="385"/>
      <c r="V103" s="384" t="str">
        <f t="shared" si="44"/>
        <v/>
      </c>
      <c r="W103" s="386"/>
      <c r="X103" s="386" t="str">
        <f t="shared" si="45"/>
        <v/>
      </c>
      <c r="Y103" s="386" t="str">
        <f t="shared" si="46"/>
        <v/>
      </c>
      <c r="Z103" s="386" t="str">
        <f t="shared" si="47"/>
        <v/>
      </c>
      <c r="AA103" s="387"/>
      <c r="AB103" s="386" t="str">
        <f t="shared" si="48"/>
        <v/>
      </c>
      <c r="AC103" s="386" t="str">
        <f t="shared" si="49"/>
        <v/>
      </c>
      <c r="AD103" s="386" t="str">
        <f t="shared" si="50"/>
        <v/>
      </c>
      <c r="AE103" s="386" t="str">
        <f t="shared" si="51"/>
        <v/>
      </c>
      <c r="AF103" s="386" t="str">
        <f t="shared" si="52"/>
        <v/>
      </c>
      <c r="AG103" s="386" t="str">
        <f t="shared" si="53"/>
        <v/>
      </c>
      <c r="AH103" s="386" t="str">
        <f t="shared" si="54"/>
        <v/>
      </c>
      <c r="AI103" s="386" t="str">
        <f t="shared" si="55"/>
        <v/>
      </c>
      <c r="AJ103" s="386" t="str">
        <f t="shared" si="56"/>
        <v/>
      </c>
      <c r="AK103" s="386" t="str">
        <f t="shared" si="57"/>
        <v/>
      </c>
      <c r="AL103" s="388"/>
      <c r="AM103" s="388"/>
      <c r="AN103" s="388"/>
      <c r="AO103" s="388"/>
      <c r="AP103" s="402" t="str">
        <f t="shared" si="58"/>
        <v/>
      </c>
      <c r="AQ103" s="388"/>
      <c r="AR103" s="388"/>
      <c r="AS103" s="388"/>
      <c r="AT103" s="388"/>
      <c r="AU103" s="402" t="str">
        <f t="shared" si="59"/>
        <v/>
      </c>
      <c r="AV103" s="389"/>
      <c r="AW103" s="381"/>
      <c r="AX103" s="381"/>
      <c r="AY103" s="373"/>
      <c r="AZ103" s="390"/>
      <c r="BA103" s="390"/>
      <c r="BB103" s="391"/>
      <c r="BC103" s="392"/>
      <c r="BD103" s="393"/>
      <c r="BE103" s="393"/>
      <c r="BF103" s="393"/>
      <c r="BG103" s="394"/>
      <c r="BH103" s="395"/>
      <c r="BI103" s="374"/>
      <c r="BJ103" s="374"/>
      <c r="BK103" s="374"/>
      <c r="BL103" s="389"/>
      <c r="BM103" s="397"/>
      <c r="BN103" s="389"/>
      <c r="BO103" s="419" t="str">
        <f t="shared" si="60"/>
        <v/>
      </c>
      <c r="BP103" s="389"/>
      <c r="BQ103" s="397"/>
      <c r="BR103" s="419"/>
      <c r="BS103" s="419"/>
      <c r="BT103" s="419"/>
      <c r="BU103" s="432"/>
      <c r="BV103" s="419"/>
      <c r="BW103" s="419"/>
      <c r="BX103" s="419"/>
      <c r="BY103" s="389"/>
      <c r="BZ103" s="389"/>
      <c r="CA103" s="389"/>
      <c r="CB103" s="389"/>
      <c r="CC103" s="389"/>
      <c r="CD103" s="389"/>
      <c r="CE103" s="389"/>
      <c r="CF103" s="389"/>
      <c r="CG103" s="389"/>
      <c r="CH103" s="389"/>
      <c r="CI103" s="389"/>
      <c r="CJ103" s="422"/>
      <c r="CK103" s="422"/>
      <c r="CL103" s="422"/>
      <c r="CM103" s="422"/>
      <c r="CN103" s="422"/>
      <c r="CO103" s="422"/>
      <c r="CP103" s="422"/>
      <c r="CQ103" s="432"/>
      <c r="CR103" s="431" t="str">
        <f t="shared" si="37"/>
        <v/>
      </c>
      <c r="CS103" s="35" t="str">
        <f t="shared" si="38"/>
        <v>Direct or WHSE.</v>
      </c>
      <c r="CT103" s="411"/>
      <c r="CW103" s="153" t="str">
        <f t="shared" si="39"/>
        <v/>
      </c>
      <c r="CX103" s="153" t="str">
        <f t="shared" si="40"/>
        <v/>
      </c>
      <c r="CY103" s="153" t="str">
        <f t="shared" si="41"/>
        <v/>
      </c>
      <c r="DA103" s="423" t="s">
        <v>229</v>
      </c>
      <c r="DB103" s="23">
        <v>0.75</v>
      </c>
    </row>
    <row r="104" spans="1:106" ht="19.5" customHeight="1">
      <c r="A104" s="10">
        <v>82</v>
      </c>
      <c r="B104" s="373"/>
      <c r="C104" s="373"/>
      <c r="D104" s="396"/>
      <c r="E104" s="375"/>
      <c r="F104" s="373"/>
      <c r="G104" s="373"/>
      <c r="H104" s="376"/>
      <c r="I104" s="377"/>
      <c r="J104" s="378"/>
      <c r="K104" s="379"/>
      <c r="L104" s="374"/>
      <c r="M104" s="380" t="str">
        <f t="shared" ca="1" si="42"/>
        <v/>
      </c>
      <c r="N104" s="373"/>
      <c r="O104" s="381"/>
      <c r="P104" s="381"/>
      <c r="Q104" s="382"/>
      <c r="R104" s="381"/>
      <c r="S104" s="383"/>
      <c r="T104" s="384" t="str">
        <f t="shared" si="43"/>
        <v/>
      </c>
      <c r="U104" s="385"/>
      <c r="V104" s="384" t="str">
        <f t="shared" si="44"/>
        <v/>
      </c>
      <c r="W104" s="386"/>
      <c r="X104" s="386" t="str">
        <f t="shared" si="45"/>
        <v/>
      </c>
      <c r="Y104" s="386" t="str">
        <f t="shared" si="46"/>
        <v/>
      </c>
      <c r="Z104" s="386" t="str">
        <f t="shared" si="47"/>
        <v/>
      </c>
      <c r="AA104" s="387"/>
      <c r="AB104" s="386" t="str">
        <f t="shared" si="48"/>
        <v/>
      </c>
      <c r="AC104" s="386" t="str">
        <f t="shared" si="49"/>
        <v/>
      </c>
      <c r="AD104" s="386" t="str">
        <f t="shared" si="50"/>
        <v/>
      </c>
      <c r="AE104" s="386" t="str">
        <f t="shared" si="51"/>
        <v/>
      </c>
      <c r="AF104" s="386" t="str">
        <f t="shared" si="52"/>
        <v/>
      </c>
      <c r="AG104" s="386" t="str">
        <f t="shared" si="53"/>
        <v/>
      </c>
      <c r="AH104" s="386" t="str">
        <f t="shared" si="54"/>
        <v/>
      </c>
      <c r="AI104" s="386" t="str">
        <f t="shared" si="55"/>
        <v/>
      </c>
      <c r="AJ104" s="386" t="str">
        <f t="shared" si="56"/>
        <v/>
      </c>
      <c r="AK104" s="386" t="str">
        <f t="shared" si="57"/>
        <v/>
      </c>
      <c r="AL104" s="388"/>
      <c r="AM104" s="388"/>
      <c r="AN104" s="388"/>
      <c r="AO104" s="388"/>
      <c r="AP104" s="402" t="str">
        <f t="shared" si="58"/>
        <v/>
      </c>
      <c r="AQ104" s="388"/>
      <c r="AR104" s="388"/>
      <c r="AS104" s="388"/>
      <c r="AT104" s="388"/>
      <c r="AU104" s="402" t="str">
        <f t="shared" si="59"/>
        <v/>
      </c>
      <c r="AV104" s="389"/>
      <c r="AW104" s="381"/>
      <c r="AX104" s="381"/>
      <c r="AY104" s="373"/>
      <c r="AZ104" s="390"/>
      <c r="BA104" s="390"/>
      <c r="BB104" s="391"/>
      <c r="BC104" s="392"/>
      <c r="BD104" s="393"/>
      <c r="BE104" s="393"/>
      <c r="BF104" s="393"/>
      <c r="BG104" s="394"/>
      <c r="BH104" s="395"/>
      <c r="BI104" s="374"/>
      <c r="BJ104" s="374"/>
      <c r="BK104" s="374"/>
      <c r="BL104" s="389"/>
      <c r="BM104" s="397"/>
      <c r="BN104" s="389"/>
      <c r="BO104" s="419" t="str">
        <f t="shared" si="60"/>
        <v/>
      </c>
      <c r="BP104" s="389"/>
      <c r="BQ104" s="397"/>
      <c r="BR104" s="419"/>
      <c r="BS104" s="419"/>
      <c r="BT104" s="419"/>
      <c r="BU104" s="432"/>
      <c r="BV104" s="419"/>
      <c r="BW104" s="419"/>
      <c r="BX104" s="419"/>
      <c r="BY104" s="389"/>
      <c r="BZ104" s="389"/>
      <c r="CA104" s="389"/>
      <c r="CB104" s="389"/>
      <c r="CC104" s="389"/>
      <c r="CD104" s="389"/>
      <c r="CE104" s="389"/>
      <c r="CF104" s="389"/>
      <c r="CG104" s="389"/>
      <c r="CH104" s="389"/>
      <c r="CI104" s="389"/>
      <c r="CJ104" s="422"/>
      <c r="CK104" s="422"/>
      <c r="CL104" s="422"/>
      <c r="CM104" s="422"/>
      <c r="CN104" s="422"/>
      <c r="CO104" s="422"/>
      <c r="CP104" s="422"/>
      <c r="CQ104" s="432"/>
      <c r="CR104" s="431" t="str">
        <f t="shared" si="37"/>
        <v/>
      </c>
      <c r="CS104" s="35" t="str">
        <f t="shared" si="38"/>
        <v>Direct or WHSE.</v>
      </c>
      <c r="CT104" s="411"/>
      <c r="CW104" s="153" t="str">
        <f t="shared" si="39"/>
        <v/>
      </c>
      <c r="CX104" s="153" t="str">
        <f t="shared" si="40"/>
        <v/>
      </c>
      <c r="CY104" s="153" t="str">
        <f t="shared" si="41"/>
        <v/>
      </c>
      <c r="DA104" s="423" t="s">
        <v>230</v>
      </c>
      <c r="DB104" s="23">
        <v>1</v>
      </c>
    </row>
    <row r="105" spans="1:106" ht="19.5" customHeight="1">
      <c r="A105" s="10">
        <v>83</v>
      </c>
      <c r="B105" s="373"/>
      <c r="C105" s="373"/>
      <c r="D105" s="396"/>
      <c r="E105" s="375"/>
      <c r="F105" s="373"/>
      <c r="G105" s="373"/>
      <c r="H105" s="376"/>
      <c r="I105" s="377"/>
      <c r="J105" s="378"/>
      <c r="K105" s="379"/>
      <c r="L105" s="374"/>
      <c r="M105" s="380" t="str">
        <f t="shared" ca="1" si="42"/>
        <v/>
      </c>
      <c r="N105" s="373"/>
      <c r="O105" s="381"/>
      <c r="P105" s="381"/>
      <c r="Q105" s="382"/>
      <c r="R105" s="381"/>
      <c r="S105" s="383"/>
      <c r="T105" s="384" t="str">
        <f t="shared" si="43"/>
        <v/>
      </c>
      <c r="U105" s="385"/>
      <c r="V105" s="384" t="str">
        <f t="shared" si="44"/>
        <v/>
      </c>
      <c r="W105" s="386"/>
      <c r="X105" s="386" t="str">
        <f t="shared" si="45"/>
        <v/>
      </c>
      <c r="Y105" s="386" t="str">
        <f t="shared" si="46"/>
        <v/>
      </c>
      <c r="Z105" s="386" t="str">
        <f t="shared" si="47"/>
        <v/>
      </c>
      <c r="AA105" s="387"/>
      <c r="AB105" s="386" t="str">
        <f t="shared" si="48"/>
        <v/>
      </c>
      <c r="AC105" s="386" t="str">
        <f t="shared" si="49"/>
        <v/>
      </c>
      <c r="AD105" s="386" t="str">
        <f t="shared" si="50"/>
        <v/>
      </c>
      <c r="AE105" s="386" t="str">
        <f t="shared" si="51"/>
        <v/>
      </c>
      <c r="AF105" s="386" t="str">
        <f t="shared" si="52"/>
        <v/>
      </c>
      <c r="AG105" s="386" t="str">
        <f t="shared" si="53"/>
        <v/>
      </c>
      <c r="AH105" s="386" t="str">
        <f t="shared" si="54"/>
        <v/>
      </c>
      <c r="AI105" s="386" t="str">
        <f t="shared" si="55"/>
        <v/>
      </c>
      <c r="AJ105" s="386" t="str">
        <f t="shared" si="56"/>
        <v/>
      </c>
      <c r="AK105" s="386" t="str">
        <f t="shared" si="57"/>
        <v/>
      </c>
      <c r="AL105" s="388"/>
      <c r="AM105" s="388"/>
      <c r="AN105" s="388"/>
      <c r="AO105" s="388"/>
      <c r="AP105" s="402" t="str">
        <f t="shared" si="58"/>
        <v/>
      </c>
      <c r="AQ105" s="388"/>
      <c r="AR105" s="388"/>
      <c r="AS105" s="388"/>
      <c r="AT105" s="388"/>
      <c r="AU105" s="402" t="str">
        <f t="shared" si="59"/>
        <v/>
      </c>
      <c r="AV105" s="389"/>
      <c r="AW105" s="381"/>
      <c r="AX105" s="381"/>
      <c r="AY105" s="373"/>
      <c r="AZ105" s="390"/>
      <c r="BA105" s="390"/>
      <c r="BB105" s="391"/>
      <c r="BC105" s="392"/>
      <c r="BD105" s="393"/>
      <c r="BE105" s="393"/>
      <c r="BF105" s="393"/>
      <c r="BG105" s="394"/>
      <c r="BH105" s="395"/>
      <c r="BI105" s="374"/>
      <c r="BJ105" s="374"/>
      <c r="BK105" s="374"/>
      <c r="BL105" s="389"/>
      <c r="BM105" s="397"/>
      <c r="BN105" s="389"/>
      <c r="BO105" s="419" t="str">
        <f t="shared" si="60"/>
        <v/>
      </c>
      <c r="BP105" s="389"/>
      <c r="BQ105" s="397"/>
      <c r="BR105" s="419"/>
      <c r="BS105" s="419"/>
      <c r="BT105" s="419"/>
      <c r="BU105" s="432"/>
      <c r="BV105" s="419"/>
      <c r="BW105" s="419"/>
      <c r="BX105" s="419"/>
      <c r="BY105" s="389"/>
      <c r="BZ105" s="389"/>
      <c r="CA105" s="389"/>
      <c r="CB105" s="389"/>
      <c r="CC105" s="389"/>
      <c r="CD105" s="389"/>
      <c r="CE105" s="389"/>
      <c r="CF105" s="389"/>
      <c r="CG105" s="389"/>
      <c r="CH105" s="389"/>
      <c r="CI105" s="389"/>
      <c r="CJ105" s="422"/>
      <c r="CK105" s="422"/>
      <c r="CL105" s="422"/>
      <c r="CM105" s="422"/>
      <c r="CN105" s="422"/>
      <c r="CO105" s="422"/>
      <c r="CP105" s="422"/>
      <c r="CQ105" s="432"/>
      <c r="CR105" s="431" t="str">
        <f t="shared" si="37"/>
        <v/>
      </c>
      <c r="CS105" s="35" t="str">
        <f t="shared" si="38"/>
        <v>Direct or WHSE.</v>
      </c>
      <c r="CT105" s="411"/>
      <c r="CW105" s="153" t="str">
        <f t="shared" si="39"/>
        <v/>
      </c>
      <c r="CX105" s="153" t="str">
        <f t="shared" si="40"/>
        <v/>
      </c>
      <c r="CY105" s="153" t="str">
        <f t="shared" si="41"/>
        <v/>
      </c>
      <c r="DA105" s="423" t="s">
        <v>231</v>
      </c>
      <c r="DB105" s="23">
        <v>1</v>
      </c>
    </row>
    <row r="106" spans="1:106" ht="19.5" customHeight="1">
      <c r="A106" s="10">
        <v>84</v>
      </c>
      <c r="B106" s="373"/>
      <c r="C106" s="373"/>
      <c r="D106" s="396"/>
      <c r="E106" s="375"/>
      <c r="F106" s="373"/>
      <c r="G106" s="373"/>
      <c r="H106" s="376"/>
      <c r="I106" s="377"/>
      <c r="J106" s="378"/>
      <c r="K106" s="379"/>
      <c r="L106" s="374"/>
      <c r="M106" s="380" t="str">
        <f t="shared" ca="1" si="42"/>
        <v/>
      </c>
      <c r="N106" s="373"/>
      <c r="O106" s="381"/>
      <c r="P106" s="381"/>
      <c r="Q106" s="382"/>
      <c r="R106" s="381"/>
      <c r="S106" s="383"/>
      <c r="T106" s="384" t="str">
        <f t="shared" si="43"/>
        <v/>
      </c>
      <c r="U106" s="385"/>
      <c r="V106" s="384" t="str">
        <f t="shared" si="44"/>
        <v/>
      </c>
      <c r="W106" s="386"/>
      <c r="X106" s="386" t="str">
        <f t="shared" si="45"/>
        <v/>
      </c>
      <c r="Y106" s="386" t="str">
        <f t="shared" si="46"/>
        <v/>
      </c>
      <c r="Z106" s="386" t="str">
        <f t="shared" si="47"/>
        <v/>
      </c>
      <c r="AA106" s="387"/>
      <c r="AB106" s="386" t="str">
        <f t="shared" si="48"/>
        <v/>
      </c>
      <c r="AC106" s="386" t="str">
        <f t="shared" si="49"/>
        <v/>
      </c>
      <c r="AD106" s="386" t="str">
        <f t="shared" si="50"/>
        <v/>
      </c>
      <c r="AE106" s="386" t="str">
        <f t="shared" si="51"/>
        <v/>
      </c>
      <c r="AF106" s="386" t="str">
        <f t="shared" si="52"/>
        <v/>
      </c>
      <c r="AG106" s="386" t="str">
        <f t="shared" si="53"/>
        <v/>
      </c>
      <c r="AH106" s="386" t="str">
        <f t="shared" si="54"/>
        <v/>
      </c>
      <c r="AI106" s="386" t="str">
        <f t="shared" si="55"/>
        <v/>
      </c>
      <c r="AJ106" s="386" t="str">
        <f t="shared" si="56"/>
        <v/>
      </c>
      <c r="AK106" s="386" t="str">
        <f t="shared" si="57"/>
        <v/>
      </c>
      <c r="AL106" s="388"/>
      <c r="AM106" s="388"/>
      <c r="AN106" s="388"/>
      <c r="AO106" s="388"/>
      <c r="AP106" s="402" t="str">
        <f t="shared" si="58"/>
        <v/>
      </c>
      <c r="AQ106" s="388"/>
      <c r="AR106" s="388"/>
      <c r="AS106" s="388"/>
      <c r="AT106" s="388"/>
      <c r="AU106" s="402" t="str">
        <f t="shared" si="59"/>
        <v/>
      </c>
      <c r="AV106" s="389"/>
      <c r="AW106" s="381"/>
      <c r="AX106" s="381"/>
      <c r="AY106" s="373"/>
      <c r="AZ106" s="390"/>
      <c r="BA106" s="390"/>
      <c r="BB106" s="391"/>
      <c r="BC106" s="392"/>
      <c r="BD106" s="393"/>
      <c r="BE106" s="393"/>
      <c r="BF106" s="393"/>
      <c r="BG106" s="394"/>
      <c r="BH106" s="395"/>
      <c r="BI106" s="374"/>
      <c r="BJ106" s="374"/>
      <c r="BK106" s="374"/>
      <c r="BL106" s="389"/>
      <c r="BM106" s="397"/>
      <c r="BN106" s="389"/>
      <c r="BO106" s="419" t="str">
        <f t="shared" si="60"/>
        <v/>
      </c>
      <c r="BP106" s="389"/>
      <c r="BQ106" s="397"/>
      <c r="BR106" s="419"/>
      <c r="BS106" s="419"/>
      <c r="BT106" s="419"/>
      <c r="BU106" s="432"/>
      <c r="BV106" s="419"/>
      <c r="BW106" s="419"/>
      <c r="BX106" s="419"/>
      <c r="BY106" s="389"/>
      <c r="BZ106" s="389"/>
      <c r="CA106" s="389"/>
      <c r="CB106" s="389"/>
      <c r="CC106" s="389"/>
      <c r="CD106" s="389"/>
      <c r="CE106" s="389"/>
      <c r="CF106" s="389"/>
      <c r="CG106" s="389"/>
      <c r="CH106" s="389"/>
      <c r="CI106" s="389"/>
      <c r="CJ106" s="422"/>
      <c r="CK106" s="422"/>
      <c r="CL106" s="422"/>
      <c r="CM106" s="422"/>
      <c r="CN106" s="422"/>
      <c r="CO106" s="422"/>
      <c r="CP106" s="422"/>
      <c r="CQ106" s="432"/>
      <c r="CR106" s="431" t="str">
        <f t="shared" si="37"/>
        <v/>
      </c>
      <c r="CS106" s="35" t="str">
        <f t="shared" si="38"/>
        <v>Direct or WHSE.</v>
      </c>
      <c r="CT106" s="411"/>
      <c r="CW106" s="153" t="str">
        <f t="shared" si="39"/>
        <v/>
      </c>
      <c r="CX106" s="153" t="str">
        <f t="shared" si="40"/>
        <v/>
      </c>
      <c r="CY106" s="153" t="str">
        <f t="shared" si="41"/>
        <v/>
      </c>
      <c r="DA106" s="423" t="s">
        <v>232</v>
      </c>
      <c r="DB106" s="23">
        <v>1.5</v>
      </c>
    </row>
    <row r="107" spans="1:106" ht="19.5" customHeight="1">
      <c r="A107" s="10">
        <v>85</v>
      </c>
      <c r="B107" s="373"/>
      <c r="C107" s="373"/>
      <c r="D107" s="396"/>
      <c r="E107" s="375"/>
      <c r="F107" s="373"/>
      <c r="G107" s="373"/>
      <c r="H107" s="376"/>
      <c r="I107" s="377"/>
      <c r="J107" s="378"/>
      <c r="K107" s="379"/>
      <c r="L107" s="374"/>
      <c r="M107" s="380" t="str">
        <f t="shared" ca="1" si="42"/>
        <v/>
      </c>
      <c r="N107" s="373"/>
      <c r="O107" s="381"/>
      <c r="P107" s="381"/>
      <c r="Q107" s="382"/>
      <c r="R107" s="381"/>
      <c r="S107" s="383"/>
      <c r="T107" s="384" t="str">
        <f t="shared" si="43"/>
        <v/>
      </c>
      <c r="U107" s="385"/>
      <c r="V107" s="384" t="str">
        <f t="shared" si="44"/>
        <v/>
      </c>
      <c r="W107" s="386"/>
      <c r="X107" s="386" t="str">
        <f t="shared" si="45"/>
        <v/>
      </c>
      <c r="Y107" s="386" t="str">
        <f t="shared" si="46"/>
        <v/>
      </c>
      <c r="Z107" s="386" t="str">
        <f t="shared" si="47"/>
        <v/>
      </c>
      <c r="AA107" s="387"/>
      <c r="AB107" s="386" t="str">
        <f t="shared" si="48"/>
        <v/>
      </c>
      <c r="AC107" s="386" t="str">
        <f t="shared" si="49"/>
        <v/>
      </c>
      <c r="AD107" s="386" t="str">
        <f t="shared" si="50"/>
        <v/>
      </c>
      <c r="AE107" s="386" t="str">
        <f t="shared" si="51"/>
        <v/>
      </c>
      <c r="AF107" s="386" t="str">
        <f t="shared" si="52"/>
        <v/>
      </c>
      <c r="AG107" s="386" t="str">
        <f t="shared" si="53"/>
        <v/>
      </c>
      <c r="AH107" s="386" t="str">
        <f t="shared" si="54"/>
        <v/>
      </c>
      <c r="AI107" s="386" t="str">
        <f t="shared" si="55"/>
        <v/>
      </c>
      <c r="AJ107" s="386" t="str">
        <f t="shared" si="56"/>
        <v/>
      </c>
      <c r="AK107" s="386" t="str">
        <f t="shared" si="57"/>
        <v/>
      </c>
      <c r="AL107" s="388"/>
      <c r="AM107" s="388"/>
      <c r="AN107" s="388"/>
      <c r="AO107" s="388"/>
      <c r="AP107" s="402" t="str">
        <f t="shared" si="58"/>
        <v/>
      </c>
      <c r="AQ107" s="388"/>
      <c r="AR107" s="388"/>
      <c r="AS107" s="388"/>
      <c r="AT107" s="388"/>
      <c r="AU107" s="402" t="str">
        <f t="shared" si="59"/>
        <v/>
      </c>
      <c r="AV107" s="389"/>
      <c r="AW107" s="381"/>
      <c r="AX107" s="381"/>
      <c r="AY107" s="373"/>
      <c r="AZ107" s="390"/>
      <c r="BA107" s="390"/>
      <c r="BB107" s="391"/>
      <c r="BC107" s="392"/>
      <c r="BD107" s="393"/>
      <c r="BE107" s="393"/>
      <c r="BF107" s="393"/>
      <c r="BG107" s="394"/>
      <c r="BH107" s="395"/>
      <c r="BI107" s="374"/>
      <c r="BJ107" s="374"/>
      <c r="BK107" s="374"/>
      <c r="BL107" s="389"/>
      <c r="BM107" s="397"/>
      <c r="BN107" s="389"/>
      <c r="BO107" s="419" t="str">
        <f t="shared" si="60"/>
        <v/>
      </c>
      <c r="BP107" s="389"/>
      <c r="BQ107" s="397"/>
      <c r="BR107" s="419"/>
      <c r="BS107" s="419"/>
      <c r="BT107" s="419"/>
      <c r="BU107" s="432"/>
      <c r="BV107" s="419"/>
      <c r="BW107" s="419"/>
      <c r="BX107" s="419"/>
      <c r="BY107" s="389"/>
      <c r="BZ107" s="389"/>
      <c r="CA107" s="389"/>
      <c r="CB107" s="389"/>
      <c r="CC107" s="389"/>
      <c r="CD107" s="389"/>
      <c r="CE107" s="389"/>
      <c r="CF107" s="389"/>
      <c r="CG107" s="389"/>
      <c r="CH107" s="389"/>
      <c r="CI107" s="389"/>
      <c r="CJ107" s="422"/>
      <c r="CK107" s="422"/>
      <c r="CL107" s="422"/>
      <c r="CM107" s="422"/>
      <c r="CN107" s="422"/>
      <c r="CO107" s="422"/>
      <c r="CP107" s="422"/>
      <c r="CQ107" s="432"/>
      <c r="CR107" s="431" t="str">
        <f t="shared" si="37"/>
        <v/>
      </c>
      <c r="CS107" s="35" t="str">
        <f t="shared" si="38"/>
        <v>Direct or WHSE.</v>
      </c>
      <c r="CT107" s="411"/>
      <c r="CW107" s="153" t="str">
        <f t="shared" si="39"/>
        <v/>
      </c>
      <c r="CX107" s="153" t="str">
        <f t="shared" si="40"/>
        <v/>
      </c>
      <c r="CY107" s="153" t="str">
        <f t="shared" si="41"/>
        <v/>
      </c>
      <c r="DA107" s="423" t="s">
        <v>237</v>
      </c>
      <c r="DB107" s="23">
        <v>1</v>
      </c>
    </row>
    <row r="108" spans="1:106" ht="19.5" customHeight="1">
      <c r="A108" s="10">
        <v>86</v>
      </c>
      <c r="B108" s="373"/>
      <c r="C108" s="373"/>
      <c r="D108" s="396"/>
      <c r="E108" s="375"/>
      <c r="F108" s="373"/>
      <c r="G108" s="373"/>
      <c r="H108" s="376"/>
      <c r="I108" s="377"/>
      <c r="J108" s="378"/>
      <c r="K108" s="379"/>
      <c r="L108" s="374"/>
      <c r="M108" s="380" t="str">
        <f t="shared" ca="1" si="42"/>
        <v/>
      </c>
      <c r="N108" s="373"/>
      <c r="O108" s="381"/>
      <c r="P108" s="381"/>
      <c r="Q108" s="382"/>
      <c r="R108" s="381"/>
      <c r="S108" s="383"/>
      <c r="T108" s="384" t="str">
        <f t="shared" si="43"/>
        <v/>
      </c>
      <c r="U108" s="385"/>
      <c r="V108" s="384" t="str">
        <f t="shared" si="44"/>
        <v/>
      </c>
      <c r="W108" s="386"/>
      <c r="X108" s="386" t="str">
        <f t="shared" si="45"/>
        <v/>
      </c>
      <c r="Y108" s="386" t="str">
        <f t="shared" si="46"/>
        <v/>
      </c>
      <c r="Z108" s="386" t="str">
        <f t="shared" si="47"/>
        <v/>
      </c>
      <c r="AA108" s="387"/>
      <c r="AB108" s="386" t="str">
        <f t="shared" si="48"/>
        <v/>
      </c>
      <c r="AC108" s="386" t="str">
        <f t="shared" si="49"/>
        <v/>
      </c>
      <c r="AD108" s="386" t="str">
        <f t="shared" si="50"/>
        <v/>
      </c>
      <c r="AE108" s="386" t="str">
        <f t="shared" si="51"/>
        <v/>
      </c>
      <c r="AF108" s="386" t="str">
        <f t="shared" si="52"/>
        <v/>
      </c>
      <c r="AG108" s="386" t="str">
        <f t="shared" si="53"/>
        <v/>
      </c>
      <c r="AH108" s="386" t="str">
        <f t="shared" si="54"/>
        <v/>
      </c>
      <c r="AI108" s="386" t="str">
        <f t="shared" si="55"/>
        <v/>
      </c>
      <c r="AJ108" s="386" t="str">
        <f t="shared" si="56"/>
        <v/>
      </c>
      <c r="AK108" s="386" t="str">
        <f t="shared" si="57"/>
        <v/>
      </c>
      <c r="AL108" s="388"/>
      <c r="AM108" s="388"/>
      <c r="AN108" s="388"/>
      <c r="AO108" s="388"/>
      <c r="AP108" s="402" t="str">
        <f t="shared" si="58"/>
        <v/>
      </c>
      <c r="AQ108" s="388"/>
      <c r="AR108" s="388"/>
      <c r="AS108" s="388"/>
      <c r="AT108" s="388"/>
      <c r="AU108" s="402" t="str">
        <f t="shared" si="59"/>
        <v/>
      </c>
      <c r="AV108" s="389"/>
      <c r="AW108" s="381"/>
      <c r="AX108" s="381"/>
      <c r="AY108" s="373"/>
      <c r="AZ108" s="390"/>
      <c r="BA108" s="390"/>
      <c r="BB108" s="391"/>
      <c r="BC108" s="392"/>
      <c r="BD108" s="393"/>
      <c r="BE108" s="393"/>
      <c r="BF108" s="393"/>
      <c r="BG108" s="394"/>
      <c r="BH108" s="395"/>
      <c r="BI108" s="374"/>
      <c r="BJ108" s="374"/>
      <c r="BK108" s="374"/>
      <c r="BL108" s="389"/>
      <c r="BM108" s="397"/>
      <c r="BN108" s="389"/>
      <c r="BO108" s="419" t="str">
        <f t="shared" si="60"/>
        <v/>
      </c>
      <c r="BP108" s="389"/>
      <c r="BQ108" s="397"/>
      <c r="BR108" s="419"/>
      <c r="BS108" s="419"/>
      <c r="BT108" s="419"/>
      <c r="BU108" s="432"/>
      <c r="BV108" s="419"/>
      <c r="BW108" s="419"/>
      <c r="BX108" s="419"/>
      <c r="BY108" s="389"/>
      <c r="BZ108" s="389"/>
      <c r="CA108" s="389"/>
      <c r="CB108" s="389"/>
      <c r="CC108" s="389"/>
      <c r="CD108" s="389"/>
      <c r="CE108" s="389"/>
      <c r="CF108" s="389"/>
      <c r="CG108" s="389"/>
      <c r="CH108" s="389"/>
      <c r="CI108" s="389"/>
      <c r="CJ108" s="422"/>
      <c r="CK108" s="422"/>
      <c r="CL108" s="422"/>
      <c r="CM108" s="422"/>
      <c r="CN108" s="422"/>
      <c r="CO108" s="422"/>
      <c r="CP108" s="422"/>
      <c r="CQ108" s="432"/>
      <c r="CR108" s="431" t="str">
        <f t="shared" si="37"/>
        <v/>
      </c>
      <c r="CS108" s="35" t="str">
        <f t="shared" si="38"/>
        <v>Direct or WHSE.</v>
      </c>
      <c r="CT108" s="411"/>
      <c r="CW108" s="153" t="str">
        <f t="shared" si="39"/>
        <v/>
      </c>
      <c r="CX108" s="153" t="str">
        <f t="shared" si="40"/>
        <v/>
      </c>
      <c r="CY108" s="153" t="str">
        <f t="shared" si="41"/>
        <v/>
      </c>
      <c r="DA108" s="423" t="s">
        <v>238</v>
      </c>
      <c r="DB108" s="23">
        <v>3</v>
      </c>
    </row>
    <row r="109" spans="1:106" ht="19.5" customHeight="1">
      <c r="A109" s="10">
        <v>87</v>
      </c>
      <c r="B109" s="373"/>
      <c r="C109" s="373"/>
      <c r="D109" s="396"/>
      <c r="E109" s="375"/>
      <c r="F109" s="373"/>
      <c r="G109" s="373"/>
      <c r="H109" s="376"/>
      <c r="I109" s="377"/>
      <c r="J109" s="378"/>
      <c r="K109" s="379"/>
      <c r="L109" s="374"/>
      <c r="M109" s="380" t="str">
        <f t="shared" ca="1" si="42"/>
        <v/>
      </c>
      <c r="N109" s="373"/>
      <c r="O109" s="381"/>
      <c r="P109" s="381"/>
      <c r="Q109" s="382"/>
      <c r="R109" s="381"/>
      <c r="S109" s="383"/>
      <c r="T109" s="384" t="str">
        <f t="shared" si="43"/>
        <v/>
      </c>
      <c r="U109" s="385"/>
      <c r="V109" s="384" t="str">
        <f t="shared" si="44"/>
        <v/>
      </c>
      <c r="W109" s="386"/>
      <c r="X109" s="386" t="str">
        <f t="shared" si="45"/>
        <v/>
      </c>
      <c r="Y109" s="386" t="str">
        <f t="shared" si="46"/>
        <v/>
      </c>
      <c r="Z109" s="386" t="str">
        <f t="shared" si="47"/>
        <v/>
      </c>
      <c r="AA109" s="387"/>
      <c r="AB109" s="386" t="str">
        <f t="shared" si="48"/>
        <v/>
      </c>
      <c r="AC109" s="386" t="str">
        <f t="shared" si="49"/>
        <v/>
      </c>
      <c r="AD109" s="386" t="str">
        <f t="shared" si="50"/>
        <v/>
      </c>
      <c r="AE109" s="386" t="str">
        <f t="shared" si="51"/>
        <v/>
      </c>
      <c r="AF109" s="386" t="str">
        <f t="shared" si="52"/>
        <v/>
      </c>
      <c r="AG109" s="386" t="str">
        <f t="shared" si="53"/>
        <v/>
      </c>
      <c r="AH109" s="386" t="str">
        <f t="shared" si="54"/>
        <v/>
      </c>
      <c r="AI109" s="386" t="str">
        <f t="shared" si="55"/>
        <v/>
      </c>
      <c r="AJ109" s="386" t="str">
        <f t="shared" si="56"/>
        <v/>
      </c>
      <c r="AK109" s="386" t="str">
        <f t="shared" si="57"/>
        <v/>
      </c>
      <c r="AL109" s="388"/>
      <c r="AM109" s="388"/>
      <c r="AN109" s="388"/>
      <c r="AO109" s="388"/>
      <c r="AP109" s="402" t="str">
        <f t="shared" si="58"/>
        <v/>
      </c>
      <c r="AQ109" s="388"/>
      <c r="AR109" s="388"/>
      <c r="AS109" s="388"/>
      <c r="AT109" s="388"/>
      <c r="AU109" s="402" t="str">
        <f t="shared" si="59"/>
        <v/>
      </c>
      <c r="AV109" s="389"/>
      <c r="AW109" s="381"/>
      <c r="AX109" s="381"/>
      <c r="AY109" s="373"/>
      <c r="AZ109" s="390"/>
      <c r="BA109" s="390"/>
      <c r="BB109" s="391"/>
      <c r="BC109" s="392"/>
      <c r="BD109" s="393"/>
      <c r="BE109" s="393"/>
      <c r="BF109" s="393"/>
      <c r="BG109" s="394"/>
      <c r="BH109" s="395"/>
      <c r="BI109" s="374"/>
      <c r="BJ109" s="374"/>
      <c r="BK109" s="374"/>
      <c r="BL109" s="389"/>
      <c r="BM109" s="397"/>
      <c r="BN109" s="389"/>
      <c r="BO109" s="419" t="str">
        <f t="shared" si="60"/>
        <v/>
      </c>
      <c r="BP109" s="389"/>
      <c r="BQ109" s="397"/>
      <c r="BR109" s="419"/>
      <c r="BS109" s="419"/>
      <c r="BT109" s="419"/>
      <c r="BU109" s="432"/>
      <c r="BV109" s="419"/>
      <c r="BW109" s="419"/>
      <c r="BX109" s="419"/>
      <c r="BY109" s="389"/>
      <c r="BZ109" s="389"/>
      <c r="CA109" s="389"/>
      <c r="CB109" s="389"/>
      <c r="CC109" s="389"/>
      <c r="CD109" s="389"/>
      <c r="CE109" s="389"/>
      <c r="CF109" s="389"/>
      <c r="CG109" s="389"/>
      <c r="CH109" s="389"/>
      <c r="CI109" s="389"/>
      <c r="CJ109" s="422"/>
      <c r="CK109" s="422"/>
      <c r="CL109" s="422"/>
      <c r="CM109" s="422"/>
      <c r="CN109" s="422"/>
      <c r="CO109" s="422"/>
      <c r="CP109" s="422"/>
      <c r="CQ109" s="432"/>
      <c r="CR109" s="431" t="str">
        <f t="shared" si="37"/>
        <v/>
      </c>
      <c r="CS109" s="35" t="str">
        <f t="shared" si="38"/>
        <v>Direct or WHSE.</v>
      </c>
      <c r="CT109" s="411"/>
      <c r="CW109" s="153" t="str">
        <f t="shared" si="39"/>
        <v/>
      </c>
      <c r="CX109" s="153" t="str">
        <f t="shared" si="40"/>
        <v/>
      </c>
      <c r="CY109" s="153" t="str">
        <f t="shared" si="41"/>
        <v/>
      </c>
      <c r="DA109" s="423" t="s">
        <v>239</v>
      </c>
      <c r="DB109" s="23">
        <v>1.5</v>
      </c>
    </row>
    <row r="110" spans="1:106" ht="19.5" customHeight="1">
      <c r="A110" s="10">
        <v>88</v>
      </c>
      <c r="B110" s="373"/>
      <c r="C110" s="373"/>
      <c r="D110" s="396"/>
      <c r="E110" s="375"/>
      <c r="F110" s="373"/>
      <c r="G110" s="373"/>
      <c r="H110" s="376"/>
      <c r="I110" s="377"/>
      <c r="J110" s="378"/>
      <c r="K110" s="379"/>
      <c r="L110" s="374"/>
      <c r="M110" s="380" t="str">
        <f t="shared" ca="1" si="42"/>
        <v/>
      </c>
      <c r="N110" s="373"/>
      <c r="O110" s="381"/>
      <c r="P110" s="381"/>
      <c r="Q110" s="382"/>
      <c r="R110" s="381"/>
      <c r="S110" s="383"/>
      <c r="T110" s="384" t="str">
        <f t="shared" si="43"/>
        <v/>
      </c>
      <c r="U110" s="385"/>
      <c r="V110" s="384" t="str">
        <f t="shared" si="44"/>
        <v/>
      </c>
      <c r="W110" s="386"/>
      <c r="X110" s="386" t="str">
        <f t="shared" si="45"/>
        <v/>
      </c>
      <c r="Y110" s="386" t="str">
        <f t="shared" si="46"/>
        <v/>
      </c>
      <c r="Z110" s="386" t="str">
        <f t="shared" si="47"/>
        <v/>
      </c>
      <c r="AA110" s="387"/>
      <c r="AB110" s="386" t="str">
        <f t="shared" si="48"/>
        <v/>
      </c>
      <c r="AC110" s="386" t="str">
        <f t="shared" si="49"/>
        <v/>
      </c>
      <c r="AD110" s="386" t="str">
        <f t="shared" si="50"/>
        <v/>
      </c>
      <c r="AE110" s="386" t="str">
        <f t="shared" si="51"/>
        <v/>
      </c>
      <c r="AF110" s="386" t="str">
        <f t="shared" si="52"/>
        <v/>
      </c>
      <c r="AG110" s="386" t="str">
        <f t="shared" si="53"/>
        <v/>
      </c>
      <c r="AH110" s="386" t="str">
        <f t="shared" si="54"/>
        <v/>
      </c>
      <c r="AI110" s="386" t="str">
        <f t="shared" si="55"/>
        <v/>
      </c>
      <c r="AJ110" s="386" t="str">
        <f t="shared" si="56"/>
        <v/>
      </c>
      <c r="AK110" s="386" t="str">
        <f t="shared" si="57"/>
        <v/>
      </c>
      <c r="AL110" s="388"/>
      <c r="AM110" s="388"/>
      <c r="AN110" s="388"/>
      <c r="AO110" s="388"/>
      <c r="AP110" s="402" t="str">
        <f t="shared" si="58"/>
        <v/>
      </c>
      <c r="AQ110" s="388"/>
      <c r="AR110" s="388"/>
      <c r="AS110" s="388"/>
      <c r="AT110" s="388"/>
      <c r="AU110" s="402" t="str">
        <f t="shared" si="59"/>
        <v/>
      </c>
      <c r="AV110" s="389"/>
      <c r="AW110" s="381"/>
      <c r="AX110" s="381"/>
      <c r="AY110" s="373"/>
      <c r="AZ110" s="390"/>
      <c r="BA110" s="390"/>
      <c r="BB110" s="391"/>
      <c r="BC110" s="392"/>
      <c r="BD110" s="393"/>
      <c r="BE110" s="393"/>
      <c r="BF110" s="393"/>
      <c r="BG110" s="394"/>
      <c r="BH110" s="395"/>
      <c r="BI110" s="374"/>
      <c r="BJ110" s="374"/>
      <c r="BK110" s="374"/>
      <c r="BL110" s="389"/>
      <c r="BM110" s="397"/>
      <c r="BN110" s="389"/>
      <c r="BO110" s="419" t="str">
        <f t="shared" si="60"/>
        <v/>
      </c>
      <c r="BP110" s="389"/>
      <c r="BQ110" s="397"/>
      <c r="BR110" s="419"/>
      <c r="BS110" s="419"/>
      <c r="BT110" s="419"/>
      <c r="BU110" s="432"/>
      <c r="BV110" s="419"/>
      <c r="BW110" s="419"/>
      <c r="BX110" s="419"/>
      <c r="BY110" s="389"/>
      <c r="BZ110" s="389"/>
      <c r="CA110" s="389"/>
      <c r="CB110" s="389"/>
      <c r="CC110" s="389"/>
      <c r="CD110" s="389"/>
      <c r="CE110" s="389"/>
      <c r="CF110" s="389"/>
      <c r="CG110" s="389"/>
      <c r="CH110" s="389"/>
      <c r="CI110" s="389"/>
      <c r="CJ110" s="422"/>
      <c r="CK110" s="422"/>
      <c r="CL110" s="422"/>
      <c r="CM110" s="422"/>
      <c r="CN110" s="422"/>
      <c r="CO110" s="422"/>
      <c r="CP110" s="422"/>
      <c r="CQ110" s="432"/>
      <c r="CR110" s="431" t="str">
        <f t="shared" si="37"/>
        <v/>
      </c>
      <c r="CS110" s="35" t="str">
        <f t="shared" si="38"/>
        <v>Direct or WHSE.</v>
      </c>
      <c r="CT110" s="411"/>
      <c r="CW110" s="153" t="str">
        <f t="shared" si="39"/>
        <v/>
      </c>
      <c r="CX110" s="153" t="str">
        <f t="shared" si="40"/>
        <v/>
      </c>
      <c r="CY110" s="153" t="str">
        <f t="shared" si="41"/>
        <v/>
      </c>
      <c r="DA110" s="423" t="s">
        <v>240</v>
      </c>
      <c r="DB110" s="23">
        <v>2</v>
      </c>
    </row>
    <row r="111" spans="1:106" ht="19.5" customHeight="1">
      <c r="A111" s="10">
        <v>89</v>
      </c>
      <c r="B111" s="373"/>
      <c r="C111" s="373"/>
      <c r="D111" s="396"/>
      <c r="E111" s="375"/>
      <c r="F111" s="373"/>
      <c r="G111" s="373"/>
      <c r="H111" s="376"/>
      <c r="I111" s="377"/>
      <c r="J111" s="378"/>
      <c r="K111" s="379"/>
      <c r="L111" s="374"/>
      <c r="M111" s="380" t="str">
        <f t="shared" ca="1" si="42"/>
        <v/>
      </c>
      <c r="N111" s="373"/>
      <c r="O111" s="381"/>
      <c r="P111" s="381"/>
      <c r="Q111" s="382"/>
      <c r="R111" s="381"/>
      <c r="S111" s="383"/>
      <c r="T111" s="384" t="str">
        <f t="shared" si="43"/>
        <v/>
      </c>
      <c r="U111" s="385"/>
      <c r="V111" s="384" t="str">
        <f t="shared" si="44"/>
        <v/>
      </c>
      <c r="W111" s="386"/>
      <c r="X111" s="386" t="str">
        <f t="shared" si="45"/>
        <v/>
      </c>
      <c r="Y111" s="386" t="str">
        <f t="shared" si="46"/>
        <v/>
      </c>
      <c r="Z111" s="386" t="str">
        <f t="shared" si="47"/>
        <v/>
      </c>
      <c r="AA111" s="387"/>
      <c r="AB111" s="386" t="str">
        <f t="shared" si="48"/>
        <v/>
      </c>
      <c r="AC111" s="386" t="str">
        <f t="shared" si="49"/>
        <v/>
      </c>
      <c r="AD111" s="386" t="str">
        <f t="shared" si="50"/>
        <v/>
      </c>
      <c r="AE111" s="386" t="str">
        <f t="shared" si="51"/>
        <v/>
      </c>
      <c r="AF111" s="386" t="str">
        <f t="shared" si="52"/>
        <v/>
      </c>
      <c r="AG111" s="386" t="str">
        <f t="shared" si="53"/>
        <v/>
      </c>
      <c r="AH111" s="386" t="str">
        <f t="shared" si="54"/>
        <v/>
      </c>
      <c r="AI111" s="386" t="str">
        <f t="shared" si="55"/>
        <v/>
      </c>
      <c r="AJ111" s="386" t="str">
        <f t="shared" si="56"/>
        <v/>
      </c>
      <c r="AK111" s="386" t="str">
        <f t="shared" si="57"/>
        <v/>
      </c>
      <c r="AL111" s="388"/>
      <c r="AM111" s="388"/>
      <c r="AN111" s="388"/>
      <c r="AO111" s="388"/>
      <c r="AP111" s="402" t="str">
        <f t="shared" si="58"/>
        <v/>
      </c>
      <c r="AQ111" s="388"/>
      <c r="AR111" s="388"/>
      <c r="AS111" s="388"/>
      <c r="AT111" s="388"/>
      <c r="AU111" s="402" t="str">
        <f t="shared" si="59"/>
        <v/>
      </c>
      <c r="AV111" s="389"/>
      <c r="AW111" s="381"/>
      <c r="AX111" s="381"/>
      <c r="AY111" s="373"/>
      <c r="AZ111" s="390"/>
      <c r="BA111" s="390"/>
      <c r="BB111" s="391"/>
      <c r="BC111" s="392"/>
      <c r="BD111" s="393"/>
      <c r="BE111" s="393"/>
      <c r="BF111" s="393"/>
      <c r="BG111" s="394"/>
      <c r="BH111" s="395"/>
      <c r="BI111" s="374"/>
      <c r="BJ111" s="374"/>
      <c r="BK111" s="374"/>
      <c r="BL111" s="389"/>
      <c r="BM111" s="397"/>
      <c r="BN111" s="389"/>
      <c r="BO111" s="419" t="str">
        <f t="shared" si="60"/>
        <v/>
      </c>
      <c r="BP111" s="389"/>
      <c r="BQ111" s="397"/>
      <c r="BR111" s="419"/>
      <c r="BS111" s="419"/>
      <c r="BT111" s="419"/>
      <c r="BU111" s="432"/>
      <c r="BV111" s="419"/>
      <c r="BW111" s="419"/>
      <c r="BX111" s="419"/>
      <c r="BY111" s="389"/>
      <c r="BZ111" s="389"/>
      <c r="CA111" s="389"/>
      <c r="CB111" s="389"/>
      <c r="CC111" s="389"/>
      <c r="CD111" s="389"/>
      <c r="CE111" s="389"/>
      <c r="CF111" s="389"/>
      <c r="CG111" s="389"/>
      <c r="CH111" s="389"/>
      <c r="CI111" s="389"/>
      <c r="CJ111" s="422"/>
      <c r="CK111" s="422"/>
      <c r="CL111" s="422"/>
      <c r="CM111" s="422"/>
      <c r="CN111" s="422"/>
      <c r="CO111" s="422"/>
      <c r="CP111" s="422"/>
      <c r="CQ111" s="432"/>
      <c r="CR111" s="431" t="str">
        <f t="shared" si="37"/>
        <v/>
      </c>
      <c r="CS111" s="35" t="str">
        <f t="shared" si="38"/>
        <v>Direct or WHSE.</v>
      </c>
      <c r="CT111" s="411"/>
      <c r="CW111" s="153" t="str">
        <f t="shared" si="39"/>
        <v/>
      </c>
      <c r="CX111" s="153" t="str">
        <f t="shared" si="40"/>
        <v/>
      </c>
      <c r="CY111" s="153" t="str">
        <f t="shared" si="41"/>
        <v/>
      </c>
      <c r="DA111" s="423" t="s">
        <v>241</v>
      </c>
      <c r="DB111" s="23">
        <v>0.75</v>
      </c>
    </row>
    <row r="112" spans="1:106" ht="19.5" customHeight="1">
      <c r="A112" s="10">
        <v>90</v>
      </c>
      <c r="B112" s="373"/>
      <c r="C112" s="373"/>
      <c r="D112" s="396"/>
      <c r="E112" s="375"/>
      <c r="F112" s="373"/>
      <c r="G112" s="373"/>
      <c r="H112" s="376"/>
      <c r="I112" s="377"/>
      <c r="J112" s="378"/>
      <c r="K112" s="379"/>
      <c r="L112" s="374"/>
      <c r="M112" s="380" t="str">
        <f t="shared" ca="1" si="42"/>
        <v/>
      </c>
      <c r="N112" s="373"/>
      <c r="O112" s="381"/>
      <c r="P112" s="381"/>
      <c r="Q112" s="382"/>
      <c r="R112" s="381"/>
      <c r="S112" s="383"/>
      <c r="T112" s="384" t="str">
        <f t="shared" si="43"/>
        <v/>
      </c>
      <c r="U112" s="385"/>
      <c r="V112" s="384" t="str">
        <f t="shared" si="44"/>
        <v/>
      </c>
      <c r="W112" s="386"/>
      <c r="X112" s="386" t="str">
        <f t="shared" si="45"/>
        <v/>
      </c>
      <c r="Y112" s="386" t="str">
        <f t="shared" si="46"/>
        <v/>
      </c>
      <c r="Z112" s="386" t="str">
        <f t="shared" si="47"/>
        <v/>
      </c>
      <c r="AA112" s="387"/>
      <c r="AB112" s="386" t="str">
        <f t="shared" si="48"/>
        <v/>
      </c>
      <c r="AC112" s="386" t="str">
        <f t="shared" si="49"/>
        <v/>
      </c>
      <c r="AD112" s="386" t="str">
        <f t="shared" si="50"/>
        <v/>
      </c>
      <c r="AE112" s="386" t="str">
        <f t="shared" si="51"/>
        <v/>
      </c>
      <c r="AF112" s="386" t="str">
        <f t="shared" si="52"/>
        <v/>
      </c>
      <c r="AG112" s="386" t="str">
        <f t="shared" si="53"/>
        <v/>
      </c>
      <c r="AH112" s="386" t="str">
        <f t="shared" si="54"/>
        <v/>
      </c>
      <c r="AI112" s="386" t="str">
        <f t="shared" si="55"/>
        <v/>
      </c>
      <c r="AJ112" s="386" t="str">
        <f t="shared" si="56"/>
        <v/>
      </c>
      <c r="AK112" s="386" t="str">
        <f t="shared" si="57"/>
        <v/>
      </c>
      <c r="AL112" s="388"/>
      <c r="AM112" s="388"/>
      <c r="AN112" s="388"/>
      <c r="AO112" s="388"/>
      <c r="AP112" s="402" t="str">
        <f t="shared" si="58"/>
        <v/>
      </c>
      <c r="AQ112" s="388"/>
      <c r="AR112" s="388"/>
      <c r="AS112" s="388"/>
      <c r="AT112" s="388"/>
      <c r="AU112" s="402" t="str">
        <f t="shared" si="59"/>
        <v/>
      </c>
      <c r="AV112" s="389"/>
      <c r="AW112" s="381"/>
      <c r="AX112" s="381"/>
      <c r="AY112" s="373"/>
      <c r="AZ112" s="390"/>
      <c r="BA112" s="390"/>
      <c r="BB112" s="391"/>
      <c r="BC112" s="392"/>
      <c r="BD112" s="393"/>
      <c r="BE112" s="393"/>
      <c r="BF112" s="393"/>
      <c r="BG112" s="394"/>
      <c r="BH112" s="395"/>
      <c r="BI112" s="374"/>
      <c r="BJ112" s="374"/>
      <c r="BK112" s="374"/>
      <c r="BL112" s="389"/>
      <c r="BM112" s="397"/>
      <c r="BN112" s="389"/>
      <c r="BO112" s="419" t="str">
        <f t="shared" si="60"/>
        <v/>
      </c>
      <c r="BP112" s="389"/>
      <c r="BQ112" s="397"/>
      <c r="BR112" s="419"/>
      <c r="BS112" s="419"/>
      <c r="BT112" s="419"/>
      <c r="BU112" s="432"/>
      <c r="BV112" s="419"/>
      <c r="BW112" s="419"/>
      <c r="BX112" s="419"/>
      <c r="BY112" s="389"/>
      <c r="BZ112" s="389"/>
      <c r="CA112" s="389"/>
      <c r="CB112" s="389"/>
      <c r="CC112" s="389"/>
      <c r="CD112" s="389"/>
      <c r="CE112" s="389"/>
      <c r="CF112" s="389"/>
      <c r="CG112" s="389"/>
      <c r="CH112" s="389"/>
      <c r="CI112" s="389"/>
      <c r="CJ112" s="422"/>
      <c r="CK112" s="422"/>
      <c r="CL112" s="422"/>
      <c r="CM112" s="422"/>
      <c r="CN112" s="422"/>
      <c r="CO112" s="422"/>
      <c r="CP112" s="422"/>
      <c r="CQ112" s="432"/>
      <c r="CR112" s="431" t="str">
        <f t="shared" si="37"/>
        <v/>
      </c>
      <c r="CS112" s="35" t="str">
        <f t="shared" si="38"/>
        <v>Direct or WHSE.</v>
      </c>
      <c r="CT112" s="411"/>
      <c r="CW112" s="153" t="str">
        <f t="shared" si="39"/>
        <v/>
      </c>
      <c r="CX112" s="153" t="str">
        <f t="shared" si="40"/>
        <v/>
      </c>
      <c r="CY112" s="153" t="str">
        <f t="shared" si="41"/>
        <v/>
      </c>
      <c r="DA112" s="423" t="s">
        <v>242</v>
      </c>
      <c r="DB112" s="23">
        <v>1.5</v>
      </c>
    </row>
    <row r="113" spans="1:106" ht="19.5" customHeight="1">
      <c r="A113" s="10">
        <v>91</v>
      </c>
      <c r="B113" s="373"/>
      <c r="C113" s="373"/>
      <c r="D113" s="396"/>
      <c r="E113" s="375"/>
      <c r="F113" s="373"/>
      <c r="G113" s="373"/>
      <c r="H113" s="376"/>
      <c r="I113" s="377"/>
      <c r="J113" s="378"/>
      <c r="K113" s="379"/>
      <c r="L113" s="374"/>
      <c r="M113" s="380" t="str">
        <f t="shared" ca="1" si="42"/>
        <v/>
      </c>
      <c r="N113" s="373"/>
      <c r="O113" s="381"/>
      <c r="P113" s="381"/>
      <c r="Q113" s="382"/>
      <c r="R113" s="381"/>
      <c r="S113" s="383"/>
      <c r="T113" s="384" t="str">
        <f t="shared" si="43"/>
        <v/>
      </c>
      <c r="U113" s="385"/>
      <c r="V113" s="384" t="str">
        <f t="shared" si="44"/>
        <v/>
      </c>
      <c r="W113" s="386"/>
      <c r="X113" s="386" t="str">
        <f t="shared" si="45"/>
        <v/>
      </c>
      <c r="Y113" s="386" t="str">
        <f t="shared" si="46"/>
        <v/>
      </c>
      <c r="Z113" s="386" t="str">
        <f t="shared" si="47"/>
        <v/>
      </c>
      <c r="AA113" s="387"/>
      <c r="AB113" s="386" t="str">
        <f t="shared" si="48"/>
        <v/>
      </c>
      <c r="AC113" s="386" t="str">
        <f t="shared" si="49"/>
        <v/>
      </c>
      <c r="AD113" s="386" t="str">
        <f t="shared" si="50"/>
        <v/>
      </c>
      <c r="AE113" s="386" t="str">
        <f t="shared" si="51"/>
        <v/>
      </c>
      <c r="AF113" s="386" t="str">
        <f t="shared" si="52"/>
        <v/>
      </c>
      <c r="AG113" s="386" t="str">
        <f t="shared" si="53"/>
        <v/>
      </c>
      <c r="AH113" s="386" t="str">
        <f t="shared" si="54"/>
        <v/>
      </c>
      <c r="AI113" s="386" t="str">
        <f t="shared" si="55"/>
        <v/>
      </c>
      <c r="AJ113" s="386" t="str">
        <f t="shared" si="56"/>
        <v/>
      </c>
      <c r="AK113" s="386" t="str">
        <f t="shared" si="57"/>
        <v/>
      </c>
      <c r="AL113" s="388"/>
      <c r="AM113" s="388"/>
      <c r="AN113" s="388"/>
      <c r="AO113" s="388"/>
      <c r="AP113" s="402" t="str">
        <f t="shared" si="58"/>
        <v/>
      </c>
      <c r="AQ113" s="388"/>
      <c r="AR113" s="388"/>
      <c r="AS113" s="388"/>
      <c r="AT113" s="388"/>
      <c r="AU113" s="402" t="str">
        <f t="shared" si="59"/>
        <v/>
      </c>
      <c r="AV113" s="389"/>
      <c r="AW113" s="381"/>
      <c r="AX113" s="381"/>
      <c r="AY113" s="373"/>
      <c r="AZ113" s="390"/>
      <c r="BA113" s="390"/>
      <c r="BB113" s="391"/>
      <c r="BC113" s="392"/>
      <c r="BD113" s="393"/>
      <c r="BE113" s="393"/>
      <c r="BF113" s="393"/>
      <c r="BG113" s="394"/>
      <c r="BH113" s="395"/>
      <c r="BI113" s="374"/>
      <c r="BJ113" s="374"/>
      <c r="BK113" s="374"/>
      <c r="BL113" s="389"/>
      <c r="BM113" s="397"/>
      <c r="BN113" s="389"/>
      <c r="BO113" s="419" t="str">
        <f t="shared" si="60"/>
        <v/>
      </c>
      <c r="BP113" s="389"/>
      <c r="BQ113" s="397"/>
      <c r="BR113" s="419"/>
      <c r="BS113" s="419"/>
      <c r="BT113" s="419"/>
      <c r="BU113" s="432"/>
      <c r="BV113" s="419"/>
      <c r="BW113" s="419"/>
      <c r="BX113" s="419"/>
      <c r="BY113" s="389"/>
      <c r="BZ113" s="389"/>
      <c r="CA113" s="389"/>
      <c r="CB113" s="389"/>
      <c r="CC113" s="389"/>
      <c r="CD113" s="389"/>
      <c r="CE113" s="389"/>
      <c r="CF113" s="389"/>
      <c r="CG113" s="389"/>
      <c r="CH113" s="389"/>
      <c r="CI113" s="389"/>
      <c r="CJ113" s="422"/>
      <c r="CK113" s="422"/>
      <c r="CL113" s="422"/>
      <c r="CM113" s="422"/>
      <c r="CN113" s="422"/>
      <c r="CO113" s="422"/>
      <c r="CP113" s="422"/>
      <c r="CQ113" s="432"/>
      <c r="CR113" s="431" t="str">
        <f t="shared" si="37"/>
        <v/>
      </c>
      <c r="CS113" s="35" t="str">
        <f t="shared" si="38"/>
        <v>Direct or WHSE.</v>
      </c>
      <c r="CT113" s="411"/>
      <c r="CW113" s="153" t="str">
        <f t="shared" si="39"/>
        <v/>
      </c>
      <c r="CX113" s="153" t="str">
        <f t="shared" si="40"/>
        <v/>
      </c>
      <c r="CY113" s="153" t="str">
        <f t="shared" si="41"/>
        <v/>
      </c>
      <c r="DA113" s="423" t="s">
        <v>233</v>
      </c>
      <c r="DB113" s="23">
        <v>2</v>
      </c>
    </row>
    <row r="114" spans="1:106" ht="19.5" customHeight="1">
      <c r="A114" s="10">
        <v>92</v>
      </c>
      <c r="B114" s="373"/>
      <c r="C114" s="373"/>
      <c r="D114" s="396"/>
      <c r="E114" s="375"/>
      <c r="F114" s="373"/>
      <c r="G114" s="373"/>
      <c r="H114" s="376"/>
      <c r="I114" s="377"/>
      <c r="J114" s="378"/>
      <c r="K114" s="379"/>
      <c r="L114" s="374"/>
      <c r="M114" s="380" t="str">
        <f t="shared" ca="1" si="42"/>
        <v/>
      </c>
      <c r="N114" s="373"/>
      <c r="O114" s="381"/>
      <c r="P114" s="381"/>
      <c r="Q114" s="382"/>
      <c r="R114" s="381"/>
      <c r="S114" s="383"/>
      <c r="T114" s="384" t="str">
        <f t="shared" si="43"/>
        <v/>
      </c>
      <c r="U114" s="385"/>
      <c r="V114" s="384" t="str">
        <f t="shared" si="44"/>
        <v/>
      </c>
      <c r="W114" s="386"/>
      <c r="X114" s="386" t="str">
        <f t="shared" si="45"/>
        <v/>
      </c>
      <c r="Y114" s="386" t="str">
        <f t="shared" si="46"/>
        <v/>
      </c>
      <c r="Z114" s="386" t="str">
        <f t="shared" si="47"/>
        <v/>
      </c>
      <c r="AA114" s="387"/>
      <c r="AB114" s="386" t="str">
        <f t="shared" si="48"/>
        <v/>
      </c>
      <c r="AC114" s="386" t="str">
        <f t="shared" si="49"/>
        <v/>
      </c>
      <c r="AD114" s="386" t="str">
        <f t="shared" si="50"/>
        <v/>
      </c>
      <c r="AE114" s="386" t="str">
        <f t="shared" si="51"/>
        <v/>
      </c>
      <c r="AF114" s="386" t="str">
        <f t="shared" si="52"/>
        <v/>
      </c>
      <c r="AG114" s="386" t="str">
        <f t="shared" si="53"/>
        <v/>
      </c>
      <c r="AH114" s="386" t="str">
        <f t="shared" si="54"/>
        <v/>
      </c>
      <c r="AI114" s="386" t="str">
        <f t="shared" si="55"/>
        <v/>
      </c>
      <c r="AJ114" s="386" t="str">
        <f t="shared" si="56"/>
        <v/>
      </c>
      <c r="AK114" s="386" t="str">
        <f t="shared" si="57"/>
        <v/>
      </c>
      <c r="AL114" s="388"/>
      <c r="AM114" s="388"/>
      <c r="AN114" s="388"/>
      <c r="AO114" s="388"/>
      <c r="AP114" s="402" t="str">
        <f t="shared" si="58"/>
        <v/>
      </c>
      <c r="AQ114" s="388"/>
      <c r="AR114" s="388"/>
      <c r="AS114" s="388"/>
      <c r="AT114" s="388"/>
      <c r="AU114" s="402" t="str">
        <f t="shared" si="59"/>
        <v/>
      </c>
      <c r="AV114" s="389"/>
      <c r="AW114" s="381"/>
      <c r="AX114" s="381"/>
      <c r="AY114" s="373"/>
      <c r="AZ114" s="390"/>
      <c r="BA114" s="390"/>
      <c r="BB114" s="391"/>
      <c r="BC114" s="392"/>
      <c r="BD114" s="393"/>
      <c r="BE114" s="393"/>
      <c r="BF114" s="393"/>
      <c r="BG114" s="394"/>
      <c r="BH114" s="395"/>
      <c r="BI114" s="374"/>
      <c r="BJ114" s="374"/>
      <c r="BK114" s="374"/>
      <c r="BL114" s="389"/>
      <c r="BM114" s="397"/>
      <c r="BN114" s="389"/>
      <c r="BO114" s="419" t="str">
        <f t="shared" si="60"/>
        <v/>
      </c>
      <c r="BP114" s="389"/>
      <c r="BQ114" s="397"/>
      <c r="BR114" s="419"/>
      <c r="BS114" s="419"/>
      <c r="BT114" s="419"/>
      <c r="BU114" s="432"/>
      <c r="BV114" s="419"/>
      <c r="BW114" s="419"/>
      <c r="BX114" s="419"/>
      <c r="BY114" s="389"/>
      <c r="BZ114" s="389"/>
      <c r="CA114" s="389"/>
      <c r="CB114" s="389"/>
      <c r="CC114" s="389"/>
      <c r="CD114" s="389"/>
      <c r="CE114" s="389"/>
      <c r="CF114" s="389"/>
      <c r="CG114" s="389"/>
      <c r="CH114" s="389"/>
      <c r="CI114" s="389"/>
      <c r="CJ114" s="422"/>
      <c r="CK114" s="422"/>
      <c r="CL114" s="422"/>
      <c r="CM114" s="422"/>
      <c r="CN114" s="422"/>
      <c r="CO114" s="422"/>
      <c r="CP114" s="422"/>
      <c r="CQ114" s="432"/>
      <c r="CR114" s="431" t="str">
        <f t="shared" si="37"/>
        <v/>
      </c>
      <c r="CS114" s="35" t="str">
        <f t="shared" si="38"/>
        <v>Direct or WHSE.</v>
      </c>
      <c r="CT114" s="411"/>
      <c r="CW114" s="153" t="str">
        <f t="shared" si="39"/>
        <v/>
      </c>
      <c r="CX114" s="153" t="str">
        <f t="shared" si="40"/>
        <v/>
      </c>
      <c r="CY114" s="153" t="str">
        <f t="shared" si="41"/>
        <v/>
      </c>
      <c r="DA114" s="423" t="s">
        <v>252</v>
      </c>
      <c r="DB114" s="23">
        <v>7</v>
      </c>
    </row>
    <row r="115" spans="1:106" ht="19.5" customHeight="1">
      <c r="A115" s="10">
        <v>93</v>
      </c>
      <c r="B115" s="373"/>
      <c r="C115" s="373"/>
      <c r="D115" s="396"/>
      <c r="E115" s="375"/>
      <c r="F115" s="373"/>
      <c r="G115" s="373"/>
      <c r="H115" s="376"/>
      <c r="I115" s="377"/>
      <c r="J115" s="378"/>
      <c r="K115" s="379"/>
      <c r="L115" s="374"/>
      <c r="M115" s="380" t="str">
        <f t="shared" ca="1" si="42"/>
        <v/>
      </c>
      <c r="N115" s="373"/>
      <c r="O115" s="381"/>
      <c r="P115" s="381"/>
      <c r="Q115" s="382"/>
      <c r="R115" s="381"/>
      <c r="S115" s="383"/>
      <c r="T115" s="384" t="str">
        <f t="shared" si="43"/>
        <v/>
      </c>
      <c r="U115" s="385"/>
      <c r="V115" s="384" t="str">
        <f t="shared" si="44"/>
        <v/>
      </c>
      <c r="W115" s="386"/>
      <c r="X115" s="386" t="str">
        <f t="shared" si="45"/>
        <v/>
      </c>
      <c r="Y115" s="386" t="str">
        <f t="shared" si="46"/>
        <v/>
      </c>
      <c r="Z115" s="386" t="str">
        <f t="shared" si="47"/>
        <v/>
      </c>
      <c r="AA115" s="387"/>
      <c r="AB115" s="386" t="str">
        <f t="shared" si="48"/>
        <v/>
      </c>
      <c r="AC115" s="386" t="str">
        <f t="shared" si="49"/>
        <v/>
      </c>
      <c r="AD115" s="386" t="str">
        <f t="shared" si="50"/>
        <v/>
      </c>
      <c r="AE115" s="386" t="str">
        <f t="shared" si="51"/>
        <v/>
      </c>
      <c r="AF115" s="386" t="str">
        <f t="shared" si="52"/>
        <v/>
      </c>
      <c r="AG115" s="386" t="str">
        <f t="shared" si="53"/>
        <v/>
      </c>
      <c r="AH115" s="386" t="str">
        <f t="shared" si="54"/>
        <v/>
      </c>
      <c r="AI115" s="386" t="str">
        <f t="shared" si="55"/>
        <v/>
      </c>
      <c r="AJ115" s="386" t="str">
        <f t="shared" si="56"/>
        <v/>
      </c>
      <c r="AK115" s="386" t="str">
        <f t="shared" si="57"/>
        <v/>
      </c>
      <c r="AL115" s="388"/>
      <c r="AM115" s="388"/>
      <c r="AN115" s="388"/>
      <c r="AO115" s="388"/>
      <c r="AP115" s="402" t="str">
        <f t="shared" si="58"/>
        <v/>
      </c>
      <c r="AQ115" s="388"/>
      <c r="AR115" s="388"/>
      <c r="AS115" s="388"/>
      <c r="AT115" s="388"/>
      <c r="AU115" s="402" t="str">
        <f t="shared" si="59"/>
        <v/>
      </c>
      <c r="AV115" s="389"/>
      <c r="AW115" s="381"/>
      <c r="AX115" s="381"/>
      <c r="AY115" s="373"/>
      <c r="AZ115" s="390"/>
      <c r="BA115" s="390"/>
      <c r="BB115" s="391"/>
      <c r="BC115" s="392"/>
      <c r="BD115" s="393"/>
      <c r="BE115" s="393"/>
      <c r="BF115" s="393"/>
      <c r="BG115" s="394"/>
      <c r="BH115" s="395"/>
      <c r="BI115" s="374"/>
      <c r="BJ115" s="374"/>
      <c r="BK115" s="374"/>
      <c r="BL115" s="389"/>
      <c r="BM115" s="397"/>
      <c r="BN115" s="389"/>
      <c r="BO115" s="419" t="str">
        <f t="shared" si="60"/>
        <v/>
      </c>
      <c r="BP115" s="389"/>
      <c r="BQ115" s="397"/>
      <c r="BR115" s="419"/>
      <c r="BS115" s="419"/>
      <c r="BT115" s="419"/>
      <c r="BU115" s="432"/>
      <c r="BV115" s="419"/>
      <c r="BW115" s="419"/>
      <c r="BX115" s="419"/>
      <c r="BY115" s="389"/>
      <c r="BZ115" s="389"/>
      <c r="CA115" s="389"/>
      <c r="CB115" s="389"/>
      <c r="CC115" s="389"/>
      <c r="CD115" s="389"/>
      <c r="CE115" s="389"/>
      <c r="CF115" s="389"/>
      <c r="CG115" s="389"/>
      <c r="CH115" s="389"/>
      <c r="CI115" s="389"/>
      <c r="CJ115" s="422"/>
      <c r="CK115" s="422"/>
      <c r="CL115" s="422"/>
      <c r="CM115" s="422"/>
      <c r="CN115" s="422"/>
      <c r="CO115" s="422"/>
      <c r="CP115" s="422"/>
      <c r="CQ115" s="432"/>
      <c r="CR115" s="431" t="str">
        <f t="shared" si="37"/>
        <v/>
      </c>
      <c r="CS115" s="35" t="str">
        <f t="shared" si="38"/>
        <v>Direct or WHSE.</v>
      </c>
      <c r="CT115" s="411"/>
      <c r="CW115" s="153" t="str">
        <f t="shared" si="39"/>
        <v/>
      </c>
      <c r="CX115" s="153" t="str">
        <f t="shared" si="40"/>
        <v/>
      </c>
      <c r="CY115" s="153" t="str">
        <f t="shared" si="41"/>
        <v/>
      </c>
      <c r="DA115" s="423" t="s">
        <v>251</v>
      </c>
      <c r="DB115" s="23">
        <v>2</v>
      </c>
    </row>
    <row r="116" spans="1:106" ht="19.5" customHeight="1">
      <c r="A116" s="10">
        <v>94</v>
      </c>
      <c r="B116" s="373"/>
      <c r="C116" s="373"/>
      <c r="D116" s="396"/>
      <c r="E116" s="375"/>
      <c r="F116" s="373"/>
      <c r="G116" s="373"/>
      <c r="H116" s="376"/>
      <c r="I116" s="377"/>
      <c r="J116" s="378"/>
      <c r="K116" s="379"/>
      <c r="L116" s="374"/>
      <c r="M116" s="380" t="str">
        <f t="shared" ca="1" si="42"/>
        <v/>
      </c>
      <c r="N116" s="373"/>
      <c r="O116" s="381"/>
      <c r="P116" s="381"/>
      <c r="Q116" s="382"/>
      <c r="R116" s="381"/>
      <c r="S116" s="383"/>
      <c r="T116" s="384" t="str">
        <f t="shared" si="43"/>
        <v/>
      </c>
      <c r="U116" s="385"/>
      <c r="V116" s="384" t="str">
        <f t="shared" si="44"/>
        <v/>
      </c>
      <c r="W116" s="386"/>
      <c r="X116" s="386" t="str">
        <f t="shared" si="45"/>
        <v/>
      </c>
      <c r="Y116" s="386" t="str">
        <f t="shared" si="46"/>
        <v/>
      </c>
      <c r="Z116" s="386" t="str">
        <f t="shared" si="47"/>
        <v/>
      </c>
      <c r="AA116" s="387"/>
      <c r="AB116" s="386" t="str">
        <f t="shared" si="48"/>
        <v/>
      </c>
      <c r="AC116" s="386" t="str">
        <f t="shared" si="49"/>
        <v/>
      </c>
      <c r="AD116" s="386" t="str">
        <f t="shared" si="50"/>
        <v/>
      </c>
      <c r="AE116" s="386" t="str">
        <f t="shared" si="51"/>
        <v/>
      </c>
      <c r="AF116" s="386" t="str">
        <f t="shared" si="52"/>
        <v/>
      </c>
      <c r="AG116" s="386" t="str">
        <f t="shared" si="53"/>
        <v/>
      </c>
      <c r="AH116" s="386" t="str">
        <f t="shared" si="54"/>
        <v/>
      </c>
      <c r="AI116" s="386" t="str">
        <f t="shared" si="55"/>
        <v/>
      </c>
      <c r="AJ116" s="386" t="str">
        <f t="shared" si="56"/>
        <v/>
      </c>
      <c r="AK116" s="386" t="str">
        <f t="shared" si="57"/>
        <v/>
      </c>
      <c r="AL116" s="388"/>
      <c r="AM116" s="388"/>
      <c r="AN116" s="388"/>
      <c r="AO116" s="388"/>
      <c r="AP116" s="402" t="str">
        <f t="shared" si="58"/>
        <v/>
      </c>
      <c r="AQ116" s="388"/>
      <c r="AR116" s="388"/>
      <c r="AS116" s="388"/>
      <c r="AT116" s="388"/>
      <c r="AU116" s="402" t="str">
        <f t="shared" si="59"/>
        <v/>
      </c>
      <c r="AV116" s="389"/>
      <c r="AW116" s="381"/>
      <c r="AX116" s="381"/>
      <c r="AY116" s="373"/>
      <c r="AZ116" s="390"/>
      <c r="BA116" s="390"/>
      <c r="BB116" s="391"/>
      <c r="BC116" s="392"/>
      <c r="BD116" s="393"/>
      <c r="BE116" s="393"/>
      <c r="BF116" s="393"/>
      <c r="BG116" s="394"/>
      <c r="BH116" s="395"/>
      <c r="BI116" s="374"/>
      <c r="BJ116" s="374"/>
      <c r="BK116" s="374"/>
      <c r="BL116" s="389"/>
      <c r="BM116" s="397"/>
      <c r="BN116" s="389"/>
      <c r="BO116" s="419" t="str">
        <f t="shared" si="60"/>
        <v/>
      </c>
      <c r="BP116" s="389"/>
      <c r="BQ116" s="397"/>
      <c r="BR116" s="419"/>
      <c r="BS116" s="419"/>
      <c r="BT116" s="419"/>
      <c r="BU116" s="432"/>
      <c r="BV116" s="419"/>
      <c r="BW116" s="419"/>
      <c r="BX116" s="419"/>
      <c r="BY116" s="389"/>
      <c r="BZ116" s="389"/>
      <c r="CA116" s="389"/>
      <c r="CB116" s="389"/>
      <c r="CC116" s="389"/>
      <c r="CD116" s="389"/>
      <c r="CE116" s="389"/>
      <c r="CF116" s="389"/>
      <c r="CG116" s="389"/>
      <c r="CH116" s="389"/>
      <c r="CI116" s="389"/>
      <c r="CJ116" s="422"/>
      <c r="CK116" s="422"/>
      <c r="CL116" s="422"/>
      <c r="CM116" s="422"/>
      <c r="CN116" s="422"/>
      <c r="CO116" s="422"/>
      <c r="CP116" s="422"/>
      <c r="CQ116" s="432"/>
      <c r="CR116" s="431" t="str">
        <f t="shared" si="37"/>
        <v/>
      </c>
      <c r="CS116" s="35" t="str">
        <f t="shared" si="38"/>
        <v>Direct or WHSE.</v>
      </c>
      <c r="CT116" s="411"/>
      <c r="CW116" s="153" t="str">
        <f t="shared" si="39"/>
        <v/>
      </c>
      <c r="CX116" s="153" t="str">
        <f t="shared" si="40"/>
        <v/>
      </c>
      <c r="CY116" s="153" t="str">
        <f t="shared" si="41"/>
        <v/>
      </c>
      <c r="DA116" s="423" t="s">
        <v>250</v>
      </c>
      <c r="DB116" s="23">
        <v>1</v>
      </c>
    </row>
    <row r="117" spans="1:106" ht="19.5" customHeight="1">
      <c r="A117" s="10">
        <v>95</v>
      </c>
      <c r="B117" s="373"/>
      <c r="C117" s="373"/>
      <c r="D117" s="396"/>
      <c r="E117" s="375"/>
      <c r="F117" s="373"/>
      <c r="G117" s="373"/>
      <c r="H117" s="376"/>
      <c r="I117" s="377"/>
      <c r="J117" s="378"/>
      <c r="K117" s="379"/>
      <c r="L117" s="374"/>
      <c r="M117" s="380" t="str">
        <f t="shared" ca="1" si="42"/>
        <v/>
      </c>
      <c r="N117" s="373"/>
      <c r="O117" s="381"/>
      <c r="P117" s="381"/>
      <c r="Q117" s="382"/>
      <c r="R117" s="381"/>
      <c r="S117" s="383"/>
      <c r="T117" s="384" t="str">
        <f t="shared" si="43"/>
        <v/>
      </c>
      <c r="U117" s="385"/>
      <c r="V117" s="384" t="str">
        <f t="shared" si="44"/>
        <v/>
      </c>
      <c r="W117" s="386"/>
      <c r="X117" s="386" t="str">
        <f t="shared" si="45"/>
        <v/>
      </c>
      <c r="Y117" s="386" t="str">
        <f t="shared" si="46"/>
        <v/>
      </c>
      <c r="Z117" s="386" t="str">
        <f t="shared" si="47"/>
        <v/>
      </c>
      <c r="AA117" s="387"/>
      <c r="AB117" s="386" t="str">
        <f t="shared" si="48"/>
        <v/>
      </c>
      <c r="AC117" s="386" t="str">
        <f t="shared" si="49"/>
        <v/>
      </c>
      <c r="AD117" s="386" t="str">
        <f t="shared" si="50"/>
        <v/>
      </c>
      <c r="AE117" s="386" t="str">
        <f t="shared" si="51"/>
        <v/>
      </c>
      <c r="AF117" s="386" t="str">
        <f t="shared" si="52"/>
        <v/>
      </c>
      <c r="AG117" s="386" t="str">
        <f t="shared" si="53"/>
        <v/>
      </c>
      <c r="AH117" s="386" t="str">
        <f t="shared" si="54"/>
        <v/>
      </c>
      <c r="AI117" s="386" t="str">
        <f t="shared" si="55"/>
        <v/>
      </c>
      <c r="AJ117" s="386" t="str">
        <f t="shared" si="56"/>
        <v/>
      </c>
      <c r="AK117" s="386" t="str">
        <f t="shared" si="57"/>
        <v/>
      </c>
      <c r="AL117" s="388"/>
      <c r="AM117" s="388"/>
      <c r="AN117" s="388"/>
      <c r="AO117" s="388"/>
      <c r="AP117" s="402" t="str">
        <f t="shared" si="58"/>
        <v/>
      </c>
      <c r="AQ117" s="388"/>
      <c r="AR117" s="388"/>
      <c r="AS117" s="388"/>
      <c r="AT117" s="388"/>
      <c r="AU117" s="402" t="str">
        <f t="shared" si="59"/>
        <v/>
      </c>
      <c r="AV117" s="389"/>
      <c r="AW117" s="381"/>
      <c r="AX117" s="381"/>
      <c r="AY117" s="373"/>
      <c r="AZ117" s="390"/>
      <c r="BA117" s="390"/>
      <c r="BB117" s="391"/>
      <c r="BC117" s="392"/>
      <c r="BD117" s="393"/>
      <c r="BE117" s="393"/>
      <c r="BF117" s="393"/>
      <c r="BG117" s="394"/>
      <c r="BH117" s="395"/>
      <c r="BI117" s="374"/>
      <c r="BJ117" s="374"/>
      <c r="BK117" s="374"/>
      <c r="BL117" s="389"/>
      <c r="BM117" s="397"/>
      <c r="BN117" s="389"/>
      <c r="BO117" s="419" t="str">
        <f t="shared" si="60"/>
        <v/>
      </c>
      <c r="BP117" s="389"/>
      <c r="BQ117" s="397"/>
      <c r="BR117" s="419"/>
      <c r="BS117" s="419"/>
      <c r="BT117" s="419"/>
      <c r="BU117" s="432"/>
      <c r="BV117" s="419"/>
      <c r="BW117" s="419"/>
      <c r="BX117" s="419"/>
      <c r="BY117" s="389"/>
      <c r="BZ117" s="389"/>
      <c r="CA117" s="389"/>
      <c r="CB117" s="389"/>
      <c r="CC117" s="389"/>
      <c r="CD117" s="389"/>
      <c r="CE117" s="389"/>
      <c r="CF117" s="389"/>
      <c r="CG117" s="389"/>
      <c r="CH117" s="389"/>
      <c r="CI117" s="389"/>
      <c r="CJ117" s="422"/>
      <c r="CK117" s="422"/>
      <c r="CL117" s="422"/>
      <c r="CM117" s="422"/>
      <c r="CN117" s="422"/>
      <c r="CO117" s="422"/>
      <c r="CP117" s="422"/>
      <c r="CQ117" s="432"/>
      <c r="CR117" s="431" t="str">
        <f t="shared" si="37"/>
        <v/>
      </c>
      <c r="CS117" s="35" t="str">
        <f t="shared" si="38"/>
        <v>Direct or WHSE.</v>
      </c>
      <c r="CT117" s="411"/>
      <c r="CW117" s="153" t="str">
        <f t="shared" si="39"/>
        <v/>
      </c>
      <c r="CX117" s="153" t="str">
        <f t="shared" si="40"/>
        <v/>
      </c>
      <c r="CY117" s="153" t="str">
        <f t="shared" si="41"/>
        <v/>
      </c>
      <c r="DA117" s="423" t="s">
        <v>249</v>
      </c>
      <c r="DB117" s="23">
        <v>1</v>
      </c>
    </row>
    <row r="118" spans="1:106" ht="19.5" customHeight="1">
      <c r="A118" s="10">
        <v>96</v>
      </c>
      <c r="B118" s="373"/>
      <c r="C118" s="373"/>
      <c r="D118" s="396"/>
      <c r="E118" s="375"/>
      <c r="F118" s="373"/>
      <c r="G118" s="373"/>
      <c r="H118" s="376"/>
      <c r="I118" s="377"/>
      <c r="J118" s="378"/>
      <c r="K118" s="379"/>
      <c r="L118" s="374"/>
      <c r="M118" s="380" t="str">
        <f t="shared" ca="1" si="42"/>
        <v/>
      </c>
      <c r="N118" s="373"/>
      <c r="O118" s="381"/>
      <c r="P118" s="381"/>
      <c r="Q118" s="382"/>
      <c r="R118" s="381"/>
      <c r="S118" s="383"/>
      <c r="T118" s="384" t="str">
        <f t="shared" si="43"/>
        <v/>
      </c>
      <c r="U118" s="385"/>
      <c r="V118" s="384" t="str">
        <f t="shared" si="44"/>
        <v/>
      </c>
      <c r="W118" s="386"/>
      <c r="X118" s="386" t="str">
        <f t="shared" si="45"/>
        <v/>
      </c>
      <c r="Y118" s="386" t="str">
        <f t="shared" si="46"/>
        <v/>
      </c>
      <c r="Z118" s="386" t="str">
        <f t="shared" si="47"/>
        <v/>
      </c>
      <c r="AA118" s="387"/>
      <c r="AB118" s="386" t="str">
        <f t="shared" si="48"/>
        <v/>
      </c>
      <c r="AC118" s="386" t="str">
        <f t="shared" si="49"/>
        <v/>
      </c>
      <c r="AD118" s="386" t="str">
        <f t="shared" si="50"/>
        <v/>
      </c>
      <c r="AE118" s="386" t="str">
        <f t="shared" si="51"/>
        <v/>
      </c>
      <c r="AF118" s="386" t="str">
        <f t="shared" si="52"/>
        <v/>
      </c>
      <c r="AG118" s="386" t="str">
        <f t="shared" si="53"/>
        <v/>
      </c>
      <c r="AH118" s="386" t="str">
        <f t="shared" si="54"/>
        <v/>
      </c>
      <c r="AI118" s="386" t="str">
        <f t="shared" si="55"/>
        <v/>
      </c>
      <c r="AJ118" s="386" t="str">
        <f t="shared" si="56"/>
        <v/>
      </c>
      <c r="AK118" s="386" t="str">
        <f t="shared" si="57"/>
        <v/>
      </c>
      <c r="AL118" s="388"/>
      <c r="AM118" s="388"/>
      <c r="AN118" s="388"/>
      <c r="AO118" s="388"/>
      <c r="AP118" s="402" t="str">
        <f t="shared" si="58"/>
        <v/>
      </c>
      <c r="AQ118" s="388"/>
      <c r="AR118" s="388"/>
      <c r="AS118" s="388"/>
      <c r="AT118" s="388"/>
      <c r="AU118" s="402" t="str">
        <f t="shared" si="59"/>
        <v/>
      </c>
      <c r="AV118" s="389"/>
      <c r="AW118" s="381"/>
      <c r="AX118" s="381"/>
      <c r="AY118" s="373"/>
      <c r="AZ118" s="390"/>
      <c r="BA118" s="390"/>
      <c r="BB118" s="391"/>
      <c r="BC118" s="392"/>
      <c r="BD118" s="393"/>
      <c r="BE118" s="393"/>
      <c r="BF118" s="393"/>
      <c r="BG118" s="394"/>
      <c r="BH118" s="395"/>
      <c r="BI118" s="374"/>
      <c r="BJ118" s="374"/>
      <c r="BK118" s="374"/>
      <c r="BL118" s="389"/>
      <c r="BM118" s="397"/>
      <c r="BN118" s="389"/>
      <c r="BO118" s="419" t="str">
        <f t="shared" si="60"/>
        <v/>
      </c>
      <c r="BP118" s="389"/>
      <c r="BQ118" s="397"/>
      <c r="BR118" s="419"/>
      <c r="BS118" s="419"/>
      <c r="BT118" s="419"/>
      <c r="BU118" s="432"/>
      <c r="BV118" s="419"/>
      <c r="BW118" s="419"/>
      <c r="BX118" s="419"/>
      <c r="BY118" s="389"/>
      <c r="BZ118" s="389"/>
      <c r="CA118" s="389"/>
      <c r="CB118" s="389"/>
      <c r="CC118" s="389"/>
      <c r="CD118" s="389"/>
      <c r="CE118" s="389"/>
      <c r="CF118" s="389"/>
      <c r="CG118" s="389"/>
      <c r="CH118" s="389"/>
      <c r="CI118" s="389"/>
      <c r="CJ118" s="422"/>
      <c r="CK118" s="422"/>
      <c r="CL118" s="422"/>
      <c r="CM118" s="422"/>
      <c r="CN118" s="422"/>
      <c r="CO118" s="422"/>
      <c r="CP118" s="422"/>
      <c r="CQ118" s="432"/>
      <c r="CR118" s="431" t="str">
        <f t="shared" si="37"/>
        <v/>
      </c>
      <c r="CS118" s="35" t="str">
        <f t="shared" si="38"/>
        <v>Direct or WHSE.</v>
      </c>
      <c r="CT118" s="411"/>
      <c r="CW118" s="153" t="str">
        <f t="shared" si="39"/>
        <v/>
      </c>
      <c r="CX118" s="153" t="str">
        <f t="shared" si="40"/>
        <v/>
      </c>
      <c r="CY118" s="153" t="str">
        <f t="shared" si="41"/>
        <v/>
      </c>
      <c r="DA118" s="423" t="s">
        <v>248</v>
      </c>
      <c r="DB118" s="23">
        <v>3</v>
      </c>
    </row>
    <row r="119" spans="1:106" ht="19.5" customHeight="1">
      <c r="A119" s="10">
        <v>97</v>
      </c>
      <c r="B119" s="373"/>
      <c r="C119" s="373"/>
      <c r="D119" s="396"/>
      <c r="E119" s="375"/>
      <c r="F119" s="373"/>
      <c r="G119" s="373"/>
      <c r="H119" s="376"/>
      <c r="I119" s="377"/>
      <c r="J119" s="378"/>
      <c r="K119" s="379"/>
      <c r="L119" s="374"/>
      <c r="M119" s="380" t="str">
        <f t="shared" ca="1" si="42"/>
        <v/>
      </c>
      <c r="N119" s="373"/>
      <c r="O119" s="381"/>
      <c r="P119" s="381"/>
      <c r="Q119" s="382"/>
      <c r="R119" s="381"/>
      <c r="S119" s="383"/>
      <c r="T119" s="384" t="str">
        <f t="shared" si="43"/>
        <v/>
      </c>
      <c r="U119" s="385"/>
      <c r="V119" s="384" t="str">
        <f t="shared" si="44"/>
        <v/>
      </c>
      <c r="W119" s="386"/>
      <c r="X119" s="386" t="str">
        <f t="shared" si="45"/>
        <v/>
      </c>
      <c r="Y119" s="386" t="str">
        <f t="shared" si="46"/>
        <v/>
      </c>
      <c r="Z119" s="386" t="str">
        <f t="shared" si="47"/>
        <v/>
      </c>
      <c r="AA119" s="387"/>
      <c r="AB119" s="386" t="str">
        <f t="shared" si="48"/>
        <v/>
      </c>
      <c r="AC119" s="386" t="str">
        <f t="shared" si="49"/>
        <v/>
      </c>
      <c r="AD119" s="386" t="str">
        <f t="shared" si="50"/>
        <v/>
      </c>
      <c r="AE119" s="386" t="str">
        <f t="shared" si="51"/>
        <v/>
      </c>
      <c r="AF119" s="386" t="str">
        <f t="shared" si="52"/>
        <v/>
      </c>
      <c r="AG119" s="386" t="str">
        <f t="shared" si="53"/>
        <v/>
      </c>
      <c r="AH119" s="386" t="str">
        <f t="shared" si="54"/>
        <v/>
      </c>
      <c r="AI119" s="386" t="str">
        <f t="shared" si="55"/>
        <v/>
      </c>
      <c r="AJ119" s="386" t="str">
        <f t="shared" si="56"/>
        <v/>
      </c>
      <c r="AK119" s="386" t="str">
        <f t="shared" si="57"/>
        <v/>
      </c>
      <c r="AL119" s="388"/>
      <c r="AM119" s="388"/>
      <c r="AN119" s="388"/>
      <c r="AO119" s="388"/>
      <c r="AP119" s="402" t="str">
        <f t="shared" si="58"/>
        <v/>
      </c>
      <c r="AQ119" s="388"/>
      <c r="AR119" s="388"/>
      <c r="AS119" s="388"/>
      <c r="AT119" s="388"/>
      <c r="AU119" s="402" t="str">
        <f t="shared" si="59"/>
        <v/>
      </c>
      <c r="AV119" s="389"/>
      <c r="AW119" s="381"/>
      <c r="AX119" s="381"/>
      <c r="AY119" s="373"/>
      <c r="AZ119" s="390"/>
      <c r="BA119" s="390"/>
      <c r="BB119" s="391"/>
      <c r="BC119" s="392"/>
      <c r="BD119" s="393"/>
      <c r="BE119" s="393"/>
      <c r="BF119" s="393"/>
      <c r="BG119" s="394"/>
      <c r="BH119" s="395"/>
      <c r="BI119" s="374"/>
      <c r="BJ119" s="374"/>
      <c r="BK119" s="374"/>
      <c r="BL119" s="389"/>
      <c r="BM119" s="397"/>
      <c r="BN119" s="389"/>
      <c r="BO119" s="419" t="str">
        <f t="shared" si="60"/>
        <v/>
      </c>
      <c r="BP119" s="389"/>
      <c r="BQ119" s="397"/>
      <c r="BR119" s="419"/>
      <c r="BS119" s="419"/>
      <c r="BT119" s="419"/>
      <c r="BU119" s="432"/>
      <c r="BV119" s="419"/>
      <c r="BW119" s="419"/>
      <c r="BX119" s="419"/>
      <c r="BY119" s="389"/>
      <c r="BZ119" s="389"/>
      <c r="CA119" s="389"/>
      <c r="CB119" s="389"/>
      <c r="CC119" s="389"/>
      <c r="CD119" s="389"/>
      <c r="CE119" s="389"/>
      <c r="CF119" s="389"/>
      <c r="CG119" s="389"/>
      <c r="CH119" s="389"/>
      <c r="CI119" s="389"/>
      <c r="CJ119" s="422"/>
      <c r="CK119" s="422"/>
      <c r="CL119" s="422"/>
      <c r="CM119" s="422"/>
      <c r="CN119" s="422"/>
      <c r="CO119" s="422"/>
      <c r="CP119" s="422"/>
      <c r="CQ119" s="432"/>
      <c r="CR119" s="431" t="str">
        <f t="shared" si="37"/>
        <v/>
      </c>
      <c r="CS119" s="35" t="str">
        <f t="shared" si="38"/>
        <v>Direct or WHSE.</v>
      </c>
      <c r="CT119" s="411"/>
      <c r="CW119" s="153" t="str">
        <f t="shared" si="39"/>
        <v/>
      </c>
      <c r="CX119" s="153" t="str">
        <f t="shared" si="40"/>
        <v/>
      </c>
      <c r="CY119" s="153" t="str">
        <f t="shared" si="41"/>
        <v/>
      </c>
      <c r="DA119" s="423" t="s">
        <v>247</v>
      </c>
      <c r="DB119" s="23">
        <v>2</v>
      </c>
    </row>
    <row r="120" spans="1:106" ht="19.5" customHeight="1">
      <c r="A120" s="10">
        <v>98</v>
      </c>
      <c r="B120" s="373"/>
      <c r="C120" s="373"/>
      <c r="D120" s="396"/>
      <c r="E120" s="375"/>
      <c r="F120" s="373"/>
      <c r="G120" s="373"/>
      <c r="H120" s="376"/>
      <c r="I120" s="377"/>
      <c r="J120" s="378"/>
      <c r="K120" s="379"/>
      <c r="L120" s="374"/>
      <c r="M120" s="380" t="str">
        <f t="shared" ca="1" si="42"/>
        <v/>
      </c>
      <c r="N120" s="373"/>
      <c r="O120" s="381"/>
      <c r="P120" s="381"/>
      <c r="Q120" s="382"/>
      <c r="R120" s="381"/>
      <c r="S120" s="383"/>
      <c r="T120" s="384" t="str">
        <f t="shared" si="43"/>
        <v/>
      </c>
      <c r="U120" s="385"/>
      <c r="V120" s="384" t="str">
        <f t="shared" si="44"/>
        <v/>
      </c>
      <c r="W120" s="386"/>
      <c r="X120" s="386" t="str">
        <f t="shared" si="45"/>
        <v/>
      </c>
      <c r="Y120" s="386" t="str">
        <f t="shared" si="46"/>
        <v/>
      </c>
      <c r="Z120" s="386" t="str">
        <f t="shared" si="47"/>
        <v/>
      </c>
      <c r="AA120" s="387"/>
      <c r="AB120" s="386" t="str">
        <f t="shared" si="48"/>
        <v/>
      </c>
      <c r="AC120" s="386" t="str">
        <f t="shared" si="49"/>
        <v/>
      </c>
      <c r="AD120" s="386" t="str">
        <f t="shared" si="50"/>
        <v/>
      </c>
      <c r="AE120" s="386" t="str">
        <f t="shared" si="51"/>
        <v/>
      </c>
      <c r="AF120" s="386" t="str">
        <f t="shared" si="52"/>
        <v/>
      </c>
      <c r="AG120" s="386" t="str">
        <f t="shared" si="53"/>
        <v/>
      </c>
      <c r="AH120" s="386" t="str">
        <f t="shared" si="54"/>
        <v/>
      </c>
      <c r="AI120" s="386" t="str">
        <f t="shared" si="55"/>
        <v/>
      </c>
      <c r="AJ120" s="386" t="str">
        <f t="shared" si="56"/>
        <v/>
      </c>
      <c r="AK120" s="386" t="str">
        <f t="shared" si="57"/>
        <v/>
      </c>
      <c r="AL120" s="388"/>
      <c r="AM120" s="388"/>
      <c r="AN120" s="388"/>
      <c r="AO120" s="388"/>
      <c r="AP120" s="402" t="str">
        <f t="shared" si="58"/>
        <v/>
      </c>
      <c r="AQ120" s="388"/>
      <c r="AR120" s="388"/>
      <c r="AS120" s="388"/>
      <c r="AT120" s="388"/>
      <c r="AU120" s="402" t="str">
        <f t="shared" si="59"/>
        <v/>
      </c>
      <c r="AV120" s="389"/>
      <c r="AW120" s="381"/>
      <c r="AX120" s="381"/>
      <c r="AY120" s="373"/>
      <c r="AZ120" s="390"/>
      <c r="BA120" s="390"/>
      <c r="BB120" s="391"/>
      <c r="BC120" s="392"/>
      <c r="BD120" s="393"/>
      <c r="BE120" s="393"/>
      <c r="BF120" s="393"/>
      <c r="BG120" s="394"/>
      <c r="BH120" s="395"/>
      <c r="BI120" s="374"/>
      <c r="BJ120" s="374"/>
      <c r="BK120" s="374"/>
      <c r="BL120" s="389"/>
      <c r="BM120" s="397"/>
      <c r="BN120" s="389"/>
      <c r="BO120" s="419" t="str">
        <f t="shared" si="60"/>
        <v/>
      </c>
      <c r="BP120" s="389"/>
      <c r="BQ120" s="397"/>
      <c r="BR120" s="419"/>
      <c r="BS120" s="419"/>
      <c r="BT120" s="419"/>
      <c r="BU120" s="432"/>
      <c r="BV120" s="419"/>
      <c r="BW120" s="419"/>
      <c r="BX120" s="419"/>
      <c r="BY120" s="389"/>
      <c r="BZ120" s="389"/>
      <c r="CA120" s="389"/>
      <c r="CB120" s="389"/>
      <c r="CC120" s="389"/>
      <c r="CD120" s="389"/>
      <c r="CE120" s="389"/>
      <c r="CF120" s="389"/>
      <c r="CG120" s="389"/>
      <c r="CH120" s="389"/>
      <c r="CI120" s="389"/>
      <c r="CJ120" s="422"/>
      <c r="CK120" s="422"/>
      <c r="CL120" s="422"/>
      <c r="CM120" s="422"/>
      <c r="CN120" s="422"/>
      <c r="CO120" s="422"/>
      <c r="CP120" s="422"/>
      <c r="CQ120" s="432"/>
      <c r="CR120" s="431" t="str">
        <f t="shared" si="37"/>
        <v/>
      </c>
      <c r="CS120" s="35" t="str">
        <f t="shared" si="38"/>
        <v>Direct or WHSE.</v>
      </c>
      <c r="CT120" s="411"/>
      <c r="CW120" s="153" t="str">
        <f t="shared" si="39"/>
        <v/>
      </c>
      <c r="CX120" s="153" t="str">
        <f t="shared" si="40"/>
        <v/>
      </c>
      <c r="CY120" s="153" t="str">
        <f t="shared" si="41"/>
        <v/>
      </c>
      <c r="DA120" s="423" t="s">
        <v>246</v>
      </c>
      <c r="DB120" s="23">
        <v>2.5</v>
      </c>
    </row>
    <row r="121" spans="1:106" ht="19.5" customHeight="1">
      <c r="A121" s="10">
        <v>99</v>
      </c>
      <c r="B121" s="373"/>
      <c r="C121" s="373"/>
      <c r="D121" s="396"/>
      <c r="E121" s="375"/>
      <c r="F121" s="373"/>
      <c r="G121" s="373"/>
      <c r="H121" s="376"/>
      <c r="I121" s="377"/>
      <c r="J121" s="378"/>
      <c r="K121" s="379"/>
      <c r="L121" s="374"/>
      <c r="M121" s="380" t="str">
        <f t="shared" ca="1" si="42"/>
        <v/>
      </c>
      <c r="N121" s="373"/>
      <c r="O121" s="381"/>
      <c r="P121" s="381"/>
      <c r="Q121" s="382"/>
      <c r="R121" s="381"/>
      <c r="S121" s="383"/>
      <c r="T121" s="384" t="str">
        <f t="shared" si="43"/>
        <v/>
      </c>
      <c r="U121" s="385"/>
      <c r="V121" s="384" t="str">
        <f t="shared" si="44"/>
        <v/>
      </c>
      <c r="W121" s="386"/>
      <c r="X121" s="386" t="str">
        <f t="shared" si="45"/>
        <v/>
      </c>
      <c r="Y121" s="386" t="str">
        <f t="shared" si="46"/>
        <v/>
      </c>
      <c r="Z121" s="386" t="str">
        <f t="shared" si="47"/>
        <v/>
      </c>
      <c r="AA121" s="387"/>
      <c r="AB121" s="386" t="str">
        <f t="shared" si="48"/>
        <v/>
      </c>
      <c r="AC121" s="386" t="str">
        <f t="shared" si="49"/>
        <v/>
      </c>
      <c r="AD121" s="386" t="str">
        <f t="shared" si="50"/>
        <v/>
      </c>
      <c r="AE121" s="386" t="str">
        <f t="shared" si="51"/>
        <v/>
      </c>
      <c r="AF121" s="386" t="str">
        <f t="shared" si="52"/>
        <v/>
      </c>
      <c r="AG121" s="386" t="str">
        <f t="shared" si="53"/>
        <v/>
      </c>
      <c r="AH121" s="386" t="str">
        <f t="shared" si="54"/>
        <v/>
      </c>
      <c r="AI121" s="386" t="str">
        <f t="shared" si="55"/>
        <v/>
      </c>
      <c r="AJ121" s="386" t="str">
        <f t="shared" si="56"/>
        <v/>
      </c>
      <c r="AK121" s="386" t="str">
        <f t="shared" si="57"/>
        <v/>
      </c>
      <c r="AL121" s="388"/>
      <c r="AM121" s="388"/>
      <c r="AN121" s="388"/>
      <c r="AO121" s="388"/>
      <c r="AP121" s="402" t="str">
        <f t="shared" si="58"/>
        <v/>
      </c>
      <c r="AQ121" s="388"/>
      <c r="AR121" s="388"/>
      <c r="AS121" s="388"/>
      <c r="AT121" s="388"/>
      <c r="AU121" s="402" t="str">
        <f t="shared" si="59"/>
        <v/>
      </c>
      <c r="AV121" s="389"/>
      <c r="AW121" s="381"/>
      <c r="AX121" s="381"/>
      <c r="AY121" s="373"/>
      <c r="AZ121" s="390"/>
      <c r="BA121" s="390"/>
      <c r="BB121" s="391"/>
      <c r="BC121" s="392"/>
      <c r="BD121" s="393"/>
      <c r="BE121" s="393"/>
      <c r="BF121" s="393"/>
      <c r="BG121" s="394"/>
      <c r="BH121" s="395"/>
      <c r="BI121" s="374"/>
      <c r="BJ121" s="374"/>
      <c r="BK121" s="374"/>
      <c r="BL121" s="389"/>
      <c r="BM121" s="397"/>
      <c r="BN121" s="389"/>
      <c r="BO121" s="419" t="str">
        <f t="shared" si="60"/>
        <v/>
      </c>
      <c r="BP121" s="389"/>
      <c r="BQ121" s="397"/>
      <c r="BR121" s="419"/>
      <c r="BS121" s="419"/>
      <c r="BT121" s="419"/>
      <c r="BU121" s="432"/>
      <c r="BV121" s="419"/>
      <c r="BW121" s="419"/>
      <c r="BX121" s="419"/>
      <c r="BY121" s="389"/>
      <c r="BZ121" s="389"/>
      <c r="CA121" s="389"/>
      <c r="CB121" s="389"/>
      <c r="CC121" s="389"/>
      <c r="CD121" s="389"/>
      <c r="CE121" s="389"/>
      <c r="CF121" s="389"/>
      <c r="CG121" s="389"/>
      <c r="CH121" s="389"/>
      <c r="CI121" s="389"/>
      <c r="CJ121" s="422"/>
      <c r="CK121" s="422"/>
      <c r="CL121" s="422"/>
      <c r="CM121" s="422"/>
      <c r="CN121" s="422"/>
      <c r="CO121" s="422"/>
      <c r="CP121" s="422"/>
      <c r="CQ121" s="432"/>
      <c r="CR121" s="431" t="str">
        <f t="shared" si="37"/>
        <v/>
      </c>
      <c r="CS121" s="35" t="str">
        <f t="shared" si="38"/>
        <v>Direct or WHSE.</v>
      </c>
      <c r="CT121" s="411"/>
      <c r="CW121" s="153" t="str">
        <f t="shared" si="39"/>
        <v/>
      </c>
      <c r="CX121" s="153" t="str">
        <f t="shared" si="40"/>
        <v/>
      </c>
      <c r="CY121" s="153" t="str">
        <f t="shared" si="41"/>
        <v/>
      </c>
      <c r="DA121" s="423" t="s">
        <v>245</v>
      </c>
      <c r="DB121" s="23">
        <v>5</v>
      </c>
    </row>
    <row r="122" spans="1:106" ht="19.5" customHeight="1">
      <c r="A122" s="10">
        <v>100</v>
      </c>
      <c r="B122" s="373"/>
      <c r="C122" s="373"/>
      <c r="D122" s="396"/>
      <c r="E122" s="375"/>
      <c r="F122" s="373"/>
      <c r="G122" s="373"/>
      <c r="H122" s="376"/>
      <c r="I122" s="377"/>
      <c r="J122" s="378"/>
      <c r="K122" s="379"/>
      <c r="L122" s="374"/>
      <c r="M122" s="380" t="str">
        <f t="shared" ca="1" si="42"/>
        <v/>
      </c>
      <c r="N122" s="373"/>
      <c r="O122" s="381"/>
      <c r="P122" s="381"/>
      <c r="Q122" s="382"/>
      <c r="R122" s="381"/>
      <c r="S122" s="383"/>
      <c r="T122" s="384" t="str">
        <f t="shared" si="43"/>
        <v/>
      </c>
      <c r="U122" s="385"/>
      <c r="V122" s="384" t="str">
        <f t="shared" si="44"/>
        <v/>
      </c>
      <c r="W122" s="386"/>
      <c r="X122" s="386" t="str">
        <f t="shared" si="45"/>
        <v/>
      </c>
      <c r="Y122" s="386" t="str">
        <f t="shared" si="46"/>
        <v/>
      </c>
      <c r="Z122" s="386" t="str">
        <f t="shared" si="47"/>
        <v/>
      </c>
      <c r="AA122" s="387"/>
      <c r="AB122" s="386" t="str">
        <f t="shared" si="48"/>
        <v/>
      </c>
      <c r="AC122" s="386" t="str">
        <f t="shared" si="49"/>
        <v/>
      </c>
      <c r="AD122" s="386" t="str">
        <f t="shared" si="50"/>
        <v/>
      </c>
      <c r="AE122" s="386" t="str">
        <f t="shared" si="51"/>
        <v/>
      </c>
      <c r="AF122" s="386" t="str">
        <f t="shared" si="52"/>
        <v/>
      </c>
      <c r="AG122" s="386" t="str">
        <f t="shared" si="53"/>
        <v/>
      </c>
      <c r="AH122" s="386" t="str">
        <f t="shared" si="54"/>
        <v/>
      </c>
      <c r="AI122" s="386" t="str">
        <f t="shared" si="55"/>
        <v/>
      </c>
      <c r="AJ122" s="386" t="str">
        <f t="shared" si="56"/>
        <v/>
      </c>
      <c r="AK122" s="386" t="str">
        <f t="shared" si="57"/>
        <v/>
      </c>
      <c r="AL122" s="388"/>
      <c r="AM122" s="388"/>
      <c r="AN122" s="388"/>
      <c r="AO122" s="388"/>
      <c r="AP122" s="402" t="str">
        <f t="shared" si="58"/>
        <v/>
      </c>
      <c r="AQ122" s="388"/>
      <c r="AR122" s="388"/>
      <c r="AS122" s="388"/>
      <c r="AT122" s="388"/>
      <c r="AU122" s="402" t="str">
        <f t="shared" si="59"/>
        <v/>
      </c>
      <c r="AV122" s="389"/>
      <c r="AW122" s="381"/>
      <c r="AX122" s="381"/>
      <c r="AY122" s="373"/>
      <c r="AZ122" s="390"/>
      <c r="BA122" s="390"/>
      <c r="BB122" s="391"/>
      <c r="BC122" s="392"/>
      <c r="BD122" s="393"/>
      <c r="BE122" s="393"/>
      <c r="BF122" s="393"/>
      <c r="BG122" s="394"/>
      <c r="BH122" s="395"/>
      <c r="BI122" s="374"/>
      <c r="BJ122" s="374"/>
      <c r="BK122" s="374"/>
      <c r="BL122" s="389"/>
      <c r="BM122" s="397"/>
      <c r="BN122" s="389"/>
      <c r="BO122" s="419" t="str">
        <f t="shared" si="60"/>
        <v/>
      </c>
      <c r="BP122" s="389"/>
      <c r="BQ122" s="397"/>
      <c r="BR122" s="419"/>
      <c r="BS122" s="419"/>
      <c r="BT122" s="419"/>
      <c r="BU122" s="432"/>
      <c r="BV122" s="419"/>
      <c r="BW122" s="419"/>
      <c r="BX122" s="419"/>
      <c r="BY122" s="389"/>
      <c r="BZ122" s="389"/>
      <c r="CA122" s="389"/>
      <c r="CB122" s="389"/>
      <c r="CC122" s="389"/>
      <c r="CD122" s="389"/>
      <c r="CE122" s="389"/>
      <c r="CF122" s="389"/>
      <c r="CG122" s="389"/>
      <c r="CH122" s="389"/>
      <c r="CI122" s="389"/>
      <c r="CJ122" s="422"/>
      <c r="CK122" s="422"/>
      <c r="CL122" s="422"/>
      <c r="CM122" s="422"/>
      <c r="CN122" s="422"/>
      <c r="CO122" s="422"/>
      <c r="CP122" s="422"/>
      <c r="CQ122" s="432"/>
      <c r="CR122" s="431" t="str">
        <f t="shared" si="37"/>
        <v/>
      </c>
      <c r="CS122" s="35" t="str">
        <f t="shared" si="38"/>
        <v>Direct or WHSE.</v>
      </c>
      <c r="CT122" s="411"/>
      <c r="CW122" s="153" t="str">
        <f t="shared" si="39"/>
        <v/>
      </c>
      <c r="CX122" s="153" t="str">
        <f t="shared" si="40"/>
        <v/>
      </c>
      <c r="CY122" s="153" t="str">
        <f t="shared" si="41"/>
        <v/>
      </c>
      <c r="DA122" s="423" t="s">
        <v>244</v>
      </c>
      <c r="DB122" s="23">
        <v>1.5</v>
      </c>
    </row>
    <row r="123" spans="1:106" ht="19.5" customHeight="1">
      <c r="A123" s="10">
        <v>101</v>
      </c>
      <c r="B123" s="373"/>
      <c r="C123" s="373"/>
      <c r="D123" s="396"/>
      <c r="E123" s="375"/>
      <c r="F123" s="373"/>
      <c r="G123" s="373"/>
      <c r="H123" s="376"/>
      <c r="I123" s="377"/>
      <c r="J123" s="378"/>
      <c r="K123" s="379"/>
      <c r="L123" s="374"/>
      <c r="M123" s="380" t="str">
        <f t="shared" ca="1" si="42"/>
        <v/>
      </c>
      <c r="N123" s="373"/>
      <c r="O123" s="381"/>
      <c r="P123" s="381"/>
      <c r="Q123" s="382"/>
      <c r="R123" s="381"/>
      <c r="S123" s="383"/>
      <c r="T123" s="384" t="str">
        <f t="shared" si="43"/>
        <v/>
      </c>
      <c r="U123" s="385"/>
      <c r="V123" s="384" t="str">
        <f t="shared" si="44"/>
        <v/>
      </c>
      <c r="W123" s="386"/>
      <c r="X123" s="386" t="str">
        <f t="shared" si="45"/>
        <v/>
      </c>
      <c r="Y123" s="386" t="str">
        <f t="shared" ref="Y123:Y186" si="61">IF(W123="","",W123)</f>
        <v/>
      </c>
      <c r="Z123" s="386" t="str">
        <f t="shared" ref="Z123:Z186" si="62">IF(Q123="N","",IF(Q123="","",IF(W123="","",W123)))</f>
        <v/>
      </c>
      <c r="AA123" s="387"/>
      <c r="AB123" s="386" t="str">
        <f t="shared" ref="AB123:AB186" si="63">IF(W123="","",W123)</f>
        <v/>
      </c>
      <c r="AC123" s="386" t="str">
        <f t="shared" ref="AC123:AC186" si="64">IF(W123="","",W123)</f>
        <v/>
      </c>
      <c r="AD123" s="386" t="str">
        <f t="shared" ref="AD123:AD186" si="65">IF(W123="","",W123)</f>
        <v/>
      </c>
      <c r="AE123" s="386" t="str">
        <f t="shared" ref="AE123:AE186" si="66">IF(W123="","",W123)</f>
        <v/>
      </c>
      <c r="AF123" s="386" t="str">
        <f t="shared" ref="AF123:AF186" si="67">IF(W123="","",W123)</f>
        <v/>
      </c>
      <c r="AG123" s="386" t="str">
        <f t="shared" ref="AG123:AG186" si="68">IF(W123="","",W123)</f>
        <v/>
      </c>
      <c r="AH123" s="386" t="str">
        <f t="shared" ref="AH123:AH186" si="69">IF(W123="","",W123)</f>
        <v/>
      </c>
      <c r="AI123" s="386" t="str">
        <f t="shared" si="55"/>
        <v/>
      </c>
      <c r="AJ123" s="386" t="str">
        <f t="shared" si="56"/>
        <v/>
      </c>
      <c r="AK123" s="386" t="str">
        <f t="shared" si="57"/>
        <v/>
      </c>
      <c r="AL123" s="388"/>
      <c r="AM123" s="388"/>
      <c r="AN123" s="388"/>
      <c r="AO123" s="388"/>
      <c r="AP123" s="402" t="str">
        <f t="shared" ref="AP123:AP186" si="70">IF(AND(AL123="",AM123="",AN123="",AO123=""),"",IF(AL123="","Missing Height",IF(AM123="","Missing Width",IF(AN123="","Missing Length",AL123*AM123*AN123/1728))))</f>
        <v/>
      </c>
      <c r="AQ123" s="388"/>
      <c r="AR123" s="388"/>
      <c r="AS123" s="388"/>
      <c r="AT123" s="388"/>
      <c r="AU123" s="402" t="str">
        <f t="shared" ref="AU123:AU186" si="71">IF(AND(AQ123="",AR123="",AS123="",AT123=""),"",IF(AQ123="","Missing Height",IF(AR123="","Missing Width",IF(AS123="","Missing Length",AQ123*AR123*AS123/1728))))</f>
        <v/>
      </c>
      <c r="AV123" s="389"/>
      <c r="AW123" s="381"/>
      <c r="AX123" s="381"/>
      <c r="AY123" s="373"/>
      <c r="AZ123" s="390"/>
      <c r="BA123" s="390"/>
      <c r="BB123" s="391"/>
      <c r="BC123" s="392"/>
      <c r="BD123" s="393"/>
      <c r="BE123" s="393"/>
      <c r="BF123" s="393"/>
      <c r="BG123" s="394"/>
      <c r="BH123" s="395"/>
      <c r="BI123" s="374"/>
      <c r="BJ123" s="374"/>
      <c r="BK123" s="374"/>
      <c r="BL123" s="389"/>
      <c r="BM123" s="397"/>
      <c r="BN123" s="389"/>
      <c r="BO123" s="419" t="str">
        <f t="shared" si="60"/>
        <v/>
      </c>
      <c r="BP123" s="389"/>
      <c r="BQ123" s="397"/>
      <c r="BR123" s="419"/>
      <c r="BS123" s="419"/>
      <c r="BT123" s="419"/>
      <c r="BU123" s="432"/>
      <c r="BV123" s="419"/>
      <c r="BW123" s="419"/>
      <c r="BX123" s="419"/>
      <c r="BY123" s="389"/>
      <c r="BZ123" s="389"/>
      <c r="CA123" s="389"/>
      <c r="CB123" s="389"/>
      <c r="CC123" s="389"/>
      <c r="CD123" s="389"/>
      <c r="CE123" s="389"/>
      <c r="CF123" s="389"/>
      <c r="CG123" s="389"/>
      <c r="CH123" s="389"/>
      <c r="CI123" s="389"/>
      <c r="CJ123" s="422"/>
      <c r="CK123" s="422"/>
      <c r="CL123" s="422"/>
      <c r="CM123" s="422"/>
      <c r="CN123" s="422"/>
      <c r="CO123" s="422"/>
      <c r="CP123" s="422"/>
      <c r="CQ123" s="432"/>
      <c r="CR123" s="431" t="str">
        <f t="shared" ref="CR123:CR186" si="72">IF(N123="","",IF(MOD(N123,O123)=0,"","CASE PACK Problems"))</f>
        <v/>
      </c>
      <c r="CS123" s="35" t="str">
        <f t="shared" ref="CS123:CS186" si="73">IF($N$3="","Direct or WHSE.",IF(N123="","Need Master Pack QTY.",IF(O123="","Need Inner Pack QTY.",IF($N$3="W",IF(MOD(N123,O123)=0,"","Inner Pack is not a Multiple of the Master pack."),IF(O123="","",IF(O123=N123,"","Master PK and Inner PK don't equal."))))))</f>
        <v>Direct or WHSE.</v>
      </c>
      <c r="CT123" s="411"/>
      <c r="CW123" s="153" t="str">
        <f t="shared" si="39"/>
        <v/>
      </c>
      <c r="CX123" s="153" t="str">
        <f t="shared" si="40"/>
        <v/>
      </c>
      <c r="CY123" s="153" t="str">
        <f t="shared" ref="CY123:CY186" si="74">IF(W123="","",IF(W123=X123,"Match",""))</f>
        <v/>
      </c>
      <c r="DA123" s="423" t="s">
        <v>243</v>
      </c>
      <c r="DB123" s="23">
        <v>0.5</v>
      </c>
    </row>
    <row r="124" spans="1:106" ht="19.5" customHeight="1">
      <c r="A124" s="10">
        <v>102</v>
      </c>
      <c r="B124" s="373"/>
      <c r="C124" s="373"/>
      <c r="D124" s="396"/>
      <c r="E124" s="375"/>
      <c r="F124" s="373"/>
      <c r="G124" s="373"/>
      <c r="H124" s="376"/>
      <c r="I124" s="377"/>
      <c r="J124" s="378"/>
      <c r="K124" s="379"/>
      <c r="L124" s="374"/>
      <c r="M124" s="380" t="str">
        <f t="shared" ca="1" si="42"/>
        <v/>
      </c>
      <c r="N124" s="373"/>
      <c r="O124" s="381"/>
      <c r="P124" s="381"/>
      <c r="Q124" s="382"/>
      <c r="R124" s="381"/>
      <c r="S124" s="383"/>
      <c r="T124" s="384" t="str">
        <f t="shared" si="43"/>
        <v/>
      </c>
      <c r="U124" s="385"/>
      <c r="V124" s="384" t="str">
        <f t="shared" si="44"/>
        <v/>
      </c>
      <c r="W124" s="386"/>
      <c r="X124" s="386" t="str">
        <f t="shared" si="45"/>
        <v/>
      </c>
      <c r="Y124" s="386" t="str">
        <f t="shared" si="61"/>
        <v/>
      </c>
      <c r="Z124" s="386" t="str">
        <f t="shared" si="62"/>
        <v/>
      </c>
      <c r="AA124" s="387"/>
      <c r="AB124" s="386" t="str">
        <f t="shared" si="63"/>
        <v/>
      </c>
      <c r="AC124" s="386" t="str">
        <f t="shared" si="64"/>
        <v/>
      </c>
      <c r="AD124" s="386" t="str">
        <f t="shared" si="65"/>
        <v/>
      </c>
      <c r="AE124" s="386" t="str">
        <f t="shared" si="66"/>
        <v/>
      </c>
      <c r="AF124" s="386" t="str">
        <f t="shared" si="67"/>
        <v/>
      </c>
      <c r="AG124" s="386" t="str">
        <f t="shared" si="68"/>
        <v/>
      </c>
      <c r="AH124" s="386" t="str">
        <f t="shared" si="69"/>
        <v/>
      </c>
      <c r="AI124" s="386" t="str">
        <f t="shared" si="55"/>
        <v/>
      </c>
      <c r="AJ124" s="386" t="str">
        <f t="shared" si="56"/>
        <v/>
      </c>
      <c r="AK124" s="386" t="str">
        <f t="shared" si="57"/>
        <v/>
      </c>
      <c r="AL124" s="388"/>
      <c r="AM124" s="388"/>
      <c r="AN124" s="388"/>
      <c r="AO124" s="388"/>
      <c r="AP124" s="402" t="str">
        <f t="shared" si="70"/>
        <v/>
      </c>
      <c r="AQ124" s="388"/>
      <c r="AR124" s="388"/>
      <c r="AS124" s="388"/>
      <c r="AT124" s="388"/>
      <c r="AU124" s="402" t="str">
        <f t="shared" si="71"/>
        <v/>
      </c>
      <c r="AV124" s="389"/>
      <c r="AW124" s="381"/>
      <c r="AX124" s="381"/>
      <c r="AY124" s="373"/>
      <c r="AZ124" s="390"/>
      <c r="BA124" s="390"/>
      <c r="BB124" s="391"/>
      <c r="BC124" s="392"/>
      <c r="BD124" s="393"/>
      <c r="BE124" s="393"/>
      <c r="BF124" s="393"/>
      <c r="BG124" s="394"/>
      <c r="BH124" s="395"/>
      <c r="BI124" s="374"/>
      <c r="BJ124" s="374"/>
      <c r="BK124" s="374"/>
      <c r="BL124" s="389"/>
      <c r="BM124" s="397"/>
      <c r="BN124" s="389"/>
      <c r="BO124" s="419" t="str">
        <f t="shared" si="60"/>
        <v/>
      </c>
      <c r="BP124" s="389"/>
      <c r="BQ124" s="397"/>
      <c r="BR124" s="419"/>
      <c r="BS124" s="419"/>
      <c r="BT124" s="419"/>
      <c r="BU124" s="432"/>
      <c r="BV124" s="419"/>
      <c r="BW124" s="419"/>
      <c r="BX124" s="419"/>
      <c r="BY124" s="389"/>
      <c r="BZ124" s="389"/>
      <c r="CA124" s="389"/>
      <c r="CB124" s="389"/>
      <c r="CC124" s="389"/>
      <c r="CD124" s="389"/>
      <c r="CE124" s="389"/>
      <c r="CF124" s="389"/>
      <c r="CG124" s="389"/>
      <c r="CH124" s="389"/>
      <c r="CI124" s="389"/>
      <c r="CJ124" s="422"/>
      <c r="CK124" s="422"/>
      <c r="CL124" s="422"/>
      <c r="CM124" s="422"/>
      <c r="CN124" s="422"/>
      <c r="CO124" s="422"/>
      <c r="CP124" s="422"/>
      <c r="CQ124" s="432"/>
      <c r="CR124" s="431" t="str">
        <f t="shared" si="72"/>
        <v/>
      </c>
      <c r="CS124" s="35" t="str">
        <f t="shared" si="73"/>
        <v>Direct or WHSE.</v>
      </c>
      <c r="CT124" s="411"/>
      <c r="CW124" s="153" t="str">
        <f t="shared" si="39"/>
        <v/>
      </c>
      <c r="CX124" s="153" t="str">
        <f t="shared" si="40"/>
        <v/>
      </c>
      <c r="CY124" s="153" t="str">
        <f t="shared" si="74"/>
        <v/>
      </c>
    </row>
    <row r="125" spans="1:106" ht="19.5" customHeight="1">
      <c r="A125" s="10">
        <v>103</v>
      </c>
      <c r="B125" s="373"/>
      <c r="C125" s="373"/>
      <c r="D125" s="396"/>
      <c r="E125" s="375"/>
      <c r="F125" s="373"/>
      <c r="G125" s="373"/>
      <c r="H125" s="376"/>
      <c r="I125" s="377"/>
      <c r="J125" s="378"/>
      <c r="K125" s="379"/>
      <c r="L125" s="374"/>
      <c r="M125" s="380" t="str">
        <f t="shared" ca="1" si="42"/>
        <v/>
      </c>
      <c r="N125" s="373"/>
      <c r="O125" s="381"/>
      <c r="P125" s="381"/>
      <c r="Q125" s="382"/>
      <c r="R125" s="381"/>
      <c r="S125" s="383"/>
      <c r="T125" s="384" t="str">
        <f t="shared" si="43"/>
        <v/>
      </c>
      <c r="U125" s="385"/>
      <c r="V125" s="384" t="str">
        <f t="shared" si="44"/>
        <v/>
      </c>
      <c r="W125" s="386"/>
      <c r="X125" s="386" t="str">
        <f t="shared" si="45"/>
        <v/>
      </c>
      <c r="Y125" s="386" t="str">
        <f t="shared" si="61"/>
        <v/>
      </c>
      <c r="Z125" s="386" t="str">
        <f t="shared" si="62"/>
        <v/>
      </c>
      <c r="AA125" s="387"/>
      <c r="AB125" s="386" t="str">
        <f t="shared" si="63"/>
        <v/>
      </c>
      <c r="AC125" s="386" t="str">
        <f t="shared" si="64"/>
        <v/>
      </c>
      <c r="AD125" s="386" t="str">
        <f t="shared" si="65"/>
        <v/>
      </c>
      <c r="AE125" s="386" t="str">
        <f t="shared" si="66"/>
        <v/>
      </c>
      <c r="AF125" s="386" t="str">
        <f t="shared" si="67"/>
        <v/>
      </c>
      <c r="AG125" s="386" t="str">
        <f t="shared" si="68"/>
        <v/>
      </c>
      <c r="AH125" s="386" t="str">
        <f t="shared" si="69"/>
        <v/>
      </c>
      <c r="AI125" s="386" t="str">
        <f t="shared" si="55"/>
        <v/>
      </c>
      <c r="AJ125" s="386" t="str">
        <f t="shared" si="56"/>
        <v/>
      </c>
      <c r="AK125" s="386" t="str">
        <f t="shared" si="57"/>
        <v/>
      </c>
      <c r="AL125" s="388"/>
      <c r="AM125" s="388"/>
      <c r="AN125" s="388"/>
      <c r="AO125" s="388"/>
      <c r="AP125" s="402" t="str">
        <f t="shared" si="70"/>
        <v/>
      </c>
      <c r="AQ125" s="388"/>
      <c r="AR125" s="388"/>
      <c r="AS125" s="388"/>
      <c r="AT125" s="388"/>
      <c r="AU125" s="402" t="str">
        <f t="shared" si="71"/>
        <v/>
      </c>
      <c r="AV125" s="389"/>
      <c r="AW125" s="381"/>
      <c r="AX125" s="381"/>
      <c r="AY125" s="373"/>
      <c r="AZ125" s="390"/>
      <c r="BA125" s="390"/>
      <c r="BB125" s="391"/>
      <c r="BC125" s="392"/>
      <c r="BD125" s="393"/>
      <c r="BE125" s="393"/>
      <c r="BF125" s="393"/>
      <c r="BG125" s="394"/>
      <c r="BH125" s="395"/>
      <c r="BI125" s="374"/>
      <c r="BJ125" s="374"/>
      <c r="BK125" s="374"/>
      <c r="BL125" s="389"/>
      <c r="BM125" s="397"/>
      <c r="BN125" s="389"/>
      <c r="BO125" s="419" t="str">
        <f t="shared" si="60"/>
        <v/>
      </c>
      <c r="BP125" s="389"/>
      <c r="BQ125" s="397"/>
      <c r="BR125" s="419"/>
      <c r="BS125" s="419"/>
      <c r="BT125" s="419"/>
      <c r="BU125" s="432"/>
      <c r="BV125" s="419"/>
      <c r="BW125" s="419"/>
      <c r="BX125" s="419"/>
      <c r="BY125" s="389"/>
      <c r="BZ125" s="389"/>
      <c r="CA125" s="389"/>
      <c r="CB125" s="389"/>
      <c r="CC125" s="389"/>
      <c r="CD125" s="389"/>
      <c r="CE125" s="389"/>
      <c r="CF125" s="389"/>
      <c r="CG125" s="389"/>
      <c r="CH125" s="389"/>
      <c r="CI125" s="389"/>
      <c r="CJ125" s="422"/>
      <c r="CK125" s="422"/>
      <c r="CL125" s="422"/>
      <c r="CM125" s="422"/>
      <c r="CN125" s="422"/>
      <c r="CO125" s="422"/>
      <c r="CP125" s="422"/>
      <c r="CQ125" s="432"/>
      <c r="CR125" s="431" t="str">
        <f t="shared" si="72"/>
        <v/>
      </c>
      <c r="CS125" s="35" t="str">
        <f t="shared" si="73"/>
        <v>Direct or WHSE.</v>
      </c>
      <c r="CT125" s="411"/>
      <c r="CW125" s="153" t="str">
        <f t="shared" si="39"/>
        <v/>
      </c>
      <c r="CX125" s="153" t="str">
        <f t="shared" si="40"/>
        <v/>
      </c>
      <c r="CY125" s="153" t="str">
        <f t="shared" si="74"/>
        <v/>
      </c>
    </row>
    <row r="126" spans="1:106" ht="19.5" customHeight="1">
      <c r="A126" s="10">
        <v>104</v>
      </c>
      <c r="B126" s="373"/>
      <c r="C126" s="373"/>
      <c r="D126" s="396"/>
      <c r="E126" s="375"/>
      <c r="F126" s="373"/>
      <c r="G126" s="373"/>
      <c r="H126" s="376"/>
      <c r="I126" s="377"/>
      <c r="J126" s="378"/>
      <c r="K126" s="379"/>
      <c r="L126" s="374"/>
      <c r="M126" s="380" t="str">
        <f t="shared" ca="1" si="42"/>
        <v/>
      </c>
      <c r="N126" s="373"/>
      <c r="O126" s="381"/>
      <c r="P126" s="381"/>
      <c r="Q126" s="382"/>
      <c r="R126" s="381"/>
      <c r="S126" s="383"/>
      <c r="T126" s="384" t="str">
        <f t="shared" si="43"/>
        <v/>
      </c>
      <c r="U126" s="385"/>
      <c r="V126" s="384" t="str">
        <f t="shared" si="44"/>
        <v/>
      </c>
      <c r="W126" s="386"/>
      <c r="X126" s="386" t="str">
        <f t="shared" si="45"/>
        <v/>
      </c>
      <c r="Y126" s="386" t="str">
        <f t="shared" si="61"/>
        <v/>
      </c>
      <c r="Z126" s="386" t="str">
        <f t="shared" si="62"/>
        <v/>
      </c>
      <c r="AA126" s="387"/>
      <c r="AB126" s="386" t="str">
        <f t="shared" si="63"/>
        <v/>
      </c>
      <c r="AC126" s="386" t="str">
        <f t="shared" si="64"/>
        <v/>
      </c>
      <c r="AD126" s="386" t="str">
        <f t="shared" si="65"/>
        <v/>
      </c>
      <c r="AE126" s="386" t="str">
        <f t="shared" si="66"/>
        <v/>
      </c>
      <c r="AF126" s="386" t="str">
        <f t="shared" si="67"/>
        <v/>
      </c>
      <c r="AG126" s="386" t="str">
        <f t="shared" si="68"/>
        <v/>
      </c>
      <c r="AH126" s="386" t="str">
        <f t="shared" si="69"/>
        <v/>
      </c>
      <c r="AI126" s="386" t="str">
        <f t="shared" si="55"/>
        <v/>
      </c>
      <c r="AJ126" s="386" t="str">
        <f t="shared" si="56"/>
        <v/>
      </c>
      <c r="AK126" s="386" t="str">
        <f t="shared" si="57"/>
        <v/>
      </c>
      <c r="AL126" s="388"/>
      <c r="AM126" s="388"/>
      <c r="AN126" s="388"/>
      <c r="AO126" s="388"/>
      <c r="AP126" s="402" t="str">
        <f t="shared" si="70"/>
        <v/>
      </c>
      <c r="AQ126" s="388"/>
      <c r="AR126" s="388"/>
      <c r="AS126" s="388"/>
      <c r="AT126" s="388"/>
      <c r="AU126" s="402" t="str">
        <f t="shared" si="71"/>
        <v/>
      </c>
      <c r="AV126" s="389"/>
      <c r="AW126" s="381"/>
      <c r="AX126" s="381"/>
      <c r="AY126" s="373"/>
      <c r="AZ126" s="390"/>
      <c r="BA126" s="390"/>
      <c r="BB126" s="391"/>
      <c r="BC126" s="392"/>
      <c r="BD126" s="393"/>
      <c r="BE126" s="393"/>
      <c r="BF126" s="393"/>
      <c r="BG126" s="394"/>
      <c r="BH126" s="395"/>
      <c r="BI126" s="374"/>
      <c r="BJ126" s="374"/>
      <c r="BK126" s="374"/>
      <c r="BL126" s="389"/>
      <c r="BM126" s="397"/>
      <c r="BN126" s="389"/>
      <c r="BO126" s="419" t="str">
        <f t="shared" si="60"/>
        <v/>
      </c>
      <c r="BP126" s="389"/>
      <c r="BQ126" s="397"/>
      <c r="BR126" s="419"/>
      <c r="BS126" s="419"/>
      <c r="BT126" s="419"/>
      <c r="BU126" s="432"/>
      <c r="BV126" s="419"/>
      <c r="BW126" s="419"/>
      <c r="BX126" s="419"/>
      <c r="BY126" s="389"/>
      <c r="BZ126" s="389"/>
      <c r="CA126" s="389"/>
      <c r="CB126" s="389"/>
      <c r="CC126" s="389"/>
      <c r="CD126" s="389"/>
      <c r="CE126" s="389"/>
      <c r="CF126" s="389"/>
      <c r="CG126" s="389"/>
      <c r="CH126" s="389"/>
      <c r="CI126" s="389"/>
      <c r="CJ126" s="422"/>
      <c r="CK126" s="422"/>
      <c r="CL126" s="422"/>
      <c r="CM126" s="422"/>
      <c r="CN126" s="422"/>
      <c r="CO126" s="422"/>
      <c r="CP126" s="422"/>
      <c r="CQ126" s="432"/>
      <c r="CR126" s="431" t="str">
        <f t="shared" si="72"/>
        <v/>
      </c>
      <c r="CS126" s="35" t="str">
        <f t="shared" si="73"/>
        <v>Direct or WHSE.</v>
      </c>
      <c r="CT126" s="411"/>
      <c r="CW126" s="153" t="str">
        <f t="shared" si="39"/>
        <v/>
      </c>
      <c r="CX126" s="153" t="str">
        <f t="shared" si="40"/>
        <v/>
      </c>
      <c r="CY126" s="153" t="str">
        <f t="shared" si="74"/>
        <v/>
      </c>
    </row>
    <row r="127" spans="1:106" ht="19.5" customHeight="1">
      <c r="A127" s="10">
        <v>105</v>
      </c>
      <c r="B127" s="373"/>
      <c r="C127" s="373"/>
      <c r="D127" s="396"/>
      <c r="E127" s="375"/>
      <c r="F127" s="373"/>
      <c r="G127" s="373"/>
      <c r="H127" s="376"/>
      <c r="I127" s="377"/>
      <c r="J127" s="378"/>
      <c r="K127" s="379"/>
      <c r="L127" s="374"/>
      <c r="M127" s="380" t="str">
        <f t="shared" ca="1" si="42"/>
        <v/>
      </c>
      <c r="N127" s="373"/>
      <c r="O127" s="381"/>
      <c r="P127" s="381"/>
      <c r="Q127" s="382"/>
      <c r="R127" s="381"/>
      <c r="S127" s="383"/>
      <c r="T127" s="384" t="str">
        <f t="shared" si="43"/>
        <v/>
      </c>
      <c r="U127" s="385"/>
      <c r="V127" s="384" t="str">
        <f t="shared" si="44"/>
        <v/>
      </c>
      <c r="W127" s="386"/>
      <c r="X127" s="386" t="str">
        <f t="shared" si="45"/>
        <v/>
      </c>
      <c r="Y127" s="386" t="str">
        <f t="shared" si="61"/>
        <v/>
      </c>
      <c r="Z127" s="386" t="str">
        <f t="shared" si="62"/>
        <v/>
      </c>
      <c r="AA127" s="387"/>
      <c r="AB127" s="386" t="str">
        <f t="shared" si="63"/>
        <v/>
      </c>
      <c r="AC127" s="386" t="str">
        <f t="shared" si="64"/>
        <v/>
      </c>
      <c r="AD127" s="386" t="str">
        <f t="shared" si="65"/>
        <v/>
      </c>
      <c r="AE127" s="386" t="str">
        <f t="shared" si="66"/>
        <v/>
      </c>
      <c r="AF127" s="386" t="str">
        <f t="shared" si="67"/>
        <v/>
      </c>
      <c r="AG127" s="386" t="str">
        <f t="shared" si="68"/>
        <v/>
      </c>
      <c r="AH127" s="386" t="str">
        <f t="shared" si="69"/>
        <v/>
      </c>
      <c r="AI127" s="386" t="str">
        <f t="shared" si="55"/>
        <v/>
      </c>
      <c r="AJ127" s="386" t="str">
        <f t="shared" si="56"/>
        <v/>
      </c>
      <c r="AK127" s="386" t="str">
        <f t="shared" si="57"/>
        <v/>
      </c>
      <c r="AL127" s="388"/>
      <c r="AM127" s="388"/>
      <c r="AN127" s="388"/>
      <c r="AO127" s="388"/>
      <c r="AP127" s="402" t="str">
        <f t="shared" si="70"/>
        <v/>
      </c>
      <c r="AQ127" s="388"/>
      <c r="AR127" s="388"/>
      <c r="AS127" s="388"/>
      <c r="AT127" s="388"/>
      <c r="AU127" s="402" t="str">
        <f t="shared" si="71"/>
        <v/>
      </c>
      <c r="AV127" s="389"/>
      <c r="AW127" s="381"/>
      <c r="AX127" s="381"/>
      <c r="AY127" s="373"/>
      <c r="AZ127" s="390"/>
      <c r="BA127" s="390"/>
      <c r="BB127" s="391"/>
      <c r="BC127" s="392"/>
      <c r="BD127" s="393"/>
      <c r="BE127" s="393"/>
      <c r="BF127" s="393"/>
      <c r="BG127" s="394"/>
      <c r="BH127" s="395"/>
      <c r="BI127" s="374"/>
      <c r="BJ127" s="374"/>
      <c r="BK127" s="374"/>
      <c r="BL127" s="389"/>
      <c r="BM127" s="397"/>
      <c r="BN127" s="389"/>
      <c r="BO127" s="419" t="str">
        <f t="shared" si="60"/>
        <v/>
      </c>
      <c r="BP127" s="389"/>
      <c r="BQ127" s="397"/>
      <c r="BR127" s="419"/>
      <c r="BS127" s="419"/>
      <c r="BT127" s="419"/>
      <c r="BU127" s="432"/>
      <c r="BV127" s="419"/>
      <c r="BW127" s="419"/>
      <c r="BX127" s="419"/>
      <c r="BY127" s="389"/>
      <c r="BZ127" s="389"/>
      <c r="CA127" s="389"/>
      <c r="CB127" s="389"/>
      <c r="CC127" s="389"/>
      <c r="CD127" s="389"/>
      <c r="CE127" s="389"/>
      <c r="CF127" s="389"/>
      <c r="CG127" s="389"/>
      <c r="CH127" s="389"/>
      <c r="CI127" s="389"/>
      <c r="CJ127" s="422"/>
      <c r="CK127" s="422"/>
      <c r="CL127" s="422"/>
      <c r="CM127" s="422"/>
      <c r="CN127" s="422"/>
      <c r="CO127" s="422"/>
      <c r="CP127" s="422"/>
      <c r="CQ127" s="432"/>
      <c r="CR127" s="431" t="str">
        <f t="shared" si="72"/>
        <v/>
      </c>
      <c r="CS127" s="35" t="str">
        <f t="shared" si="73"/>
        <v>Direct or WHSE.</v>
      </c>
      <c r="CT127" s="411"/>
      <c r="CW127" s="153" t="str">
        <f t="shared" si="39"/>
        <v/>
      </c>
      <c r="CX127" s="153" t="str">
        <f t="shared" si="40"/>
        <v/>
      </c>
      <c r="CY127" s="153" t="str">
        <f t="shared" si="74"/>
        <v/>
      </c>
    </row>
    <row r="128" spans="1:106" ht="19.5" customHeight="1">
      <c r="A128" s="10">
        <v>106</v>
      </c>
      <c r="B128" s="373"/>
      <c r="C128" s="373"/>
      <c r="D128" s="396"/>
      <c r="E128" s="375"/>
      <c r="F128" s="373"/>
      <c r="G128" s="373"/>
      <c r="H128" s="376"/>
      <c r="I128" s="377"/>
      <c r="J128" s="378"/>
      <c r="K128" s="379"/>
      <c r="L128" s="374"/>
      <c r="M128" s="380" t="str">
        <f t="shared" ca="1" si="42"/>
        <v/>
      </c>
      <c r="N128" s="373"/>
      <c r="O128" s="381"/>
      <c r="P128" s="381"/>
      <c r="Q128" s="382"/>
      <c r="R128" s="381"/>
      <c r="S128" s="383"/>
      <c r="T128" s="384" t="str">
        <f t="shared" si="43"/>
        <v/>
      </c>
      <c r="U128" s="385"/>
      <c r="V128" s="384" t="str">
        <f t="shared" si="44"/>
        <v/>
      </c>
      <c r="W128" s="386"/>
      <c r="X128" s="386" t="str">
        <f t="shared" si="45"/>
        <v/>
      </c>
      <c r="Y128" s="386" t="str">
        <f t="shared" si="61"/>
        <v/>
      </c>
      <c r="Z128" s="386" t="str">
        <f t="shared" si="62"/>
        <v/>
      </c>
      <c r="AA128" s="387"/>
      <c r="AB128" s="386" t="str">
        <f t="shared" si="63"/>
        <v/>
      </c>
      <c r="AC128" s="386" t="str">
        <f t="shared" si="64"/>
        <v/>
      </c>
      <c r="AD128" s="386" t="str">
        <f t="shared" si="65"/>
        <v/>
      </c>
      <c r="AE128" s="386" t="str">
        <f t="shared" si="66"/>
        <v/>
      </c>
      <c r="AF128" s="386" t="str">
        <f t="shared" si="67"/>
        <v/>
      </c>
      <c r="AG128" s="386" t="str">
        <f t="shared" si="68"/>
        <v/>
      </c>
      <c r="AH128" s="386" t="str">
        <f t="shared" si="69"/>
        <v/>
      </c>
      <c r="AI128" s="386" t="str">
        <f t="shared" si="55"/>
        <v/>
      </c>
      <c r="AJ128" s="386" t="str">
        <f t="shared" si="56"/>
        <v/>
      </c>
      <c r="AK128" s="386" t="str">
        <f t="shared" si="57"/>
        <v/>
      </c>
      <c r="AL128" s="388"/>
      <c r="AM128" s="388"/>
      <c r="AN128" s="388"/>
      <c r="AO128" s="388"/>
      <c r="AP128" s="402" t="str">
        <f t="shared" si="70"/>
        <v/>
      </c>
      <c r="AQ128" s="388"/>
      <c r="AR128" s="388"/>
      <c r="AS128" s="388"/>
      <c r="AT128" s="388"/>
      <c r="AU128" s="402" t="str">
        <f t="shared" si="71"/>
        <v/>
      </c>
      <c r="AV128" s="389"/>
      <c r="AW128" s="381"/>
      <c r="AX128" s="381"/>
      <c r="AY128" s="373"/>
      <c r="AZ128" s="390"/>
      <c r="BA128" s="390"/>
      <c r="BB128" s="391"/>
      <c r="BC128" s="392"/>
      <c r="BD128" s="393"/>
      <c r="BE128" s="393"/>
      <c r="BF128" s="393"/>
      <c r="BG128" s="394"/>
      <c r="BH128" s="395"/>
      <c r="BI128" s="374"/>
      <c r="BJ128" s="374"/>
      <c r="BK128" s="374"/>
      <c r="BL128" s="389"/>
      <c r="BM128" s="397"/>
      <c r="BN128" s="389"/>
      <c r="BO128" s="419" t="str">
        <f t="shared" si="60"/>
        <v/>
      </c>
      <c r="BP128" s="389"/>
      <c r="BQ128" s="397"/>
      <c r="BR128" s="419"/>
      <c r="BS128" s="419"/>
      <c r="BT128" s="419"/>
      <c r="BU128" s="432"/>
      <c r="BV128" s="419"/>
      <c r="BW128" s="419"/>
      <c r="BX128" s="419"/>
      <c r="BY128" s="389"/>
      <c r="BZ128" s="389"/>
      <c r="CA128" s="389"/>
      <c r="CB128" s="389"/>
      <c r="CC128" s="389"/>
      <c r="CD128" s="389"/>
      <c r="CE128" s="389"/>
      <c r="CF128" s="389"/>
      <c r="CG128" s="389"/>
      <c r="CH128" s="389"/>
      <c r="CI128" s="389"/>
      <c r="CJ128" s="422"/>
      <c r="CK128" s="422"/>
      <c r="CL128" s="422"/>
      <c r="CM128" s="422"/>
      <c r="CN128" s="422"/>
      <c r="CO128" s="422"/>
      <c r="CP128" s="422"/>
      <c r="CQ128" s="432"/>
      <c r="CR128" s="431" t="str">
        <f t="shared" si="72"/>
        <v/>
      </c>
      <c r="CS128" s="35" t="str">
        <f t="shared" si="73"/>
        <v>Direct or WHSE.</v>
      </c>
      <c r="CT128" s="411"/>
      <c r="CW128" s="153" t="str">
        <f t="shared" si="39"/>
        <v/>
      </c>
      <c r="CX128" s="153" t="str">
        <f t="shared" si="40"/>
        <v/>
      </c>
      <c r="CY128" s="153" t="str">
        <f t="shared" si="74"/>
        <v/>
      </c>
    </row>
    <row r="129" spans="1:103" ht="19.5" customHeight="1">
      <c r="A129" s="10">
        <v>107</v>
      </c>
      <c r="B129" s="373"/>
      <c r="C129" s="373"/>
      <c r="D129" s="396"/>
      <c r="E129" s="375"/>
      <c r="F129" s="373"/>
      <c r="G129" s="373"/>
      <c r="H129" s="376"/>
      <c r="I129" s="377"/>
      <c r="J129" s="378"/>
      <c r="K129" s="379"/>
      <c r="L129" s="374"/>
      <c r="M129" s="380" t="str">
        <f t="shared" ca="1" si="42"/>
        <v/>
      </c>
      <c r="N129" s="373"/>
      <c r="O129" s="381"/>
      <c r="P129" s="381"/>
      <c r="Q129" s="382"/>
      <c r="R129" s="381"/>
      <c r="S129" s="383"/>
      <c r="T129" s="384" t="str">
        <f t="shared" si="43"/>
        <v/>
      </c>
      <c r="U129" s="385"/>
      <c r="V129" s="384" t="str">
        <f t="shared" si="44"/>
        <v/>
      </c>
      <c r="W129" s="386"/>
      <c r="X129" s="386" t="str">
        <f t="shared" si="45"/>
        <v/>
      </c>
      <c r="Y129" s="386" t="str">
        <f t="shared" si="61"/>
        <v/>
      </c>
      <c r="Z129" s="386" t="str">
        <f t="shared" si="62"/>
        <v/>
      </c>
      <c r="AA129" s="387"/>
      <c r="AB129" s="386" t="str">
        <f t="shared" si="63"/>
        <v/>
      </c>
      <c r="AC129" s="386" t="str">
        <f t="shared" si="64"/>
        <v/>
      </c>
      <c r="AD129" s="386" t="str">
        <f t="shared" si="65"/>
        <v/>
      </c>
      <c r="AE129" s="386" t="str">
        <f t="shared" si="66"/>
        <v/>
      </c>
      <c r="AF129" s="386" t="str">
        <f t="shared" si="67"/>
        <v/>
      </c>
      <c r="AG129" s="386" t="str">
        <f t="shared" si="68"/>
        <v/>
      </c>
      <c r="AH129" s="386" t="str">
        <f t="shared" si="69"/>
        <v/>
      </c>
      <c r="AI129" s="386" t="str">
        <f t="shared" si="55"/>
        <v/>
      </c>
      <c r="AJ129" s="386" t="str">
        <f t="shared" si="56"/>
        <v/>
      </c>
      <c r="AK129" s="386" t="str">
        <f t="shared" si="57"/>
        <v/>
      </c>
      <c r="AL129" s="388"/>
      <c r="AM129" s="388"/>
      <c r="AN129" s="388"/>
      <c r="AO129" s="388"/>
      <c r="AP129" s="402" t="str">
        <f t="shared" si="70"/>
        <v/>
      </c>
      <c r="AQ129" s="388"/>
      <c r="AR129" s="388"/>
      <c r="AS129" s="388"/>
      <c r="AT129" s="388"/>
      <c r="AU129" s="402" t="str">
        <f t="shared" si="71"/>
        <v/>
      </c>
      <c r="AV129" s="389"/>
      <c r="AW129" s="381"/>
      <c r="AX129" s="381"/>
      <c r="AY129" s="373"/>
      <c r="AZ129" s="390"/>
      <c r="BA129" s="390"/>
      <c r="BB129" s="391"/>
      <c r="BC129" s="392"/>
      <c r="BD129" s="393"/>
      <c r="BE129" s="393"/>
      <c r="BF129" s="393"/>
      <c r="BG129" s="394"/>
      <c r="BH129" s="395"/>
      <c r="BI129" s="374"/>
      <c r="BJ129" s="374"/>
      <c r="BK129" s="374"/>
      <c r="BL129" s="389"/>
      <c r="BM129" s="397"/>
      <c r="BN129" s="389"/>
      <c r="BO129" s="419" t="str">
        <f t="shared" si="60"/>
        <v/>
      </c>
      <c r="BP129" s="389"/>
      <c r="BQ129" s="397"/>
      <c r="BR129" s="419"/>
      <c r="BS129" s="419"/>
      <c r="BT129" s="419"/>
      <c r="BU129" s="432"/>
      <c r="BV129" s="419"/>
      <c r="BW129" s="419"/>
      <c r="BX129" s="419"/>
      <c r="BY129" s="389"/>
      <c r="BZ129" s="389"/>
      <c r="CA129" s="389"/>
      <c r="CB129" s="389"/>
      <c r="CC129" s="389"/>
      <c r="CD129" s="389"/>
      <c r="CE129" s="389"/>
      <c r="CF129" s="389"/>
      <c r="CG129" s="389"/>
      <c r="CH129" s="389"/>
      <c r="CI129" s="389"/>
      <c r="CJ129" s="422"/>
      <c r="CK129" s="422"/>
      <c r="CL129" s="422"/>
      <c r="CM129" s="422"/>
      <c r="CN129" s="422"/>
      <c r="CO129" s="422"/>
      <c r="CP129" s="422"/>
      <c r="CQ129" s="432"/>
      <c r="CR129" s="431" t="str">
        <f t="shared" si="72"/>
        <v/>
      </c>
      <c r="CS129" s="35" t="str">
        <f t="shared" si="73"/>
        <v>Direct or WHSE.</v>
      </c>
      <c r="CT129" s="411"/>
      <c r="CW129" s="153" t="str">
        <f t="shared" si="39"/>
        <v/>
      </c>
      <c r="CX129" s="153" t="str">
        <f t="shared" si="40"/>
        <v/>
      </c>
      <c r="CY129" s="153" t="str">
        <f t="shared" si="74"/>
        <v/>
      </c>
    </row>
    <row r="130" spans="1:103" ht="19.5" customHeight="1">
      <c r="A130" s="10">
        <v>108</v>
      </c>
      <c r="B130" s="373"/>
      <c r="C130" s="373"/>
      <c r="D130" s="396"/>
      <c r="E130" s="375"/>
      <c r="F130" s="373"/>
      <c r="G130" s="373"/>
      <c r="H130" s="376"/>
      <c r="I130" s="377"/>
      <c r="J130" s="378"/>
      <c r="K130" s="379"/>
      <c r="L130" s="374"/>
      <c r="M130" s="380" t="str">
        <f t="shared" ca="1" si="42"/>
        <v/>
      </c>
      <c r="N130" s="373"/>
      <c r="O130" s="381"/>
      <c r="P130" s="381"/>
      <c r="Q130" s="382"/>
      <c r="R130" s="381"/>
      <c r="S130" s="383"/>
      <c r="T130" s="384" t="str">
        <f t="shared" si="43"/>
        <v/>
      </c>
      <c r="U130" s="385"/>
      <c r="V130" s="384" t="str">
        <f t="shared" si="44"/>
        <v/>
      </c>
      <c r="W130" s="386"/>
      <c r="X130" s="386" t="str">
        <f t="shared" si="45"/>
        <v/>
      </c>
      <c r="Y130" s="386" t="str">
        <f t="shared" si="61"/>
        <v/>
      </c>
      <c r="Z130" s="386" t="str">
        <f t="shared" si="62"/>
        <v/>
      </c>
      <c r="AA130" s="387"/>
      <c r="AB130" s="386" t="str">
        <f t="shared" si="63"/>
        <v/>
      </c>
      <c r="AC130" s="386" t="str">
        <f t="shared" si="64"/>
        <v/>
      </c>
      <c r="AD130" s="386" t="str">
        <f t="shared" si="65"/>
        <v/>
      </c>
      <c r="AE130" s="386" t="str">
        <f t="shared" si="66"/>
        <v/>
      </c>
      <c r="AF130" s="386" t="str">
        <f t="shared" si="67"/>
        <v/>
      </c>
      <c r="AG130" s="386" t="str">
        <f t="shared" si="68"/>
        <v/>
      </c>
      <c r="AH130" s="386" t="str">
        <f t="shared" si="69"/>
        <v/>
      </c>
      <c r="AI130" s="386" t="str">
        <f t="shared" si="55"/>
        <v/>
      </c>
      <c r="AJ130" s="386" t="str">
        <f t="shared" si="56"/>
        <v/>
      </c>
      <c r="AK130" s="386" t="str">
        <f t="shared" si="57"/>
        <v/>
      </c>
      <c r="AL130" s="388"/>
      <c r="AM130" s="388"/>
      <c r="AN130" s="388"/>
      <c r="AO130" s="388"/>
      <c r="AP130" s="402" t="str">
        <f t="shared" si="70"/>
        <v/>
      </c>
      <c r="AQ130" s="388"/>
      <c r="AR130" s="388"/>
      <c r="AS130" s="388"/>
      <c r="AT130" s="388"/>
      <c r="AU130" s="402" t="str">
        <f t="shared" si="71"/>
        <v/>
      </c>
      <c r="AV130" s="389"/>
      <c r="AW130" s="381"/>
      <c r="AX130" s="381"/>
      <c r="AY130" s="373"/>
      <c r="AZ130" s="390"/>
      <c r="BA130" s="390"/>
      <c r="BB130" s="391"/>
      <c r="BC130" s="392"/>
      <c r="BD130" s="393"/>
      <c r="BE130" s="393"/>
      <c r="BF130" s="393"/>
      <c r="BG130" s="394"/>
      <c r="BH130" s="395"/>
      <c r="BI130" s="374"/>
      <c r="BJ130" s="374"/>
      <c r="BK130" s="374"/>
      <c r="BL130" s="389"/>
      <c r="BM130" s="397"/>
      <c r="BN130" s="389"/>
      <c r="BO130" s="419" t="str">
        <f t="shared" si="60"/>
        <v/>
      </c>
      <c r="BP130" s="389"/>
      <c r="BQ130" s="397"/>
      <c r="BR130" s="419"/>
      <c r="BS130" s="419"/>
      <c r="BT130" s="419"/>
      <c r="BU130" s="432"/>
      <c r="BV130" s="419"/>
      <c r="BW130" s="419"/>
      <c r="BX130" s="419"/>
      <c r="BY130" s="389"/>
      <c r="BZ130" s="389"/>
      <c r="CA130" s="389"/>
      <c r="CB130" s="389"/>
      <c r="CC130" s="389"/>
      <c r="CD130" s="389"/>
      <c r="CE130" s="389"/>
      <c r="CF130" s="389"/>
      <c r="CG130" s="389"/>
      <c r="CH130" s="389"/>
      <c r="CI130" s="389"/>
      <c r="CJ130" s="422"/>
      <c r="CK130" s="422"/>
      <c r="CL130" s="422"/>
      <c r="CM130" s="422"/>
      <c r="CN130" s="422"/>
      <c r="CO130" s="422"/>
      <c r="CP130" s="422"/>
      <c r="CQ130" s="432"/>
      <c r="CR130" s="431" t="str">
        <f t="shared" si="72"/>
        <v/>
      </c>
      <c r="CS130" s="35" t="str">
        <f t="shared" si="73"/>
        <v>Direct or WHSE.</v>
      </c>
      <c r="CT130" s="411"/>
      <c r="CW130" s="153" t="str">
        <f t="shared" si="39"/>
        <v/>
      </c>
      <c r="CX130" s="153" t="str">
        <f t="shared" si="40"/>
        <v/>
      </c>
      <c r="CY130" s="153" t="str">
        <f t="shared" si="74"/>
        <v/>
      </c>
    </row>
    <row r="131" spans="1:103" ht="19.5" customHeight="1">
      <c r="A131" s="10">
        <v>109</v>
      </c>
      <c r="B131" s="373"/>
      <c r="C131" s="373"/>
      <c r="D131" s="396"/>
      <c r="E131" s="375"/>
      <c r="F131" s="373"/>
      <c r="G131" s="373"/>
      <c r="H131" s="376"/>
      <c r="I131" s="377"/>
      <c r="J131" s="378"/>
      <c r="K131" s="379"/>
      <c r="L131" s="374"/>
      <c r="M131" s="380" t="str">
        <f t="shared" ca="1" si="42"/>
        <v/>
      </c>
      <c r="N131" s="373"/>
      <c r="O131" s="381"/>
      <c r="P131" s="381"/>
      <c r="Q131" s="382"/>
      <c r="R131" s="381"/>
      <c r="S131" s="383"/>
      <c r="T131" s="384" t="str">
        <f t="shared" si="43"/>
        <v/>
      </c>
      <c r="U131" s="385"/>
      <c r="V131" s="384" t="str">
        <f t="shared" si="44"/>
        <v/>
      </c>
      <c r="W131" s="386"/>
      <c r="X131" s="386" t="str">
        <f t="shared" si="45"/>
        <v/>
      </c>
      <c r="Y131" s="386" t="str">
        <f t="shared" si="61"/>
        <v/>
      </c>
      <c r="Z131" s="386" t="str">
        <f t="shared" si="62"/>
        <v/>
      </c>
      <c r="AA131" s="387"/>
      <c r="AB131" s="386" t="str">
        <f t="shared" si="63"/>
        <v/>
      </c>
      <c r="AC131" s="386" t="str">
        <f t="shared" si="64"/>
        <v/>
      </c>
      <c r="AD131" s="386" t="str">
        <f t="shared" si="65"/>
        <v/>
      </c>
      <c r="AE131" s="386" t="str">
        <f t="shared" si="66"/>
        <v/>
      </c>
      <c r="AF131" s="386" t="str">
        <f t="shared" si="67"/>
        <v/>
      </c>
      <c r="AG131" s="386" t="str">
        <f t="shared" si="68"/>
        <v/>
      </c>
      <c r="AH131" s="386" t="str">
        <f t="shared" si="69"/>
        <v/>
      </c>
      <c r="AI131" s="386" t="str">
        <f t="shared" si="55"/>
        <v/>
      </c>
      <c r="AJ131" s="386" t="str">
        <f t="shared" si="56"/>
        <v/>
      </c>
      <c r="AK131" s="386" t="str">
        <f t="shared" si="57"/>
        <v/>
      </c>
      <c r="AL131" s="388"/>
      <c r="AM131" s="388"/>
      <c r="AN131" s="388"/>
      <c r="AO131" s="388"/>
      <c r="AP131" s="402" t="str">
        <f t="shared" si="70"/>
        <v/>
      </c>
      <c r="AQ131" s="388"/>
      <c r="AR131" s="388"/>
      <c r="AS131" s="388"/>
      <c r="AT131" s="388"/>
      <c r="AU131" s="402" t="str">
        <f t="shared" si="71"/>
        <v/>
      </c>
      <c r="AV131" s="389"/>
      <c r="AW131" s="381"/>
      <c r="AX131" s="381"/>
      <c r="AY131" s="373"/>
      <c r="AZ131" s="390"/>
      <c r="BA131" s="390"/>
      <c r="BB131" s="391"/>
      <c r="BC131" s="392"/>
      <c r="BD131" s="393"/>
      <c r="BE131" s="393"/>
      <c r="BF131" s="393"/>
      <c r="BG131" s="394"/>
      <c r="BH131" s="395"/>
      <c r="BI131" s="374"/>
      <c r="BJ131" s="374"/>
      <c r="BK131" s="374"/>
      <c r="BL131" s="389"/>
      <c r="BM131" s="397"/>
      <c r="BN131" s="389"/>
      <c r="BO131" s="419" t="str">
        <f t="shared" si="60"/>
        <v/>
      </c>
      <c r="BP131" s="389"/>
      <c r="BQ131" s="397"/>
      <c r="BR131" s="419"/>
      <c r="BS131" s="419"/>
      <c r="BT131" s="419"/>
      <c r="BU131" s="432"/>
      <c r="BV131" s="419"/>
      <c r="BW131" s="419"/>
      <c r="BX131" s="419"/>
      <c r="BY131" s="389"/>
      <c r="BZ131" s="389"/>
      <c r="CA131" s="389"/>
      <c r="CB131" s="389"/>
      <c r="CC131" s="389"/>
      <c r="CD131" s="389"/>
      <c r="CE131" s="389"/>
      <c r="CF131" s="389"/>
      <c r="CG131" s="389"/>
      <c r="CH131" s="389"/>
      <c r="CI131" s="389"/>
      <c r="CJ131" s="422"/>
      <c r="CK131" s="422"/>
      <c r="CL131" s="422"/>
      <c r="CM131" s="422"/>
      <c r="CN131" s="422"/>
      <c r="CO131" s="422"/>
      <c r="CP131" s="422"/>
      <c r="CQ131" s="432"/>
      <c r="CR131" s="431" t="str">
        <f t="shared" si="72"/>
        <v/>
      </c>
      <c r="CS131" s="35" t="str">
        <f t="shared" si="73"/>
        <v>Direct or WHSE.</v>
      </c>
      <c r="CT131" s="411"/>
      <c r="CW131" s="153" t="str">
        <f t="shared" si="39"/>
        <v/>
      </c>
      <c r="CX131" s="153" t="str">
        <f t="shared" si="40"/>
        <v/>
      </c>
      <c r="CY131" s="153" t="str">
        <f t="shared" si="74"/>
        <v/>
      </c>
    </row>
    <row r="132" spans="1:103" ht="19.5" customHeight="1">
      <c r="A132" s="10">
        <v>110</v>
      </c>
      <c r="B132" s="373"/>
      <c r="C132" s="373"/>
      <c r="D132" s="396"/>
      <c r="E132" s="375"/>
      <c r="F132" s="373"/>
      <c r="G132" s="373"/>
      <c r="H132" s="376"/>
      <c r="I132" s="377"/>
      <c r="J132" s="378"/>
      <c r="K132" s="379"/>
      <c r="L132" s="374"/>
      <c r="M132" s="380" t="str">
        <f t="shared" ca="1" si="42"/>
        <v/>
      </c>
      <c r="N132" s="373"/>
      <c r="O132" s="381"/>
      <c r="P132" s="381"/>
      <c r="Q132" s="382"/>
      <c r="R132" s="381"/>
      <c r="S132" s="383"/>
      <c r="T132" s="384" t="str">
        <f t="shared" si="43"/>
        <v/>
      </c>
      <c r="U132" s="385"/>
      <c r="V132" s="384" t="str">
        <f t="shared" si="44"/>
        <v/>
      </c>
      <c r="W132" s="386"/>
      <c r="X132" s="386" t="str">
        <f t="shared" si="45"/>
        <v/>
      </c>
      <c r="Y132" s="386" t="str">
        <f t="shared" si="61"/>
        <v/>
      </c>
      <c r="Z132" s="386" t="str">
        <f t="shared" si="62"/>
        <v/>
      </c>
      <c r="AA132" s="387"/>
      <c r="AB132" s="386" t="str">
        <f t="shared" si="63"/>
        <v/>
      </c>
      <c r="AC132" s="386" t="str">
        <f t="shared" si="64"/>
        <v/>
      </c>
      <c r="AD132" s="386" t="str">
        <f t="shared" si="65"/>
        <v/>
      </c>
      <c r="AE132" s="386" t="str">
        <f t="shared" si="66"/>
        <v/>
      </c>
      <c r="AF132" s="386" t="str">
        <f t="shared" si="67"/>
        <v/>
      </c>
      <c r="AG132" s="386" t="str">
        <f t="shared" si="68"/>
        <v/>
      </c>
      <c r="AH132" s="386" t="str">
        <f t="shared" si="69"/>
        <v/>
      </c>
      <c r="AI132" s="386" t="str">
        <f t="shared" si="55"/>
        <v/>
      </c>
      <c r="AJ132" s="386" t="str">
        <f t="shared" si="56"/>
        <v/>
      </c>
      <c r="AK132" s="386" t="str">
        <f t="shared" si="57"/>
        <v/>
      </c>
      <c r="AL132" s="388"/>
      <c r="AM132" s="388"/>
      <c r="AN132" s="388"/>
      <c r="AO132" s="388"/>
      <c r="AP132" s="402" t="str">
        <f t="shared" si="70"/>
        <v/>
      </c>
      <c r="AQ132" s="388"/>
      <c r="AR132" s="388"/>
      <c r="AS132" s="388"/>
      <c r="AT132" s="388"/>
      <c r="AU132" s="402" t="str">
        <f t="shared" si="71"/>
        <v/>
      </c>
      <c r="AV132" s="389"/>
      <c r="AW132" s="381"/>
      <c r="AX132" s="381"/>
      <c r="AY132" s="373"/>
      <c r="AZ132" s="390"/>
      <c r="BA132" s="390"/>
      <c r="BB132" s="391"/>
      <c r="BC132" s="392"/>
      <c r="BD132" s="393"/>
      <c r="BE132" s="393"/>
      <c r="BF132" s="393"/>
      <c r="BG132" s="394"/>
      <c r="BH132" s="395"/>
      <c r="BI132" s="374"/>
      <c r="BJ132" s="374"/>
      <c r="BK132" s="374"/>
      <c r="BL132" s="389"/>
      <c r="BM132" s="397"/>
      <c r="BN132" s="389"/>
      <c r="BO132" s="419" t="str">
        <f t="shared" si="60"/>
        <v/>
      </c>
      <c r="BP132" s="389"/>
      <c r="BQ132" s="397"/>
      <c r="BR132" s="419"/>
      <c r="BS132" s="419"/>
      <c r="BT132" s="419"/>
      <c r="BU132" s="432"/>
      <c r="BV132" s="419"/>
      <c r="BW132" s="419"/>
      <c r="BX132" s="419"/>
      <c r="BY132" s="389"/>
      <c r="BZ132" s="389"/>
      <c r="CA132" s="389"/>
      <c r="CB132" s="389"/>
      <c r="CC132" s="389"/>
      <c r="CD132" s="389"/>
      <c r="CE132" s="389"/>
      <c r="CF132" s="389"/>
      <c r="CG132" s="389"/>
      <c r="CH132" s="389"/>
      <c r="CI132" s="389"/>
      <c r="CJ132" s="422"/>
      <c r="CK132" s="422"/>
      <c r="CL132" s="422"/>
      <c r="CM132" s="422"/>
      <c r="CN132" s="422"/>
      <c r="CO132" s="422"/>
      <c r="CP132" s="422"/>
      <c r="CQ132" s="432"/>
      <c r="CR132" s="431" t="str">
        <f t="shared" si="72"/>
        <v/>
      </c>
      <c r="CS132" s="35" t="str">
        <f t="shared" si="73"/>
        <v>Direct or WHSE.</v>
      </c>
      <c r="CT132" s="411"/>
      <c r="CW132" s="153" t="str">
        <f t="shared" si="39"/>
        <v/>
      </c>
      <c r="CX132" s="153" t="str">
        <f t="shared" si="40"/>
        <v/>
      </c>
      <c r="CY132" s="153" t="str">
        <f t="shared" si="74"/>
        <v/>
      </c>
    </row>
    <row r="133" spans="1:103" ht="19.5" customHeight="1">
      <c r="A133" s="10">
        <v>111</v>
      </c>
      <c r="B133" s="373"/>
      <c r="C133" s="373"/>
      <c r="D133" s="396"/>
      <c r="E133" s="375"/>
      <c r="F133" s="373"/>
      <c r="G133" s="373"/>
      <c r="H133" s="376"/>
      <c r="I133" s="377"/>
      <c r="J133" s="378"/>
      <c r="K133" s="379"/>
      <c r="L133" s="374"/>
      <c r="M133" s="380" t="str">
        <f t="shared" ca="1" si="42"/>
        <v/>
      </c>
      <c r="N133" s="373"/>
      <c r="O133" s="381"/>
      <c r="P133" s="381"/>
      <c r="Q133" s="382"/>
      <c r="R133" s="381"/>
      <c r="S133" s="383"/>
      <c r="T133" s="384" t="str">
        <f t="shared" si="43"/>
        <v/>
      </c>
      <c r="U133" s="385"/>
      <c r="V133" s="384" t="str">
        <f t="shared" si="44"/>
        <v/>
      </c>
      <c r="W133" s="386"/>
      <c r="X133" s="386" t="str">
        <f t="shared" si="45"/>
        <v/>
      </c>
      <c r="Y133" s="386" t="str">
        <f t="shared" si="61"/>
        <v/>
      </c>
      <c r="Z133" s="386" t="str">
        <f t="shared" si="62"/>
        <v/>
      </c>
      <c r="AA133" s="387"/>
      <c r="AB133" s="386" t="str">
        <f t="shared" si="63"/>
        <v/>
      </c>
      <c r="AC133" s="386" t="str">
        <f t="shared" si="64"/>
        <v/>
      </c>
      <c r="AD133" s="386" t="str">
        <f t="shared" si="65"/>
        <v/>
      </c>
      <c r="AE133" s="386" t="str">
        <f t="shared" si="66"/>
        <v/>
      </c>
      <c r="AF133" s="386" t="str">
        <f t="shared" si="67"/>
        <v/>
      </c>
      <c r="AG133" s="386" t="str">
        <f t="shared" si="68"/>
        <v/>
      </c>
      <c r="AH133" s="386" t="str">
        <f t="shared" si="69"/>
        <v/>
      </c>
      <c r="AI133" s="386" t="str">
        <f t="shared" si="55"/>
        <v/>
      </c>
      <c r="AJ133" s="386" t="str">
        <f t="shared" si="56"/>
        <v/>
      </c>
      <c r="AK133" s="386" t="str">
        <f t="shared" si="57"/>
        <v/>
      </c>
      <c r="AL133" s="388"/>
      <c r="AM133" s="388"/>
      <c r="AN133" s="388"/>
      <c r="AO133" s="388"/>
      <c r="AP133" s="402" t="str">
        <f t="shared" si="70"/>
        <v/>
      </c>
      <c r="AQ133" s="388"/>
      <c r="AR133" s="388"/>
      <c r="AS133" s="388"/>
      <c r="AT133" s="388"/>
      <c r="AU133" s="402" t="str">
        <f t="shared" si="71"/>
        <v/>
      </c>
      <c r="AV133" s="389"/>
      <c r="AW133" s="381"/>
      <c r="AX133" s="381"/>
      <c r="AY133" s="373"/>
      <c r="AZ133" s="390"/>
      <c r="BA133" s="390"/>
      <c r="BB133" s="391"/>
      <c r="BC133" s="392"/>
      <c r="BD133" s="393"/>
      <c r="BE133" s="393"/>
      <c r="BF133" s="393"/>
      <c r="BG133" s="394"/>
      <c r="BH133" s="395"/>
      <c r="BI133" s="374"/>
      <c r="BJ133" s="374"/>
      <c r="BK133" s="374"/>
      <c r="BL133" s="389"/>
      <c r="BM133" s="397"/>
      <c r="BN133" s="389"/>
      <c r="BO133" s="419" t="str">
        <f t="shared" si="60"/>
        <v/>
      </c>
      <c r="BP133" s="389"/>
      <c r="BQ133" s="397"/>
      <c r="BR133" s="419"/>
      <c r="BS133" s="419"/>
      <c r="BT133" s="419"/>
      <c r="BU133" s="432"/>
      <c r="BV133" s="419"/>
      <c r="BW133" s="419"/>
      <c r="BX133" s="419"/>
      <c r="BY133" s="389"/>
      <c r="BZ133" s="389"/>
      <c r="CA133" s="389"/>
      <c r="CB133" s="389"/>
      <c r="CC133" s="389"/>
      <c r="CD133" s="389"/>
      <c r="CE133" s="389"/>
      <c r="CF133" s="389"/>
      <c r="CG133" s="389"/>
      <c r="CH133" s="389"/>
      <c r="CI133" s="389"/>
      <c r="CJ133" s="422"/>
      <c r="CK133" s="422"/>
      <c r="CL133" s="422"/>
      <c r="CM133" s="422"/>
      <c r="CN133" s="422"/>
      <c r="CO133" s="422"/>
      <c r="CP133" s="422"/>
      <c r="CQ133" s="432"/>
      <c r="CR133" s="431" t="str">
        <f t="shared" si="72"/>
        <v/>
      </c>
      <c r="CS133" s="35" t="str">
        <f t="shared" si="73"/>
        <v>Direct or WHSE.</v>
      </c>
      <c r="CT133" s="411"/>
      <c r="CW133" s="153" t="str">
        <f t="shared" si="39"/>
        <v/>
      </c>
      <c r="CX133" s="153" t="str">
        <f t="shared" si="40"/>
        <v/>
      </c>
      <c r="CY133" s="153" t="str">
        <f t="shared" si="74"/>
        <v/>
      </c>
    </row>
    <row r="134" spans="1:103" ht="19.5" customHeight="1">
      <c r="A134" s="10">
        <v>112</v>
      </c>
      <c r="B134" s="373"/>
      <c r="C134" s="373"/>
      <c r="D134" s="396"/>
      <c r="E134" s="375"/>
      <c r="F134" s="373"/>
      <c r="G134" s="373"/>
      <c r="H134" s="376"/>
      <c r="I134" s="377"/>
      <c r="J134" s="378"/>
      <c r="K134" s="379"/>
      <c r="L134" s="374"/>
      <c r="M134" s="380" t="str">
        <f t="shared" ca="1" si="42"/>
        <v/>
      </c>
      <c r="N134" s="373"/>
      <c r="O134" s="381"/>
      <c r="P134" s="381"/>
      <c r="Q134" s="382"/>
      <c r="R134" s="381"/>
      <c r="S134" s="383"/>
      <c r="T134" s="384" t="str">
        <f t="shared" si="43"/>
        <v/>
      </c>
      <c r="U134" s="385"/>
      <c r="V134" s="384" t="str">
        <f t="shared" si="44"/>
        <v/>
      </c>
      <c r="W134" s="386"/>
      <c r="X134" s="386" t="str">
        <f t="shared" si="45"/>
        <v/>
      </c>
      <c r="Y134" s="386" t="str">
        <f t="shared" si="61"/>
        <v/>
      </c>
      <c r="Z134" s="386" t="str">
        <f t="shared" si="62"/>
        <v/>
      </c>
      <c r="AA134" s="387"/>
      <c r="AB134" s="386" t="str">
        <f t="shared" si="63"/>
        <v/>
      </c>
      <c r="AC134" s="386" t="str">
        <f t="shared" si="64"/>
        <v/>
      </c>
      <c r="AD134" s="386" t="str">
        <f t="shared" si="65"/>
        <v/>
      </c>
      <c r="AE134" s="386" t="str">
        <f t="shared" si="66"/>
        <v/>
      </c>
      <c r="AF134" s="386" t="str">
        <f t="shared" si="67"/>
        <v/>
      </c>
      <c r="AG134" s="386" t="str">
        <f t="shared" si="68"/>
        <v/>
      </c>
      <c r="AH134" s="386" t="str">
        <f t="shared" si="69"/>
        <v/>
      </c>
      <c r="AI134" s="386" t="str">
        <f t="shared" si="55"/>
        <v/>
      </c>
      <c r="AJ134" s="386" t="str">
        <f t="shared" si="56"/>
        <v/>
      </c>
      <c r="AK134" s="386" t="str">
        <f t="shared" si="57"/>
        <v/>
      </c>
      <c r="AL134" s="388"/>
      <c r="AM134" s="388"/>
      <c r="AN134" s="388"/>
      <c r="AO134" s="388"/>
      <c r="AP134" s="402" t="str">
        <f t="shared" si="70"/>
        <v/>
      </c>
      <c r="AQ134" s="388"/>
      <c r="AR134" s="388"/>
      <c r="AS134" s="388"/>
      <c r="AT134" s="388"/>
      <c r="AU134" s="402" t="str">
        <f t="shared" si="71"/>
        <v/>
      </c>
      <c r="AV134" s="389"/>
      <c r="AW134" s="381"/>
      <c r="AX134" s="381"/>
      <c r="AY134" s="373"/>
      <c r="AZ134" s="390"/>
      <c r="BA134" s="390"/>
      <c r="BB134" s="391"/>
      <c r="BC134" s="392"/>
      <c r="BD134" s="393"/>
      <c r="BE134" s="393"/>
      <c r="BF134" s="393"/>
      <c r="BG134" s="394"/>
      <c r="BH134" s="395"/>
      <c r="BI134" s="374"/>
      <c r="BJ134" s="374"/>
      <c r="BK134" s="374"/>
      <c r="BL134" s="389"/>
      <c r="BM134" s="397"/>
      <c r="BN134" s="389"/>
      <c r="BO134" s="419" t="str">
        <f t="shared" si="60"/>
        <v/>
      </c>
      <c r="BP134" s="389"/>
      <c r="BQ134" s="397"/>
      <c r="BR134" s="419"/>
      <c r="BS134" s="419"/>
      <c r="BT134" s="419"/>
      <c r="BU134" s="432"/>
      <c r="BV134" s="419"/>
      <c r="BW134" s="419"/>
      <c r="BX134" s="419"/>
      <c r="BY134" s="389"/>
      <c r="BZ134" s="389"/>
      <c r="CA134" s="389"/>
      <c r="CB134" s="389"/>
      <c r="CC134" s="389"/>
      <c r="CD134" s="389"/>
      <c r="CE134" s="389"/>
      <c r="CF134" s="389"/>
      <c r="CG134" s="389"/>
      <c r="CH134" s="389"/>
      <c r="CI134" s="389"/>
      <c r="CJ134" s="422"/>
      <c r="CK134" s="422"/>
      <c r="CL134" s="422"/>
      <c r="CM134" s="422"/>
      <c r="CN134" s="422"/>
      <c r="CO134" s="422"/>
      <c r="CP134" s="422"/>
      <c r="CQ134" s="432"/>
      <c r="CR134" s="431" t="str">
        <f t="shared" si="72"/>
        <v/>
      </c>
      <c r="CS134" s="35" t="str">
        <f t="shared" si="73"/>
        <v>Direct or WHSE.</v>
      </c>
      <c r="CT134" s="411"/>
      <c r="CW134" s="153" t="str">
        <f t="shared" si="39"/>
        <v/>
      </c>
      <c r="CX134" s="153" t="str">
        <f t="shared" si="40"/>
        <v/>
      </c>
      <c r="CY134" s="153" t="str">
        <f t="shared" si="74"/>
        <v/>
      </c>
    </row>
    <row r="135" spans="1:103" ht="19.5" customHeight="1">
      <c r="A135" s="10">
        <v>113</v>
      </c>
      <c r="B135" s="373"/>
      <c r="C135" s="373"/>
      <c r="D135" s="396"/>
      <c r="E135" s="375"/>
      <c r="F135" s="373"/>
      <c r="G135" s="373"/>
      <c r="H135" s="376"/>
      <c r="I135" s="377"/>
      <c r="J135" s="378"/>
      <c r="K135" s="379"/>
      <c r="L135" s="374"/>
      <c r="M135" s="380" t="str">
        <f t="shared" ca="1" si="42"/>
        <v/>
      </c>
      <c r="N135" s="373"/>
      <c r="O135" s="381"/>
      <c r="P135" s="381"/>
      <c r="Q135" s="382"/>
      <c r="R135" s="381"/>
      <c r="S135" s="383"/>
      <c r="T135" s="384" t="str">
        <f t="shared" si="43"/>
        <v/>
      </c>
      <c r="U135" s="385"/>
      <c r="V135" s="384" t="str">
        <f t="shared" si="44"/>
        <v/>
      </c>
      <c r="W135" s="386"/>
      <c r="X135" s="386" t="str">
        <f t="shared" si="45"/>
        <v/>
      </c>
      <c r="Y135" s="386" t="str">
        <f t="shared" si="61"/>
        <v/>
      </c>
      <c r="Z135" s="386" t="str">
        <f t="shared" si="62"/>
        <v/>
      </c>
      <c r="AA135" s="387"/>
      <c r="AB135" s="386" t="str">
        <f t="shared" si="63"/>
        <v/>
      </c>
      <c r="AC135" s="386" t="str">
        <f t="shared" si="64"/>
        <v/>
      </c>
      <c r="AD135" s="386" t="str">
        <f t="shared" si="65"/>
        <v/>
      </c>
      <c r="AE135" s="386" t="str">
        <f t="shared" si="66"/>
        <v/>
      </c>
      <c r="AF135" s="386" t="str">
        <f t="shared" si="67"/>
        <v/>
      </c>
      <c r="AG135" s="386" t="str">
        <f t="shared" si="68"/>
        <v/>
      </c>
      <c r="AH135" s="386" t="str">
        <f t="shared" si="69"/>
        <v/>
      </c>
      <c r="AI135" s="386" t="str">
        <f t="shared" si="55"/>
        <v/>
      </c>
      <c r="AJ135" s="386" t="str">
        <f t="shared" si="56"/>
        <v/>
      </c>
      <c r="AK135" s="386" t="str">
        <f t="shared" si="57"/>
        <v/>
      </c>
      <c r="AL135" s="388"/>
      <c r="AM135" s="388"/>
      <c r="AN135" s="388"/>
      <c r="AO135" s="388"/>
      <c r="AP135" s="402" t="str">
        <f t="shared" si="70"/>
        <v/>
      </c>
      <c r="AQ135" s="388"/>
      <c r="AR135" s="388"/>
      <c r="AS135" s="388"/>
      <c r="AT135" s="388"/>
      <c r="AU135" s="402" t="str">
        <f t="shared" si="71"/>
        <v/>
      </c>
      <c r="AV135" s="389"/>
      <c r="AW135" s="381"/>
      <c r="AX135" s="381"/>
      <c r="AY135" s="373"/>
      <c r="AZ135" s="390"/>
      <c r="BA135" s="390"/>
      <c r="BB135" s="391"/>
      <c r="BC135" s="392"/>
      <c r="BD135" s="393"/>
      <c r="BE135" s="393"/>
      <c r="BF135" s="393"/>
      <c r="BG135" s="394"/>
      <c r="BH135" s="395"/>
      <c r="BI135" s="374"/>
      <c r="BJ135" s="374"/>
      <c r="BK135" s="374"/>
      <c r="BL135" s="389"/>
      <c r="BM135" s="397"/>
      <c r="BN135" s="389"/>
      <c r="BO135" s="419" t="str">
        <f t="shared" si="60"/>
        <v/>
      </c>
      <c r="BP135" s="389"/>
      <c r="BQ135" s="397"/>
      <c r="BR135" s="419"/>
      <c r="BS135" s="419"/>
      <c r="BT135" s="419"/>
      <c r="BU135" s="432"/>
      <c r="BV135" s="419"/>
      <c r="BW135" s="419"/>
      <c r="BX135" s="419"/>
      <c r="BY135" s="389"/>
      <c r="BZ135" s="389"/>
      <c r="CA135" s="389"/>
      <c r="CB135" s="389"/>
      <c r="CC135" s="389"/>
      <c r="CD135" s="389"/>
      <c r="CE135" s="389"/>
      <c r="CF135" s="389"/>
      <c r="CG135" s="389"/>
      <c r="CH135" s="389"/>
      <c r="CI135" s="389"/>
      <c r="CJ135" s="422"/>
      <c r="CK135" s="422"/>
      <c r="CL135" s="422"/>
      <c r="CM135" s="422"/>
      <c r="CN135" s="422"/>
      <c r="CO135" s="422"/>
      <c r="CP135" s="422"/>
      <c r="CQ135" s="432"/>
      <c r="CR135" s="431" t="str">
        <f t="shared" si="72"/>
        <v/>
      </c>
      <c r="CS135" s="35" t="str">
        <f t="shared" si="73"/>
        <v>Direct or WHSE.</v>
      </c>
      <c r="CT135" s="411"/>
      <c r="CW135" s="153" t="str">
        <f t="shared" si="39"/>
        <v/>
      </c>
      <c r="CX135" s="153" t="str">
        <f t="shared" si="40"/>
        <v/>
      </c>
      <c r="CY135" s="153" t="str">
        <f t="shared" si="74"/>
        <v/>
      </c>
    </row>
    <row r="136" spans="1:103" ht="19.5" customHeight="1">
      <c r="A136" s="10">
        <v>114</v>
      </c>
      <c r="B136" s="373"/>
      <c r="C136" s="373"/>
      <c r="D136" s="396"/>
      <c r="E136" s="375"/>
      <c r="F136" s="373"/>
      <c r="G136" s="373"/>
      <c r="H136" s="376"/>
      <c r="I136" s="377"/>
      <c r="J136" s="378"/>
      <c r="K136" s="379"/>
      <c r="L136" s="374"/>
      <c r="M136" s="380" t="str">
        <f t="shared" ca="1" si="42"/>
        <v/>
      </c>
      <c r="N136" s="373"/>
      <c r="O136" s="381"/>
      <c r="P136" s="381"/>
      <c r="Q136" s="382"/>
      <c r="R136" s="381"/>
      <c r="S136" s="383"/>
      <c r="T136" s="384" t="str">
        <f t="shared" si="43"/>
        <v/>
      </c>
      <c r="U136" s="385"/>
      <c r="V136" s="384" t="str">
        <f t="shared" si="44"/>
        <v/>
      </c>
      <c r="W136" s="386"/>
      <c r="X136" s="386" t="str">
        <f t="shared" si="45"/>
        <v/>
      </c>
      <c r="Y136" s="386" t="str">
        <f t="shared" si="61"/>
        <v/>
      </c>
      <c r="Z136" s="386" t="str">
        <f t="shared" si="62"/>
        <v/>
      </c>
      <c r="AA136" s="387"/>
      <c r="AB136" s="386" t="str">
        <f t="shared" si="63"/>
        <v/>
      </c>
      <c r="AC136" s="386" t="str">
        <f t="shared" si="64"/>
        <v/>
      </c>
      <c r="AD136" s="386" t="str">
        <f t="shared" si="65"/>
        <v/>
      </c>
      <c r="AE136" s="386" t="str">
        <f t="shared" si="66"/>
        <v/>
      </c>
      <c r="AF136" s="386" t="str">
        <f t="shared" si="67"/>
        <v/>
      </c>
      <c r="AG136" s="386" t="str">
        <f t="shared" si="68"/>
        <v/>
      </c>
      <c r="AH136" s="386" t="str">
        <f t="shared" si="69"/>
        <v/>
      </c>
      <c r="AI136" s="386" t="str">
        <f t="shared" si="55"/>
        <v/>
      </c>
      <c r="AJ136" s="386" t="str">
        <f t="shared" si="56"/>
        <v/>
      </c>
      <c r="AK136" s="386" t="str">
        <f t="shared" si="57"/>
        <v/>
      </c>
      <c r="AL136" s="388"/>
      <c r="AM136" s="388"/>
      <c r="AN136" s="388"/>
      <c r="AO136" s="388"/>
      <c r="AP136" s="402" t="str">
        <f t="shared" si="70"/>
        <v/>
      </c>
      <c r="AQ136" s="388"/>
      <c r="AR136" s="388"/>
      <c r="AS136" s="388"/>
      <c r="AT136" s="388"/>
      <c r="AU136" s="402" t="str">
        <f t="shared" si="71"/>
        <v/>
      </c>
      <c r="AV136" s="389"/>
      <c r="AW136" s="381"/>
      <c r="AX136" s="381"/>
      <c r="AY136" s="373"/>
      <c r="AZ136" s="390"/>
      <c r="BA136" s="390"/>
      <c r="BB136" s="391"/>
      <c r="BC136" s="392"/>
      <c r="BD136" s="393"/>
      <c r="BE136" s="393"/>
      <c r="BF136" s="393"/>
      <c r="BG136" s="394"/>
      <c r="BH136" s="395"/>
      <c r="BI136" s="374"/>
      <c r="BJ136" s="374"/>
      <c r="BK136" s="374"/>
      <c r="BL136" s="389"/>
      <c r="BM136" s="397"/>
      <c r="BN136" s="389"/>
      <c r="BO136" s="419" t="str">
        <f t="shared" si="60"/>
        <v/>
      </c>
      <c r="BP136" s="389"/>
      <c r="BQ136" s="397"/>
      <c r="BR136" s="419"/>
      <c r="BS136" s="419"/>
      <c r="BT136" s="419"/>
      <c r="BU136" s="432"/>
      <c r="BV136" s="419"/>
      <c r="BW136" s="419"/>
      <c r="BX136" s="419"/>
      <c r="BY136" s="389"/>
      <c r="BZ136" s="389"/>
      <c r="CA136" s="389"/>
      <c r="CB136" s="389"/>
      <c r="CC136" s="389"/>
      <c r="CD136" s="389"/>
      <c r="CE136" s="389"/>
      <c r="CF136" s="389"/>
      <c r="CG136" s="389"/>
      <c r="CH136" s="389"/>
      <c r="CI136" s="389"/>
      <c r="CJ136" s="422"/>
      <c r="CK136" s="422"/>
      <c r="CL136" s="422"/>
      <c r="CM136" s="422"/>
      <c r="CN136" s="422"/>
      <c r="CO136" s="422"/>
      <c r="CP136" s="422"/>
      <c r="CQ136" s="432"/>
      <c r="CR136" s="431" t="str">
        <f t="shared" si="72"/>
        <v/>
      </c>
      <c r="CS136" s="35" t="str">
        <f t="shared" si="73"/>
        <v>Direct or WHSE.</v>
      </c>
      <c r="CT136" s="411"/>
      <c r="CW136" s="153" t="str">
        <f t="shared" si="39"/>
        <v/>
      </c>
      <c r="CX136" s="153" t="str">
        <f t="shared" si="40"/>
        <v/>
      </c>
      <c r="CY136" s="153" t="str">
        <f t="shared" si="74"/>
        <v/>
      </c>
    </row>
    <row r="137" spans="1:103" ht="19.5" customHeight="1">
      <c r="A137" s="10">
        <v>115</v>
      </c>
      <c r="B137" s="373"/>
      <c r="C137" s="373"/>
      <c r="D137" s="396"/>
      <c r="E137" s="375"/>
      <c r="F137" s="373"/>
      <c r="G137" s="373"/>
      <c r="H137" s="376"/>
      <c r="I137" s="377"/>
      <c r="J137" s="378"/>
      <c r="K137" s="379"/>
      <c r="L137" s="374"/>
      <c r="M137" s="380" t="str">
        <f t="shared" ca="1" si="42"/>
        <v/>
      </c>
      <c r="N137" s="373"/>
      <c r="O137" s="381"/>
      <c r="P137" s="381"/>
      <c r="Q137" s="382"/>
      <c r="R137" s="381"/>
      <c r="S137" s="383"/>
      <c r="T137" s="384" t="str">
        <f t="shared" si="43"/>
        <v/>
      </c>
      <c r="U137" s="385"/>
      <c r="V137" s="384" t="str">
        <f t="shared" si="44"/>
        <v/>
      </c>
      <c r="W137" s="386"/>
      <c r="X137" s="386" t="str">
        <f t="shared" si="45"/>
        <v/>
      </c>
      <c r="Y137" s="386" t="str">
        <f t="shared" si="61"/>
        <v/>
      </c>
      <c r="Z137" s="386" t="str">
        <f t="shared" si="62"/>
        <v/>
      </c>
      <c r="AA137" s="387"/>
      <c r="AB137" s="386" t="str">
        <f t="shared" si="63"/>
        <v/>
      </c>
      <c r="AC137" s="386" t="str">
        <f t="shared" si="64"/>
        <v/>
      </c>
      <c r="AD137" s="386" t="str">
        <f t="shared" si="65"/>
        <v/>
      </c>
      <c r="AE137" s="386" t="str">
        <f t="shared" si="66"/>
        <v/>
      </c>
      <c r="AF137" s="386" t="str">
        <f t="shared" si="67"/>
        <v/>
      </c>
      <c r="AG137" s="386" t="str">
        <f t="shared" si="68"/>
        <v/>
      </c>
      <c r="AH137" s="386" t="str">
        <f t="shared" si="69"/>
        <v/>
      </c>
      <c r="AI137" s="386" t="str">
        <f t="shared" si="55"/>
        <v/>
      </c>
      <c r="AJ137" s="386" t="str">
        <f t="shared" si="56"/>
        <v/>
      </c>
      <c r="AK137" s="386" t="str">
        <f t="shared" si="57"/>
        <v/>
      </c>
      <c r="AL137" s="388"/>
      <c r="AM137" s="388"/>
      <c r="AN137" s="388"/>
      <c r="AO137" s="388"/>
      <c r="AP137" s="402" t="str">
        <f t="shared" si="70"/>
        <v/>
      </c>
      <c r="AQ137" s="388"/>
      <c r="AR137" s="388"/>
      <c r="AS137" s="388"/>
      <c r="AT137" s="388"/>
      <c r="AU137" s="402" t="str">
        <f t="shared" si="71"/>
        <v/>
      </c>
      <c r="AV137" s="389"/>
      <c r="AW137" s="381"/>
      <c r="AX137" s="381"/>
      <c r="AY137" s="373"/>
      <c r="AZ137" s="390"/>
      <c r="BA137" s="390"/>
      <c r="BB137" s="391"/>
      <c r="BC137" s="392"/>
      <c r="BD137" s="393"/>
      <c r="BE137" s="393"/>
      <c r="BF137" s="393"/>
      <c r="BG137" s="394"/>
      <c r="BH137" s="395"/>
      <c r="BI137" s="374"/>
      <c r="BJ137" s="374"/>
      <c r="BK137" s="374"/>
      <c r="BL137" s="389"/>
      <c r="BM137" s="397"/>
      <c r="BN137" s="389"/>
      <c r="BO137" s="419" t="str">
        <f t="shared" si="60"/>
        <v/>
      </c>
      <c r="BP137" s="389"/>
      <c r="BQ137" s="397"/>
      <c r="BR137" s="419"/>
      <c r="BS137" s="419"/>
      <c r="BT137" s="419"/>
      <c r="BU137" s="432"/>
      <c r="BV137" s="419"/>
      <c r="BW137" s="419"/>
      <c r="BX137" s="419"/>
      <c r="BY137" s="389"/>
      <c r="BZ137" s="389"/>
      <c r="CA137" s="389"/>
      <c r="CB137" s="389"/>
      <c r="CC137" s="389"/>
      <c r="CD137" s="389"/>
      <c r="CE137" s="389"/>
      <c r="CF137" s="389"/>
      <c r="CG137" s="389"/>
      <c r="CH137" s="389"/>
      <c r="CI137" s="389"/>
      <c r="CJ137" s="422"/>
      <c r="CK137" s="422"/>
      <c r="CL137" s="422"/>
      <c r="CM137" s="422"/>
      <c r="CN137" s="422"/>
      <c r="CO137" s="422"/>
      <c r="CP137" s="422"/>
      <c r="CQ137" s="432"/>
      <c r="CR137" s="431" t="str">
        <f t="shared" si="72"/>
        <v/>
      </c>
      <c r="CS137" s="35" t="str">
        <f t="shared" si="73"/>
        <v>Direct or WHSE.</v>
      </c>
      <c r="CT137" s="411"/>
      <c r="CW137" s="153" t="str">
        <f t="shared" si="39"/>
        <v/>
      </c>
      <c r="CX137" s="153" t="str">
        <f t="shared" si="40"/>
        <v/>
      </c>
      <c r="CY137" s="153" t="str">
        <f t="shared" si="74"/>
        <v/>
      </c>
    </row>
    <row r="138" spans="1:103" ht="19.5" customHeight="1">
      <c r="A138" s="10">
        <v>116</v>
      </c>
      <c r="B138" s="373"/>
      <c r="C138" s="373"/>
      <c r="D138" s="396"/>
      <c r="E138" s="375"/>
      <c r="F138" s="373"/>
      <c r="G138" s="373"/>
      <c r="H138" s="376"/>
      <c r="I138" s="377"/>
      <c r="J138" s="378"/>
      <c r="K138" s="379"/>
      <c r="L138" s="374"/>
      <c r="M138" s="380" t="str">
        <f t="shared" ca="1" si="42"/>
        <v/>
      </c>
      <c r="N138" s="373"/>
      <c r="O138" s="381"/>
      <c r="P138" s="381"/>
      <c r="Q138" s="382"/>
      <c r="R138" s="381"/>
      <c r="S138" s="383"/>
      <c r="T138" s="384" t="str">
        <f t="shared" si="43"/>
        <v/>
      </c>
      <c r="U138" s="385"/>
      <c r="V138" s="384" t="str">
        <f t="shared" si="44"/>
        <v/>
      </c>
      <c r="W138" s="386"/>
      <c r="X138" s="386" t="str">
        <f t="shared" si="45"/>
        <v/>
      </c>
      <c r="Y138" s="386" t="str">
        <f t="shared" si="61"/>
        <v/>
      </c>
      <c r="Z138" s="386" t="str">
        <f t="shared" si="62"/>
        <v/>
      </c>
      <c r="AA138" s="387"/>
      <c r="AB138" s="386" t="str">
        <f t="shared" si="63"/>
        <v/>
      </c>
      <c r="AC138" s="386" t="str">
        <f t="shared" si="64"/>
        <v/>
      </c>
      <c r="AD138" s="386" t="str">
        <f t="shared" si="65"/>
        <v/>
      </c>
      <c r="AE138" s="386" t="str">
        <f t="shared" si="66"/>
        <v/>
      </c>
      <c r="AF138" s="386" t="str">
        <f t="shared" si="67"/>
        <v/>
      </c>
      <c r="AG138" s="386" t="str">
        <f t="shared" si="68"/>
        <v/>
      </c>
      <c r="AH138" s="386" t="str">
        <f t="shared" si="69"/>
        <v/>
      </c>
      <c r="AI138" s="386" t="str">
        <f t="shared" si="55"/>
        <v/>
      </c>
      <c r="AJ138" s="386" t="str">
        <f t="shared" si="56"/>
        <v/>
      </c>
      <c r="AK138" s="386" t="str">
        <f t="shared" si="57"/>
        <v/>
      </c>
      <c r="AL138" s="388"/>
      <c r="AM138" s="388"/>
      <c r="AN138" s="388"/>
      <c r="AO138" s="388"/>
      <c r="AP138" s="402" t="str">
        <f t="shared" si="70"/>
        <v/>
      </c>
      <c r="AQ138" s="388"/>
      <c r="AR138" s="388"/>
      <c r="AS138" s="388"/>
      <c r="AT138" s="388"/>
      <c r="AU138" s="402" t="str">
        <f t="shared" si="71"/>
        <v/>
      </c>
      <c r="AV138" s="389"/>
      <c r="AW138" s="381"/>
      <c r="AX138" s="381"/>
      <c r="AY138" s="373"/>
      <c r="AZ138" s="390"/>
      <c r="BA138" s="390"/>
      <c r="BB138" s="391"/>
      <c r="BC138" s="392"/>
      <c r="BD138" s="393"/>
      <c r="BE138" s="393"/>
      <c r="BF138" s="393"/>
      <c r="BG138" s="394"/>
      <c r="BH138" s="395"/>
      <c r="BI138" s="374"/>
      <c r="BJ138" s="374"/>
      <c r="BK138" s="374"/>
      <c r="BL138" s="389"/>
      <c r="BM138" s="397"/>
      <c r="BN138" s="389"/>
      <c r="BO138" s="419" t="str">
        <f t="shared" si="60"/>
        <v/>
      </c>
      <c r="BP138" s="389"/>
      <c r="BQ138" s="397"/>
      <c r="BR138" s="419"/>
      <c r="BS138" s="419"/>
      <c r="BT138" s="419"/>
      <c r="BU138" s="432"/>
      <c r="BV138" s="419"/>
      <c r="BW138" s="419"/>
      <c r="BX138" s="419"/>
      <c r="BY138" s="389"/>
      <c r="BZ138" s="389"/>
      <c r="CA138" s="389"/>
      <c r="CB138" s="389"/>
      <c r="CC138" s="389"/>
      <c r="CD138" s="389"/>
      <c r="CE138" s="389"/>
      <c r="CF138" s="389"/>
      <c r="CG138" s="389"/>
      <c r="CH138" s="389"/>
      <c r="CI138" s="389"/>
      <c r="CJ138" s="422"/>
      <c r="CK138" s="422"/>
      <c r="CL138" s="422"/>
      <c r="CM138" s="422"/>
      <c r="CN138" s="422"/>
      <c r="CO138" s="422"/>
      <c r="CP138" s="422"/>
      <c r="CQ138" s="432"/>
      <c r="CR138" s="431" t="str">
        <f t="shared" si="72"/>
        <v/>
      </c>
      <c r="CS138" s="35" t="str">
        <f t="shared" si="73"/>
        <v>Direct or WHSE.</v>
      </c>
      <c r="CT138" s="411"/>
      <c r="CW138" s="153" t="str">
        <f t="shared" si="39"/>
        <v/>
      </c>
      <c r="CX138" s="153" t="str">
        <f t="shared" si="40"/>
        <v/>
      </c>
      <c r="CY138" s="153" t="str">
        <f t="shared" si="74"/>
        <v/>
      </c>
    </row>
    <row r="139" spans="1:103" ht="19.5" customHeight="1">
      <c r="A139" s="10">
        <v>117</v>
      </c>
      <c r="B139" s="373"/>
      <c r="C139" s="373"/>
      <c r="D139" s="396"/>
      <c r="E139" s="375"/>
      <c r="F139" s="373"/>
      <c r="G139" s="373"/>
      <c r="H139" s="376"/>
      <c r="I139" s="377"/>
      <c r="J139" s="378"/>
      <c r="K139" s="379"/>
      <c r="L139" s="374"/>
      <c r="M139" s="380" t="str">
        <f t="shared" ca="1" si="42"/>
        <v/>
      </c>
      <c r="N139" s="373"/>
      <c r="O139" s="381"/>
      <c r="P139" s="381"/>
      <c r="Q139" s="382"/>
      <c r="R139" s="381"/>
      <c r="S139" s="383"/>
      <c r="T139" s="384" t="str">
        <f t="shared" si="43"/>
        <v/>
      </c>
      <c r="U139" s="385"/>
      <c r="V139" s="384" t="str">
        <f t="shared" si="44"/>
        <v/>
      </c>
      <c r="W139" s="386"/>
      <c r="X139" s="386" t="str">
        <f t="shared" si="45"/>
        <v/>
      </c>
      <c r="Y139" s="386" t="str">
        <f t="shared" si="61"/>
        <v/>
      </c>
      <c r="Z139" s="386" t="str">
        <f t="shared" si="62"/>
        <v/>
      </c>
      <c r="AA139" s="387"/>
      <c r="AB139" s="386" t="str">
        <f t="shared" si="63"/>
        <v/>
      </c>
      <c r="AC139" s="386" t="str">
        <f t="shared" si="64"/>
        <v/>
      </c>
      <c r="AD139" s="386" t="str">
        <f t="shared" si="65"/>
        <v/>
      </c>
      <c r="AE139" s="386" t="str">
        <f t="shared" si="66"/>
        <v/>
      </c>
      <c r="AF139" s="386" t="str">
        <f t="shared" si="67"/>
        <v/>
      </c>
      <c r="AG139" s="386" t="str">
        <f t="shared" si="68"/>
        <v/>
      </c>
      <c r="AH139" s="386" t="str">
        <f t="shared" si="69"/>
        <v/>
      </c>
      <c r="AI139" s="386" t="str">
        <f t="shared" si="55"/>
        <v/>
      </c>
      <c r="AJ139" s="386" t="str">
        <f t="shared" si="56"/>
        <v/>
      </c>
      <c r="AK139" s="386" t="str">
        <f t="shared" si="57"/>
        <v/>
      </c>
      <c r="AL139" s="388"/>
      <c r="AM139" s="388"/>
      <c r="AN139" s="388"/>
      <c r="AO139" s="388"/>
      <c r="AP139" s="402" t="str">
        <f t="shared" si="70"/>
        <v/>
      </c>
      <c r="AQ139" s="388"/>
      <c r="AR139" s="388"/>
      <c r="AS139" s="388"/>
      <c r="AT139" s="388"/>
      <c r="AU139" s="402" t="str">
        <f t="shared" si="71"/>
        <v/>
      </c>
      <c r="AV139" s="389"/>
      <c r="AW139" s="381"/>
      <c r="AX139" s="381"/>
      <c r="AY139" s="373"/>
      <c r="AZ139" s="390"/>
      <c r="BA139" s="390"/>
      <c r="BB139" s="391"/>
      <c r="BC139" s="392"/>
      <c r="BD139" s="393"/>
      <c r="BE139" s="393"/>
      <c r="BF139" s="393"/>
      <c r="BG139" s="394"/>
      <c r="BH139" s="395"/>
      <c r="BI139" s="374"/>
      <c r="BJ139" s="374"/>
      <c r="BK139" s="374"/>
      <c r="BL139" s="389"/>
      <c r="BM139" s="397"/>
      <c r="BN139" s="389"/>
      <c r="BO139" s="419" t="str">
        <f t="shared" si="60"/>
        <v/>
      </c>
      <c r="BP139" s="389"/>
      <c r="BQ139" s="397"/>
      <c r="BR139" s="419"/>
      <c r="BS139" s="419"/>
      <c r="BT139" s="419"/>
      <c r="BU139" s="432"/>
      <c r="BV139" s="419"/>
      <c r="BW139" s="419"/>
      <c r="BX139" s="419"/>
      <c r="BY139" s="389"/>
      <c r="BZ139" s="389"/>
      <c r="CA139" s="389"/>
      <c r="CB139" s="389"/>
      <c r="CC139" s="389"/>
      <c r="CD139" s="389"/>
      <c r="CE139" s="389"/>
      <c r="CF139" s="389"/>
      <c r="CG139" s="389"/>
      <c r="CH139" s="389"/>
      <c r="CI139" s="389"/>
      <c r="CJ139" s="422"/>
      <c r="CK139" s="422"/>
      <c r="CL139" s="422"/>
      <c r="CM139" s="422"/>
      <c r="CN139" s="422"/>
      <c r="CO139" s="422"/>
      <c r="CP139" s="422"/>
      <c r="CQ139" s="432"/>
      <c r="CR139" s="431" t="str">
        <f t="shared" si="72"/>
        <v/>
      </c>
      <c r="CS139" s="35" t="str">
        <f t="shared" si="73"/>
        <v>Direct or WHSE.</v>
      </c>
      <c r="CT139" s="411"/>
      <c r="CW139" s="153" t="str">
        <f t="shared" si="39"/>
        <v/>
      </c>
      <c r="CX139" s="153" t="str">
        <f t="shared" si="40"/>
        <v/>
      </c>
      <c r="CY139" s="153" t="str">
        <f t="shared" si="74"/>
        <v/>
      </c>
    </row>
    <row r="140" spans="1:103" ht="19.5" customHeight="1">
      <c r="A140" s="10">
        <v>118</v>
      </c>
      <c r="B140" s="373"/>
      <c r="C140" s="373"/>
      <c r="D140" s="396"/>
      <c r="E140" s="375"/>
      <c r="F140" s="373"/>
      <c r="G140" s="373"/>
      <c r="H140" s="376"/>
      <c r="I140" s="377"/>
      <c r="J140" s="378"/>
      <c r="K140" s="379"/>
      <c r="L140" s="374"/>
      <c r="M140" s="380" t="str">
        <f t="shared" ca="1" si="42"/>
        <v/>
      </c>
      <c r="N140" s="373"/>
      <c r="O140" s="381"/>
      <c r="P140" s="381"/>
      <c r="Q140" s="382"/>
      <c r="R140" s="381"/>
      <c r="S140" s="383"/>
      <c r="T140" s="384" t="str">
        <f t="shared" si="43"/>
        <v/>
      </c>
      <c r="U140" s="385"/>
      <c r="V140" s="384" t="str">
        <f t="shared" si="44"/>
        <v/>
      </c>
      <c r="W140" s="386"/>
      <c r="X140" s="386" t="str">
        <f t="shared" si="45"/>
        <v/>
      </c>
      <c r="Y140" s="386" t="str">
        <f t="shared" si="61"/>
        <v/>
      </c>
      <c r="Z140" s="386" t="str">
        <f t="shared" si="62"/>
        <v/>
      </c>
      <c r="AA140" s="387"/>
      <c r="AB140" s="386" t="str">
        <f t="shared" si="63"/>
        <v/>
      </c>
      <c r="AC140" s="386" t="str">
        <f t="shared" si="64"/>
        <v/>
      </c>
      <c r="AD140" s="386" t="str">
        <f t="shared" si="65"/>
        <v/>
      </c>
      <c r="AE140" s="386" t="str">
        <f t="shared" si="66"/>
        <v/>
      </c>
      <c r="AF140" s="386" t="str">
        <f t="shared" si="67"/>
        <v/>
      </c>
      <c r="AG140" s="386" t="str">
        <f t="shared" si="68"/>
        <v/>
      </c>
      <c r="AH140" s="386" t="str">
        <f t="shared" si="69"/>
        <v/>
      </c>
      <c r="AI140" s="386" t="str">
        <f t="shared" si="55"/>
        <v/>
      </c>
      <c r="AJ140" s="386" t="str">
        <f t="shared" si="56"/>
        <v/>
      </c>
      <c r="AK140" s="386" t="str">
        <f t="shared" si="57"/>
        <v/>
      </c>
      <c r="AL140" s="388"/>
      <c r="AM140" s="388"/>
      <c r="AN140" s="388"/>
      <c r="AO140" s="388"/>
      <c r="AP140" s="402" t="str">
        <f t="shared" si="70"/>
        <v/>
      </c>
      <c r="AQ140" s="388"/>
      <c r="AR140" s="388"/>
      <c r="AS140" s="388"/>
      <c r="AT140" s="388"/>
      <c r="AU140" s="402" t="str">
        <f t="shared" si="71"/>
        <v/>
      </c>
      <c r="AV140" s="389"/>
      <c r="AW140" s="381"/>
      <c r="AX140" s="381"/>
      <c r="AY140" s="373"/>
      <c r="AZ140" s="390"/>
      <c r="BA140" s="390"/>
      <c r="BB140" s="391"/>
      <c r="BC140" s="392"/>
      <c r="BD140" s="393"/>
      <c r="BE140" s="393"/>
      <c r="BF140" s="393"/>
      <c r="BG140" s="394"/>
      <c r="BH140" s="395"/>
      <c r="BI140" s="374"/>
      <c r="BJ140" s="374"/>
      <c r="BK140" s="374"/>
      <c r="BL140" s="389"/>
      <c r="BM140" s="397"/>
      <c r="BN140" s="389"/>
      <c r="BO140" s="419" t="str">
        <f t="shared" si="60"/>
        <v/>
      </c>
      <c r="BP140" s="389"/>
      <c r="BQ140" s="397"/>
      <c r="BR140" s="419"/>
      <c r="BS140" s="419"/>
      <c r="BT140" s="419"/>
      <c r="BU140" s="432"/>
      <c r="BV140" s="419"/>
      <c r="BW140" s="419"/>
      <c r="BX140" s="419"/>
      <c r="BY140" s="389"/>
      <c r="BZ140" s="389"/>
      <c r="CA140" s="389"/>
      <c r="CB140" s="389"/>
      <c r="CC140" s="389"/>
      <c r="CD140" s="389"/>
      <c r="CE140" s="389"/>
      <c r="CF140" s="389"/>
      <c r="CG140" s="389"/>
      <c r="CH140" s="389"/>
      <c r="CI140" s="389"/>
      <c r="CJ140" s="422"/>
      <c r="CK140" s="422"/>
      <c r="CL140" s="422"/>
      <c r="CM140" s="422"/>
      <c r="CN140" s="422"/>
      <c r="CO140" s="422"/>
      <c r="CP140" s="422"/>
      <c r="CQ140" s="432"/>
      <c r="CR140" s="431" t="str">
        <f t="shared" si="72"/>
        <v/>
      </c>
      <c r="CS140" s="35" t="str">
        <f t="shared" si="73"/>
        <v>Direct or WHSE.</v>
      </c>
      <c r="CT140" s="411"/>
      <c r="CW140" s="153" t="str">
        <f t="shared" si="39"/>
        <v/>
      </c>
      <c r="CX140" s="153" t="str">
        <f t="shared" si="40"/>
        <v/>
      </c>
      <c r="CY140" s="153" t="str">
        <f t="shared" si="74"/>
        <v/>
      </c>
    </row>
    <row r="141" spans="1:103" ht="19.5" customHeight="1">
      <c r="A141" s="10">
        <v>119</v>
      </c>
      <c r="B141" s="373"/>
      <c r="C141" s="373"/>
      <c r="D141" s="396"/>
      <c r="E141" s="375"/>
      <c r="F141" s="373"/>
      <c r="G141" s="373"/>
      <c r="H141" s="376"/>
      <c r="I141" s="377"/>
      <c r="J141" s="378"/>
      <c r="K141" s="379"/>
      <c r="L141" s="374"/>
      <c r="M141" s="380" t="str">
        <f t="shared" ca="1" si="42"/>
        <v/>
      </c>
      <c r="N141" s="373"/>
      <c r="O141" s="381"/>
      <c r="P141" s="381"/>
      <c r="Q141" s="382"/>
      <c r="R141" s="381"/>
      <c r="S141" s="383"/>
      <c r="T141" s="384" t="str">
        <f t="shared" si="43"/>
        <v/>
      </c>
      <c r="U141" s="385"/>
      <c r="V141" s="384" t="str">
        <f t="shared" si="44"/>
        <v/>
      </c>
      <c r="W141" s="386"/>
      <c r="X141" s="386" t="str">
        <f t="shared" si="45"/>
        <v/>
      </c>
      <c r="Y141" s="386" t="str">
        <f t="shared" si="61"/>
        <v/>
      </c>
      <c r="Z141" s="386" t="str">
        <f t="shared" si="62"/>
        <v/>
      </c>
      <c r="AA141" s="387"/>
      <c r="AB141" s="386" t="str">
        <f t="shared" si="63"/>
        <v/>
      </c>
      <c r="AC141" s="386" t="str">
        <f t="shared" si="64"/>
        <v/>
      </c>
      <c r="AD141" s="386" t="str">
        <f t="shared" si="65"/>
        <v/>
      </c>
      <c r="AE141" s="386" t="str">
        <f t="shared" si="66"/>
        <v/>
      </c>
      <c r="AF141" s="386" t="str">
        <f t="shared" si="67"/>
        <v/>
      </c>
      <c r="AG141" s="386" t="str">
        <f t="shared" si="68"/>
        <v/>
      </c>
      <c r="AH141" s="386" t="str">
        <f t="shared" si="69"/>
        <v/>
      </c>
      <c r="AI141" s="386" t="str">
        <f t="shared" si="55"/>
        <v/>
      </c>
      <c r="AJ141" s="386" t="str">
        <f t="shared" si="56"/>
        <v/>
      </c>
      <c r="AK141" s="386" t="str">
        <f t="shared" si="57"/>
        <v/>
      </c>
      <c r="AL141" s="388"/>
      <c r="AM141" s="388"/>
      <c r="AN141" s="388"/>
      <c r="AO141" s="388"/>
      <c r="AP141" s="402" t="str">
        <f t="shared" si="70"/>
        <v/>
      </c>
      <c r="AQ141" s="388"/>
      <c r="AR141" s="388"/>
      <c r="AS141" s="388"/>
      <c r="AT141" s="388"/>
      <c r="AU141" s="402" t="str">
        <f t="shared" si="71"/>
        <v/>
      </c>
      <c r="AV141" s="389"/>
      <c r="AW141" s="381"/>
      <c r="AX141" s="381"/>
      <c r="AY141" s="373"/>
      <c r="AZ141" s="390"/>
      <c r="BA141" s="390"/>
      <c r="BB141" s="391"/>
      <c r="BC141" s="392"/>
      <c r="BD141" s="393"/>
      <c r="BE141" s="393"/>
      <c r="BF141" s="393"/>
      <c r="BG141" s="394"/>
      <c r="BH141" s="395"/>
      <c r="BI141" s="374"/>
      <c r="BJ141" s="374"/>
      <c r="BK141" s="374"/>
      <c r="BL141" s="389"/>
      <c r="BM141" s="397"/>
      <c r="BN141" s="389"/>
      <c r="BO141" s="419" t="str">
        <f t="shared" si="60"/>
        <v/>
      </c>
      <c r="BP141" s="389"/>
      <c r="BQ141" s="397"/>
      <c r="BR141" s="419"/>
      <c r="BS141" s="419"/>
      <c r="BT141" s="419"/>
      <c r="BU141" s="432"/>
      <c r="BV141" s="419"/>
      <c r="BW141" s="419"/>
      <c r="BX141" s="419"/>
      <c r="BY141" s="389"/>
      <c r="BZ141" s="389"/>
      <c r="CA141" s="389"/>
      <c r="CB141" s="389"/>
      <c r="CC141" s="389"/>
      <c r="CD141" s="389"/>
      <c r="CE141" s="389"/>
      <c r="CF141" s="389"/>
      <c r="CG141" s="389"/>
      <c r="CH141" s="389"/>
      <c r="CI141" s="389"/>
      <c r="CJ141" s="422"/>
      <c r="CK141" s="422"/>
      <c r="CL141" s="422"/>
      <c r="CM141" s="422"/>
      <c r="CN141" s="422"/>
      <c r="CO141" s="422"/>
      <c r="CP141" s="422"/>
      <c r="CQ141" s="432"/>
      <c r="CR141" s="431" t="str">
        <f t="shared" si="72"/>
        <v/>
      </c>
      <c r="CS141" s="35" t="str">
        <f t="shared" si="73"/>
        <v>Direct or WHSE.</v>
      </c>
      <c r="CT141" s="411"/>
      <c r="CW141" s="153" t="str">
        <f t="shared" si="39"/>
        <v/>
      </c>
      <c r="CX141" s="153" t="str">
        <f t="shared" si="40"/>
        <v/>
      </c>
      <c r="CY141" s="153" t="str">
        <f t="shared" si="74"/>
        <v/>
      </c>
    </row>
    <row r="142" spans="1:103" ht="19.5" customHeight="1">
      <c r="A142" s="10">
        <v>120</v>
      </c>
      <c r="B142" s="373"/>
      <c r="C142" s="373"/>
      <c r="D142" s="396"/>
      <c r="E142" s="375"/>
      <c r="F142" s="373"/>
      <c r="G142" s="373"/>
      <c r="H142" s="376"/>
      <c r="I142" s="377"/>
      <c r="J142" s="378"/>
      <c r="K142" s="379"/>
      <c r="L142" s="374"/>
      <c r="M142" s="380" t="str">
        <f t="shared" ca="1" si="42"/>
        <v/>
      </c>
      <c r="N142" s="373"/>
      <c r="O142" s="381"/>
      <c r="P142" s="381"/>
      <c r="Q142" s="382"/>
      <c r="R142" s="381"/>
      <c r="S142" s="383"/>
      <c r="T142" s="384" t="str">
        <f t="shared" si="43"/>
        <v/>
      </c>
      <c r="U142" s="385"/>
      <c r="V142" s="384" t="str">
        <f t="shared" si="44"/>
        <v/>
      </c>
      <c r="W142" s="386"/>
      <c r="X142" s="386" t="str">
        <f t="shared" si="45"/>
        <v/>
      </c>
      <c r="Y142" s="386" t="str">
        <f t="shared" si="61"/>
        <v/>
      </c>
      <c r="Z142" s="386" t="str">
        <f t="shared" si="62"/>
        <v/>
      </c>
      <c r="AA142" s="387"/>
      <c r="AB142" s="386" t="str">
        <f t="shared" si="63"/>
        <v/>
      </c>
      <c r="AC142" s="386" t="str">
        <f t="shared" si="64"/>
        <v/>
      </c>
      <c r="AD142" s="386" t="str">
        <f t="shared" si="65"/>
        <v/>
      </c>
      <c r="AE142" s="386" t="str">
        <f t="shared" si="66"/>
        <v/>
      </c>
      <c r="AF142" s="386" t="str">
        <f t="shared" si="67"/>
        <v/>
      </c>
      <c r="AG142" s="386" t="str">
        <f t="shared" si="68"/>
        <v/>
      </c>
      <c r="AH142" s="386" t="str">
        <f t="shared" si="69"/>
        <v/>
      </c>
      <c r="AI142" s="386" t="str">
        <f t="shared" si="55"/>
        <v/>
      </c>
      <c r="AJ142" s="386" t="str">
        <f t="shared" si="56"/>
        <v/>
      </c>
      <c r="AK142" s="386" t="str">
        <f t="shared" si="57"/>
        <v/>
      </c>
      <c r="AL142" s="388"/>
      <c r="AM142" s="388"/>
      <c r="AN142" s="388"/>
      <c r="AO142" s="388"/>
      <c r="AP142" s="402" t="str">
        <f t="shared" si="70"/>
        <v/>
      </c>
      <c r="AQ142" s="388"/>
      <c r="AR142" s="388"/>
      <c r="AS142" s="388"/>
      <c r="AT142" s="388"/>
      <c r="AU142" s="402" t="str">
        <f t="shared" si="71"/>
        <v/>
      </c>
      <c r="AV142" s="389"/>
      <c r="AW142" s="381"/>
      <c r="AX142" s="381"/>
      <c r="AY142" s="373"/>
      <c r="AZ142" s="390"/>
      <c r="BA142" s="390"/>
      <c r="BB142" s="391"/>
      <c r="BC142" s="392"/>
      <c r="BD142" s="393"/>
      <c r="BE142" s="393"/>
      <c r="BF142" s="393"/>
      <c r="BG142" s="394"/>
      <c r="BH142" s="395"/>
      <c r="BI142" s="374"/>
      <c r="BJ142" s="374"/>
      <c r="BK142" s="374"/>
      <c r="BL142" s="389"/>
      <c r="BM142" s="397"/>
      <c r="BN142" s="389"/>
      <c r="BO142" s="419" t="str">
        <f t="shared" si="60"/>
        <v/>
      </c>
      <c r="BP142" s="389"/>
      <c r="BQ142" s="397"/>
      <c r="BR142" s="419"/>
      <c r="BS142" s="419"/>
      <c r="BT142" s="419"/>
      <c r="BU142" s="432"/>
      <c r="BV142" s="419"/>
      <c r="BW142" s="419"/>
      <c r="BX142" s="419"/>
      <c r="BY142" s="389"/>
      <c r="BZ142" s="389"/>
      <c r="CA142" s="389"/>
      <c r="CB142" s="389"/>
      <c r="CC142" s="389"/>
      <c r="CD142" s="389"/>
      <c r="CE142" s="389"/>
      <c r="CF142" s="389"/>
      <c r="CG142" s="389"/>
      <c r="CH142" s="389"/>
      <c r="CI142" s="389"/>
      <c r="CJ142" s="422"/>
      <c r="CK142" s="422"/>
      <c r="CL142" s="422"/>
      <c r="CM142" s="422"/>
      <c r="CN142" s="422"/>
      <c r="CO142" s="422"/>
      <c r="CP142" s="422"/>
      <c r="CQ142" s="432"/>
      <c r="CR142" s="431" t="str">
        <f t="shared" si="72"/>
        <v/>
      </c>
      <c r="CS142" s="35" t="str">
        <f t="shared" si="73"/>
        <v>Direct or WHSE.</v>
      </c>
      <c r="CT142" s="411"/>
      <c r="CW142" s="153" t="str">
        <f t="shared" si="39"/>
        <v/>
      </c>
      <c r="CX142" s="153" t="str">
        <f t="shared" si="40"/>
        <v/>
      </c>
      <c r="CY142" s="153" t="str">
        <f t="shared" si="74"/>
        <v/>
      </c>
    </row>
    <row r="143" spans="1:103" ht="19.5" customHeight="1">
      <c r="A143" s="10">
        <v>121</v>
      </c>
      <c r="B143" s="373"/>
      <c r="C143" s="373"/>
      <c r="D143" s="396"/>
      <c r="E143" s="375"/>
      <c r="F143" s="373"/>
      <c r="G143" s="373"/>
      <c r="H143" s="376"/>
      <c r="I143" s="377"/>
      <c r="J143" s="378"/>
      <c r="K143" s="379"/>
      <c r="L143" s="374"/>
      <c r="M143" s="380" t="str">
        <f t="shared" ca="1" si="42"/>
        <v/>
      </c>
      <c r="N143" s="373"/>
      <c r="O143" s="381"/>
      <c r="P143" s="381"/>
      <c r="Q143" s="382"/>
      <c r="R143" s="381"/>
      <c r="S143" s="383"/>
      <c r="T143" s="384" t="str">
        <f t="shared" si="43"/>
        <v/>
      </c>
      <c r="U143" s="385"/>
      <c r="V143" s="384" t="str">
        <f t="shared" si="44"/>
        <v/>
      </c>
      <c r="W143" s="386"/>
      <c r="X143" s="386" t="str">
        <f t="shared" si="45"/>
        <v/>
      </c>
      <c r="Y143" s="386" t="str">
        <f t="shared" si="61"/>
        <v/>
      </c>
      <c r="Z143" s="386" t="str">
        <f t="shared" si="62"/>
        <v/>
      </c>
      <c r="AA143" s="387"/>
      <c r="AB143" s="386" t="str">
        <f t="shared" si="63"/>
        <v/>
      </c>
      <c r="AC143" s="386" t="str">
        <f t="shared" si="64"/>
        <v/>
      </c>
      <c r="AD143" s="386" t="str">
        <f t="shared" si="65"/>
        <v/>
      </c>
      <c r="AE143" s="386" t="str">
        <f t="shared" si="66"/>
        <v/>
      </c>
      <c r="AF143" s="386" t="str">
        <f t="shared" si="67"/>
        <v/>
      </c>
      <c r="AG143" s="386" t="str">
        <f t="shared" si="68"/>
        <v/>
      </c>
      <c r="AH143" s="386" t="str">
        <f t="shared" si="69"/>
        <v/>
      </c>
      <c r="AI143" s="386" t="str">
        <f t="shared" si="55"/>
        <v/>
      </c>
      <c r="AJ143" s="386" t="str">
        <f t="shared" si="56"/>
        <v/>
      </c>
      <c r="AK143" s="386" t="str">
        <f t="shared" si="57"/>
        <v/>
      </c>
      <c r="AL143" s="388"/>
      <c r="AM143" s="388"/>
      <c r="AN143" s="388"/>
      <c r="AO143" s="388"/>
      <c r="AP143" s="402" t="str">
        <f t="shared" si="70"/>
        <v/>
      </c>
      <c r="AQ143" s="388"/>
      <c r="AR143" s="388"/>
      <c r="AS143" s="388"/>
      <c r="AT143" s="388"/>
      <c r="AU143" s="402" t="str">
        <f t="shared" si="71"/>
        <v/>
      </c>
      <c r="AV143" s="389"/>
      <c r="AW143" s="381"/>
      <c r="AX143" s="381"/>
      <c r="AY143" s="373"/>
      <c r="AZ143" s="390"/>
      <c r="BA143" s="390"/>
      <c r="BB143" s="391"/>
      <c r="BC143" s="392"/>
      <c r="BD143" s="393"/>
      <c r="BE143" s="393"/>
      <c r="BF143" s="393"/>
      <c r="BG143" s="394"/>
      <c r="BH143" s="395"/>
      <c r="BI143" s="374"/>
      <c r="BJ143" s="374"/>
      <c r="BK143" s="374"/>
      <c r="BL143" s="389"/>
      <c r="BM143" s="397"/>
      <c r="BN143" s="389"/>
      <c r="BO143" s="419" t="str">
        <f t="shared" si="60"/>
        <v/>
      </c>
      <c r="BP143" s="389"/>
      <c r="BQ143" s="397"/>
      <c r="BR143" s="419"/>
      <c r="BS143" s="419"/>
      <c r="BT143" s="419"/>
      <c r="BU143" s="432"/>
      <c r="BV143" s="419"/>
      <c r="BW143" s="419"/>
      <c r="BX143" s="419"/>
      <c r="BY143" s="389"/>
      <c r="BZ143" s="389"/>
      <c r="CA143" s="389"/>
      <c r="CB143" s="389"/>
      <c r="CC143" s="389"/>
      <c r="CD143" s="389"/>
      <c r="CE143" s="389"/>
      <c r="CF143" s="389"/>
      <c r="CG143" s="389"/>
      <c r="CH143" s="389"/>
      <c r="CI143" s="389"/>
      <c r="CJ143" s="422"/>
      <c r="CK143" s="422"/>
      <c r="CL143" s="422"/>
      <c r="CM143" s="422"/>
      <c r="CN143" s="422"/>
      <c r="CO143" s="422"/>
      <c r="CP143" s="422"/>
      <c r="CQ143" s="432"/>
      <c r="CR143" s="431" t="str">
        <f t="shared" si="72"/>
        <v/>
      </c>
      <c r="CS143" s="35" t="str">
        <f t="shared" si="73"/>
        <v>Direct or WHSE.</v>
      </c>
      <c r="CT143" s="411"/>
      <c r="CW143" s="153" t="str">
        <f t="shared" si="39"/>
        <v/>
      </c>
      <c r="CX143" s="153" t="str">
        <f t="shared" si="40"/>
        <v/>
      </c>
      <c r="CY143" s="153" t="str">
        <f t="shared" si="74"/>
        <v/>
      </c>
    </row>
    <row r="144" spans="1:103" ht="19.5" customHeight="1">
      <c r="A144" s="10">
        <v>122</v>
      </c>
      <c r="B144" s="373"/>
      <c r="C144" s="373"/>
      <c r="D144" s="396"/>
      <c r="E144" s="375"/>
      <c r="F144" s="373"/>
      <c r="G144" s="373"/>
      <c r="H144" s="376"/>
      <c r="I144" s="377"/>
      <c r="J144" s="378"/>
      <c r="K144" s="379"/>
      <c r="L144" s="374"/>
      <c r="M144" s="380" t="str">
        <f t="shared" ca="1" si="42"/>
        <v/>
      </c>
      <c r="N144" s="373"/>
      <c r="O144" s="381"/>
      <c r="P144" s="381"/>
      <c r="Q144" s="382"/>
      <c r="R144" s="381"/>
      <c r="S144" s="383"/>
      <c r="T144" s="384" t="str">
        <f t="shared" si="43"/>
        <v/>
      </c>
      <c r="U144" s="385"/>
      <c r="V144" s="384" t="str">
        <f t="shared" si="44"/>
        <v/>
      </c>
      <c r="W144" s="386"/>
      <c r="X144" s="386" t="str">
        <f t="shared" si="45"/>
        <v/>
      </c>
      <c r="Y144" s="386" t="str">
        <f t="shared" si="61"/>
        <v/>
      </c>
      <c r="Z144" s="386" t="str">
        <f t="shared" si="62"/>
        <v/>
      </c>
      <c r="AA144" s="387"/>
      <c r="AB144" s="386" t="str">
        <f t="shared" si="63"/>
        <v/>
      </c>
      <c r="AC144" s="386" t="str">
        <f t="shared" si="64"/>
        <v/>
      </c>
      <c r="AD144" s="386" t="str">
        <f t="shared" si="65"/>
        <v/>
      </c>
      <c r="AE144" s="386" t="str">
        <f t="shared" si="66"/>
        <v/>
      </c>
      <c r="AF144" s="386" t="str">
        <f t="shared" si="67"/>
        <v/>
      </c>
      <c r="AG144" s="386" t="str">
        <f t="shared" si="68"/>
        <v/>
      </c>
      <c r="AH144" s="386" t="str">
        <f t="shared" si="69"/>
        <v/>
      </c>
      <c r="AI144" s="386" t="str">
        <f t="shared" si="55"/>
        <v/>
      </c>
      <c r="AJ144" s="386" t="str">
        <f t="shared" si="56"/>
        <v/>
      </c>
      <c r="AK144" s="386" t="str">
        <f t="shared" si="57"/>
        <v/>
      </c>
      <c r="AL144" s="388"/>
      <c r="AM144" s="388"/>
      <c r="AN144" s="388"/>
      <c r="AO144" s="388"/>
      <c r="AP144" s="402" t="str">
        <f t="shared" si="70"/>
        <v/>
      </c>
      <c r="AQ144" s="388"/>
      <c r="AR144" s="388"/>
      <c r="AS144" s="388"/>
      <c r="AT144" s="388"/>
      <c r="AU144" s="402" t="str">
        <f t="shared" si="71"/>
        <v/>
      </c>
      <c r="AV144" s="389"/>
      <c r="AW144" s="381"/>
      <c r="AX144" s="381"/>
      <c r="AY144" s="373"/>
      <c r="AZ144" s="390"/>
      <c r="BA144" s="390"/>
      <c r="BB144" s="391"/>
      <c r="BC144" s="392"/>
      <c r="BD144" s="393"/>
      <c r="BE144" s="393"/>
      <c r="BF144" s="393"/>
      <c r="BG144" s="394"/>
      <c r="BH144" s="395"/>
      <c r="BI144" s="374"/>
      <c r="BJ144" s="374"/>
      <c r="BK144" s="374"/>
      <c r="BL144" s="389"/>
      <c r="BM144" s="397"/>
      <c r="BN144" s="389"/>
      <c r="BO144" s="419" t="str">
        <f t="shared" si="60"/>
        <v/>
      </c>
      <c r="BP144" s="389"/>
      <c r="BQ144" s="397"/>
      <c r="BR144" s="419"/>
      <c r="BS144" s="419"/>
      <c r="BT144" s="419"/>
      <c r="BU144" s="432"/>
      <c r="BV144" s="419"/>
      <c r="BW144" s="419"/>
      <c r="BX144" s="419"/>
      <c r="BY144" s="389"/>
      <c r="BZ144" s="389"/>
      <c r="CA144" s="389"/>
      <c r="CB144" s="389"/>
      <c r="CC144" s="389"/>
      <c r="CD144" s="389"/>
      <c r="CE144" s="389"/>
      <c r="CF144" s="389"/>
      <c r="CG144" s="389"/>
      <c r="CH144" s="389"/>
      <c r="CI144" s="389"/>
      <c r="CJ144" s="422"/>
      <c r="CK144" s="422"/>
      <c r="CL144" s="422"/>
      <c r="CM144" s="422"/>
      <c r="CN144" s="422"/>
      <c r="CO144" s="422"/>
      <c r="CP144" s="422"/>
      <c r="CQ144" s="432"/>
      <c r="CR144" s="431" t="str">
        <f t="shared" si="72"/>
        <v/>
      </c>
      <c r="CS144" s="35" t="str">
        <f t="shared" si="73"/>
        <v>Direct or WHSE.</v>
      </c>
      <c r="CT144" s="411"/>
      <c r="CW144" s="153" t="str">
        <f t="shared" si="39"/>
        <v/>
      </c>
      <c r="CX144" s="153" t="str">
        <f t="shared" si="40"/>
        <v/>
      </c>
      <c r="CY144" s="153" t="str">
        <f t="shared" si="74"/>
        <v/>
      </c>
    </row>
    <row r="145" spans="1:103" ht="19.5" customHeight="1">
      <c r="A145" s="10">
        <v>123</v>
      </c>
      <c r="B145" s="373"/>
      <c r="C145" s="373"/>
      <c r="D145" s="396"/>
      <c r="E145" s="375"/>
      <c r="F145" s="373"/>
      <c r="G145" s="373"/>
      <c r="H145" s="376"/>
      <c r="I145" s="377"/>
      <c r="J145" s="378"/>
      <c r="K145" s="379"/>
      <c r="L145" s="374"/>
      <c r="M145" s="380" t="str">
        <f t="shared" ca="1" si="42"/>
        <v/>
      </c>
      <c r="N145" s="373"/>
      <c r="O145" s="381"/>
      <c r="P145" s="381"/>
      <c r="Q145" s="382"/>
      <c r="R145" s="381"/>
      <c r="S145" s="383"/>
      <c r="T145" s="384" t="str">
        <f t="shared" si="43"/>
        <v/>
      </c>
      <c r="U145" s="385"/>
      <c r="V145" s="384" t="str">
        <f t="shared" si="44"/>
        <v/>
      </c>
      <c r="W145" s="386"/>
      <c r="X145" s="386" t="str">
        <f t="shared" si="45"/>
        <v/>
      </c>
      <c r="Y145" s="386" t="str">
        <f t="shared" si="61"/>
        <v/>
      </c>
      <c r="Z145" s="386" t="str">
        <f t="shared" si="62"/>
        <v/>
      </c>
      <c r="AA145" s="387"/>
      <c r="AB145" s="386" t="str">
        <f t="shared" si="63"/>
        <v/>
      </c>
      <c r="AC145" s="386" t="str">
        <f t="shared" si="64"/>
        <v/>
      </c>
      <c r="AD145" s="386" t="str">
        <f t="shared" si="65"/>
        <v/>
      </c>
      <c r="AE145" s="386" t="str">
        <f t="shared" si="66"/>
        <v/>
      </c>
      <c r="AF145" s="386" t="str">
        <f t="shared" si="67"/>
        <v/>
      </c>
      <c r="AG145" s="386" t="str">
        <f t="shared" si="68"/>
        <v/>
      </c>
      <c r="AH145" s="386" t="str">
        <f t="shared" si="69"/>
        <v/>
      </c>
      <c r="AI145" s="386" t="str">
        <f t="shared" si="55"/>
        <v/>
      </c>
      <c r="AJ145" s="386" t="str">
        <f t="shared" si="56"/>
        <v/>
      </c>
      <c r="AK145" s="386" t="str">
        <f t="shared" si="57"/>
        <v/>
      </c>
      <c r="AL145" s="388"/>
      <c r="AM145" s="388"/>
      <c r="AN145" s="388"/>
      <c r="AO145" s="388"/>
      <c r="AP145" s="402" t="str">
        <f t="shared" si="70"/>
        <v/>
      </c>
      <c r="AQ145" s="388"/>
      <c r="AR145" s="388"/>
      <c r="AS145" s="388"/>
      <c r="AT145" s="388"/>
      <c r="AU145" s="402" t="str">
        <f t="shared" si="71"/>
        <v/>
      </c>
      <c r="AV145" s="389"/>
      <c r="AW145" s="381"/>
      <c r="AX145" s="381"/>
      <c r="AY145" s="373"/>
      <c r="AZ145" s="390"/>
      <c r="BA145" s="390"/>
      <c r="BB145" s="391"/>
      <c r="BC145" s="392"/>
      <c r="BD145" s="393"/>
      <c r="BE145" s="393"/>
      <c r="BF145" s="393"/>
      <c r="BG145" s="394"/>
      <c r="BH145" s="395"/>
      <c r="BI145" s="374"/>
      <c r="BJ145" s="374"/>
      <c r="BK145" s="374"/>
      <c r="BL145" s="389"/>
      <c r="BM145" s="397"/>
      <c r="BN145" s="389"/>
      <c r="BO145" s="419" t="str">
        <f t="shared" si="60"/>
        <v/>
      </c>
      <c r="BP145" s="389"/>
      <c r="BQ145" s="397"/>
      <c r="BR145" s="419"/>
      <c r="BS145" s="419"/>
      <c r="BT145" s="419"/>
      <c r="BU145" s="432"/>
      <c r="BV145" s="419"/>
      <c r="BW145" s="419"/>
      <c r="BX145" s="419"/>
      <c r="BY145" s="389"/>
      <c r="BZ145" s="389"/>
      <c r="CA145" s="389"/>
      <c r="CB145" s="389"/>
      <c r="CC145" s="389"/>
      <c r="CD145" s="389"/>
      <c r="CE145" s="389"/>
      <c r="CF145" s="389"/>
      <c r="CG145" s="389"/>
      <c r="CH145" s="389"/>
      <c r="CI145" s="389"/>
      <c r="CJ145" s="422"/>
      <c r="CK145" s="422"/>
      <c r="CL145" s="422"/>
      <c r="CM145" s="422"/>
      <c r="CN145" s="422"/>
      <c r="CO145" s="422"/>
      <c r="CP145" s="422"/>
      <c r="CQ145" s="432"/>
      <c r="CR145" s="431" t="str">
        <f t="shared" si="72"/>
        <v/>
      </c>
      <c r="CS145" s="35" t="str">
        <f t="shared" si="73"/>
        <v>Direct or WHSE.</v>
      </c>
      <c r="CT145" s="411"/>
      <c r="CW145" s="153" t="str">
        <f t="shared" si="39"/>
        <v/>
      </c>
      <c r="CX145" s="153" t="str">
        <f t="shared" si="40"/>
        <v/>
      </c>
      <c r="CY145" s="153" t="str">
        <f t="shared" si="74"/>
        <v/>
      </c>
    </row>
    <row r="146" spans="1:103" ht="19.5" customHeight="1">
      <c r="A146" s="10">
        <v>124</v>
      </c>
      <c r="B146" s="373"/>
      <c r="C146" s="373"/>
      <c r="D146" s="396"/>
      <c r="E146" s="375"/>
      <c r="F146" s="373"/>
      <c r="G146" s="373"/>
      <c r="H146" s="376"/>
      <c r="I146" s="377"/>
      <c r="J146" s="378"/>
      <c r="K146" s="379"/>
      <c r="L146" s="374"/>
      <c r="M146" s="380" t="str">
        <f t="shared" ca="1" si="42"/>
        <v/>
      </c>
      <c r="N146" s="373"/>
      <c r="O146" s="381"/>
      <c r="P146" s="381"/>
      <c r="Q146" s="382"/>
      <c r="R146" s="381"/>
      <c r="S146" s="383"/>
      <c r="T146" s="384" t="str">
        <f t="shared" si="43"/>
        <v/>
      </c>
      <c r="U146" s="385"/>
      <c r="V146" s="384" t="str">
        <f t="shared" si="44"/>
        <v/>
      </c>
      <c r="W146" s="386"/>
      <c r="X146" s="386" t="str">
        <f t="shared" si="45"/>
        <v/>
      </c>
      <c r="Y146" s="386" t="str">
        <f t="shared" si="61"/>
        <v/>
      </c>
      <c r="Z146" s="386" t="str">
        <f t="shared" si="62"/>
        <v/>
      </c>
      <c r="AA146" s="387"/>
      <c r="AB146" s="386" t="str">
        <f t="shared" si="63"/>
        <v/>
      </c>
      <c r="AC146" s="386" t="str">
        <f t="shared" si="64"/>
        <v/>
      </c>
      <c r="AD146" s="386" t="str">
        <f t="shared" si="65"/>
        <v/>
      </c>
      <c r="AE146" s="386" t="str">
        <f t="shared" si="66"/>
        <v/>
      </c>
      <c r="AF146" s="386" t="str">
        <f t="shared" si="67"/>
        <v/>
      </c>
      <c r="AG146" s="386" t="str">
        <f t="shared" si="68"/>
        <v/>
      </c>
      <c r="AH146" s="386" t="str">
        <f t="shared" si="69"/>
        <v/>
      </c>
      <c r="AI146" s="386" t="str">
        <f t="shared" si="55"/>
        <v/>
      </c>
      <c r="AJ146" s="386" t="str">
        <f t="shared" si="56"/>
        <v/>
      </c>
      <c r="AK146" s="386" t="str">
        <f t="shared" si="57"/>
        <v/>
      </c>
      <c r="AL146" s="388"/>
      <c r="AM146" s="388"/>
      <c r="AN146" s="388"/>
      <c r="AO146" s="388"/>
      <c r="AP146" s="402" t="str">
        <f t="shared" si="70"/>
        <v/>
      </c>
      <c r="AQ146" s="388"/>
      <c r="AR146" s="388"/>
      <c r="AS146" s="388"/>
      <c r="AT146" s="388"/>
      <c r="AU146" s="402" t="str">
        <f t="shared" si="71"/>
        <v/>
      </c>
      <c r="AV146" s="389"/>
      <c r="AW146" s="381"/>
      <c r="AX146" s="381"/>
      <c r="AY146" s="373"/>
      <c r="AZ146" s="390"/>
      <c r="BA146" s="390"/>
      <c r="BB146" s="391"/>
      <c r="BC146" s="392"/>
      <c r="BD146" s="393"/>
      <c r="BE146" s="393"/>
      <c r="BF146" s="393"/>
      <c r="BG146" s="394"/>
      <c r="BH146" s="395"/>
      <c r="BI146" s="374"/>
      <c r="BJ146" s="374"/>
      <c r="BK146" s="374"/>
      <c r="BL146" s="389"/>
      <c r="BM146" s="397"/>
      <c r="BN146" s="389"/>
      <c r="BO146" s="419" t="str">
        <f t="shared" si="60"/>
        <v/>
      </c>
      <c r="BP146" s="389"/>
      <c r="BQ146" s="397"/>
      <c r="BR146" s="419"/>
      <c r="BS146" s="419"/>
      <c r="BT146" s="419"/>
      <c r="BU146" s="432"/>
      <c r="BV146" s="419"/>
      <c r="BW146" s="419"/>
      <c r="BX146" s="419"/>
      <c r="BY146" s="389"/>
      <c r="BZ146" s="389"/>
      <c r="CA146" s="389"/>
      <c r="CB146" s="389"/>
      <c r="CC146" s="389"/>
      <c r="CD146" s="389"/>
      <c r="CE146" s="389"/>
      <c r="CF146" s="389"/>
      <c r="CG146" s="389"/>
      <c r="CH146" s="389"/>
      <c r="CI146" s="389"/>
      <c r="CJ146" s="422"/>
      <c r="CK146" s="422"/>
      <c r="CL146" s="422"/>
      <c r="CM146" s="422"/>
      <c r="CN146" s="422"/>
      <c r="CO146" s="422"/>
      <c r="CP146" s="422"/>
      <c r="CQ146" s="432"/>
      <c r="CR146" s="431" t="str">
        <f t="shared" si="72"/>
        <v/>
      </c>
      <c r="CS146" s="35" t="str">
        <f t="shared" si="73"/>
        <v>Direct or WHSE.</v>
      </c>
      <c r="CT146" s="411"/>
      <c r="CW146" s="153" t="str">
        <f t="shared" si="39"/>
        <v/>
      </c>
      <c r="CX146" s="153" t="str">
        <f t="shared" si="40"/>
        <v/>
      </c>
      <c r="CY146" s="153" t="str">
        <f t="shared" si="74"/>
        <v/>
      </c>
    </row>
    <row r="147" spans="1:103" ht="19.5" customHeight="1">
      <c r="A147" s="10">
        <v>125</v>
      </c>
      <c r="B147" s="373"/>
      <c r="C147" s="373"/>
      <c r="D147" s="396"/>
      <c r="E147" s="375"/>
      <c r="F147" s="373"/>
      <c r="G147" s="373"/>
      <c r="H147" s="376"/>
      <c r="I147" s="377"/>
      <c r="J147" s="378"/>
      <c r="K147" s="379"/>
      <c r="L147" s="374"/>
      <c r="M147" s="380" t="str">
        <f t="shared" ca="1" si="42"/>
        <v/>
      </c>
      <c r="N147" s="373"/>
      <c r="O147" s="381"/>
      <c r="P147" s="381"/>
      <c r="Q147" s="382"/>
      <c r="R147" s="381"/>
      <c r="S147" s="383"/>
      <c r="T147" s="384" t="str">
        <f t="shared" si="43"/>
        <v/>
      </c>
      <c r="U147" s="385"/>
      <c r="V147" s="384" t="str">
        <f t="shared" si="44"/>
        <v/>
      </c>
      <c r="W147" s="386"/>
      <c r="X147" s="386" t="str">
        <f t="shared" si="45"/>
        <v/>
      </c>
      <c r="Y147" s="386" t="str">
        <f t="shared" si="61"/>
        <v/>
      </c>
      <c r="Z147" s="386" t="str">
        <f t="shared" si="62"/>
        <v/>
      </c>
      <c r="AA147" s="387"/>
      <c r="AB147" s="386" t="str">
        <f t="shared" si="63"/>
        <v/>
      </c>
      <c r="AC147" s="386" t="str">
        <f t="shared" si="64"/>
        <v/>
      </c>
      <c r="AD147" s="386" t="str">
        <f t="shared" si="65"/>
        <v/>
      </c>
      <c r="AE147" s="386" t="str">
        <f t="shared" si="66"/>
        <v/>
      </c>
      <c r="AF147" s="386" t="str">
        <f t="shared" si="67"/>
        <v/>
      </c>
      <c r="AG147" s="386" t="str">
        <f t="shared" si="68"/>
        <v/>
      </c>
      <c r="AH147" s="386" t="str">
        <f t="shared" si="69"/>
        <v/>
      </c>
      <c r="AI147" s="386" t="str">
        <f t="shared" si="55"/>
        <v/>
      </c>
      <c r="AJ147" s="386" t="str">
        <f t="shared" si="56"/>
        <v/>
      </c>
      <c r="AK147" s="386" t="str">
        <f t="shared" si="57"/>
        <v/>
      </c>
      <c r="AL147" s="388"/>
      <c r="AM147" s="388"/>
      <c r="AN147" s="388"/>
      <c r="AO147" s="388"/>
      <c r="AP147" s="402" t="str">
        <f t="shared" si="70"/>
        <v/>
      </c>
      <c r="AQ147" s="388"/>
      <c r="AR147" s="388"/>
      <c r="AS147" s="388"/>
      <c r="AT147" s="388"/>
      <c r="AU147" s="402" t="str">
        <f t="shared" si="71"/>
        <v/>
      </c>
      <c r="AV147" s="389"/>
      <c r="AW147" s="381"/>
      <c r="AX147" s="381"/>
      <c r="AY147" s="373"/>
      <c r="AZ147" s="390"/>
      <c r="BA147" s="390"/>
      <c r="BB147" s="391"/>
      <c r="BC147" s="392"/>
      <c r="BD147" s="393"/>
      <c r="BE147" s="393"/>
      <c r="BF147" s="393"/>
      <c r="BG147" s="394"/>
      <c r="BH147" s="395"/>
      <c r="BI147" s="374"/>
      <c r="BJ147" s="374"/>
      <c r="BK147" s="374"/>
      <c r="BL147" s="389"/>
      <c r="BM147" s="397"/>
      <c r="BN147" s="389"/>
      <c r="BO147" s="419" t="str">
        <f t="shared" si="60"/>
        <v/>
      </c>
      <c r="BP147" s="389"/>
      <c r="BQ147" s="397"/>
      <c r="BR147" s="419"/>
      <c r="BS147" s="419"/>
      <c r="BT147" s="419"/>
      <c r="BU147" s="432"/>
      <c r="BV147" s="419"/>
      <c r="BW147" s="419"/>
      <c r="BX147" s="419"/>
      <c r="BY147" s="389"/>
      <c r="BZ147" s="389"/>
      <c r="CA147" s="389"/>
      <c r="CB147" s="389"/>
      <c r="CC147" s="389"/>
      <c r="CD147" s="389"/>
      <c r="CE147" s="389"/>
      <c r="CF147" s="389"/>
      <c r="CG147" s="389"/>
      <c r="CH147" s="389"/>
      <c r="CI147" s="389"/>
      <c r="CJ147" s="422"/>
      <c r="CK147" s="422"/>
      <c r="CL147" s="422"/>
      <c r="CM147" s="422"/>
      <c r="CN147" s="422"/>
      <c r="CO147" s="422"/>
      <c r="CP147" s="422"/>
      <c r="CQ147" s="432"/>
      <c r="CR147" s="431" t="str">
        <f t="shared" si="72"/>
        <v/>
      </c>
      <c r="CS147" s="35" t="str">
        <f t="shared" si="73"/>
        <v>Direct or WHSE.</v>
      </c>
      <c r="CT147" s="411"/>
      <c r="CW147" s="153" t="str">
        <f t="shared" si="39"/>
        <v/>
      </c>
      <c r="CX147" s="153" t="str">
        <f t="shared" si="40"/>
        <v/>
      </c>
      <c r="CY147" s="153" t="str">
        <f t="shared" si="74"/>
        <v/>
      </c>
    </row>
    <row r="148" spans="1:103" ht="19.5" customHeight="1">
      <c r="A148" s="10">
        <v>126</v>
      </c>
      <c r="B148" s="373"/>
      <c r="C148" s="373"/>
      <c r="D148" s="396"/>
      <c r="E148" s="375"/>
      <c r="F148" s="373"/>
      <c r="G148" s="373"/>
      <c r="H148" s="376"/>
      <c r="I148" s="377"/>
      <c r="J148" s="378"/>
      <c r="K148" s="379"/>
      <c r="L148" s="374"/>
      <c r="M148" s="380" t="str">
        <f t="shared" ca="1" si="42"/>
        <v/>
      </c>
      <c r="N148" s="373"/>
      <c r="O148" s="381"/>
      <c r="P148" s="381"/>
      <c r="Q148" s="382"/>
      <c r="R148" s="381"/>
      <c r="S148" s="383"/>
      <c r="T148" s="384" t="str">
        <f t="shared" si="43"/>
        <v/>
      </c>
      <c r="U148" s="385"/>
      <c r="V148" s="384" t="str">
        <f t="shared" si="44"/>
        <v/>
      </c>
      <c r="W148" s="386"/>
      <c r="X148" s="386" t="str">
        <f t="shared" si="45"/>
        <v/>
      </c>
      <c r="Y148" s="386" t="str">
        <f t="shared" si="61"/>
        <v/>
      </c>
      <c r="Z148" s="386" t="str">
        <f t="shared" si="62"/>
        <v/>
      </c>
      <c r="AA148" s="387"/>
      <c r="AB148" s="386" t="str">
        <f t="shared" si="63"/>
        <v/>
      </c>
      <c r="AC148" s="386" t="str">
        <f t="shared" si="64"/>
        <v/>
      </c>
      <c r="AD148" s="386" t="str">
        <f t="shared" si="65"/>
        <v/>
      </c>
      <c r="AE148" s="386" t="str">
        <f t="shared" si="66"/>
        <v/>
      </c>
      <c r="AF148" s="386" t="str">
        <f t="shared" si="67"/>
        <v/>
      </c>
      <c r="AG148" s="386" t="str">
        <f t="shared" si="68"/>
        <v/>
      </c>
      <c r="AH148" s="386" t="str">
        <f t="shared" si="69"/>
        <v/>
      </c>
      <c r="AI148" s="386" t="str">
        <f t="shared" si="55"/>
        <v/>
      </c>
      <c r="AJ148" s="386" t="str">
        <f t="shared" si="56"/>
        <v/>
      </c>
      <c r="AK148" s="386" t="str">
        <f t="shared" si="57"/>
        <v/>
      </c>
      <c r="AL148" s="388"/>
      <c r="AM148" s="388"/>
      <c r="AN148" s="388"/>
      <c r="AO148" s="388"/>
      <c r="AP148" s="402" t="str">
        <f t="shared" si="70"/>
        <v/>
      </c>
      <c r="AQ148" s="388"/>
      <c r="AR148" s="388"/>
      <c r="AS148" s="388"/>
      <c r="AT148" s="388"/>
      <c r="AU148" s="402" t="str">
        <f t="shared" si="71"/>
        <v/>
      </c>
      <c r="AV148" s="389"/>
      <c r="AW148" s="381"/>
      <c r="AX148" s="381"/>
      <c r="AY148" s="373"/>
      <c r="AZ148" s="390"/>
      <c r="BA148" s="390"/>
      <c r="BB148" s="391"/>
      <c r="BC148" s="392"/>
      <c r="BD148" s="393"/>
      <c r="BE148" s="393"/>
      <c r="BF148" s="393"/>
      <c r="BG148" s="394"/>
      <c r="BH148" s="395"/>
      <c r="BI148" s="374"/>
      <c r="BJ148" s="374"/>
      <c r="BK148" s="374"/>
      <c r="BL148" s="389"/>
      <c r="BM148" s="397"/>
      <c r="BN148" s="389"/>
      <c r="BO148" s="419" t="str">
        <f t="shared" si="60"/>
        <v/>
      </c>
      <c r="BP148" s="389"/>
      <c r="BQ148" s="397"/>
      <c r="BR148" s="419"/>
      <c r="BS148" s="419"/>
      <c r="BT148" s="419"/>
      <c r="BU148" s="432"/>
      <c r="BV148" s="419"/>
      <c r="BW148" s="419"/>
      <c r="BX148" s="419"/>
      <c r="BY148" s="389"/>
      <c r="BZ148" s="389"/>
      <c r="CA148" s="389"/>
      <c r="CB148" s="389"/>
      <c r="CC148" s="389"/>
      <c r="CD148" s="389"/>
      <c r="CE148" s="389"/>
      <c r="CF148" s="389"/>
      <c r="CG148" s="389"/>
      <c r="CH148" s="389"/>
      <c r="CI148" s="389"/>
      <c r="CJ148" s="422"/>
      <c r="CK148" s="422"/>
      <c r="CL148" s="422"/>
      <c r="CM148" s="422"/>
      <c r="CN148" s="422"/>
      <c r="CO148" s="422"/>
      <c r="CP148" s="422"/>
      <c r="CQ148" s="432"/>
      <c r="CR148" s="431" t="str">
        <f t="shared" si="72"/>
        <v/>
      </c>
      <c r="CS148" s="35" t="str">
        <f t="shared" si="73"/>
        <v>Direct or WHSE.</v>
      </c>
      <c r="CT148" s="411"/>
      <c r="CW148" s="153" t="str">
        <f t="shared" si="39"/>
        <v/>
      </c>
      <c r="CX148" s="153" t="str">
        <f t="shared" si="40"/>
        <v/>
      </c>
      <c r="CY148" s="153" t="str">
        <f t="shared" si="74"/>
        <v/>
      </c>
    </row>
    <row r="149" spans="1:103" ht="19.5" customHeight="1">
      <c r="A149" s="10">
        <v>127</v>
      </c>
      <c r="B149" s="373"/>
      <c r="C149" s="373"/>
      <c r="D149" s="396"/>
      <c r="E149" s="375"/>
      <c r="F149" s="373"/>
      <c r="G149" s="373"/>
      <c r="H149" s="376"/>
      <c r="I149" s="377"/>
      <c r="J149" s="378"/>
      <c r="K149" s="379"/>
      <c r="L149" s="374"/>
      <c r="M149" s="380" t="str">
        <f t="shared" ca="1" si="42"/>
        <v/>
      </c>
      <c r="N149" s="373"/>
      <c r="O149" s="381"/>
      <c r="P149" s="381"/>
      <c r="Q149" s="382"/>
      <c r="R149" s="381"/>
      <c r="S149" s="383"/>
      <c r="T149" s="384" t="str">
        <f t="shared" si="43"/>
        <v/>
      </c>
      <c r="U149" s="385"/>
      <c r="V149" s="384" t="str">
        <f t="shared" si="44"/>
        <v/>
      </c>
      <c r="W149" s="386"/>
      <c r="X149" s="386" t="str">
        <f t="shared" si="45"/>
        <v/>
      </c>
      <c r="Y149" s="386" t="str">
        <f t="shared" si="61"/>
        <v/>
      </c>
      <c r="Z149" s="386" t="str">
        <f t="shared" si="62"/>
        <v/>
      </c>
      <c r="AA149" s="387"/>
      <c r="AB149" s="386" t="str">
        <f t="shared" si="63"/>
        <v/>
      </c>
      <c r="AC149" s="386" t="str">
        <f t="shared" si="64"/>
        <v/>
      </c>
      <c r="AD149" s="386" t="str">
        <f t="shared" si="65"/>
        <v/>
      </c>
      <c r="AE149" s="386" t="str">
        <f t="shared" si="66"/>
        <v/>
      </c>
      <c r="AF149" s="386" t="str">
        <f t="shared" si="67"/>
        <v/>
      </c>
      <c r="AG149" s="386" t="str">
        <f t="shared" si="68"/>
        <v/>
      </c>
      <c r="AH149" s="386" t="str">
        <f t="shared" si="69"/>
        <v/>
      </c>
      <c r="AI149" s="386" t="str">
        <f t="shared" si="55"/>
        <v/>
      </c>
      <c r="AJ149" s="386" t="str">
        <f t="shared" si="56"/>
        <v/>
      </c>
      <c r="AK149" s="386" t="str">
        <f t="shared" si="57"/>
        <v/>
      </c>
      <c r="AL149" s="388"/>
      <c r="AM149" s="388"/>
      <c r="AN149" s="388"/>
      <c r="AO149" s="388"/>
      <c r="AP149" s="402" t="str">
        <f t="shared" si="70"/>
        <v/>
      </c>
      <c r="AQ149" s="388"/>
      <c r="AR149" s="388"/>
      <c r="AS149" s="388"/>
      <c r="AT149" s="388"/>
      <c r="AU149" s="402" t="str">
        <f t="shared" si="71"/>
        <v/>
      </c>
      <c r="AV149" s="389"/>
      <c r="AW149" s="381"/>
      <c r="AX149" s="381"/>
      <c r="AY149" s="373"/>
      <c r="AZ149" s="390"/>
      <c r="BA149" s="390"/>
      <c r="BB149" s="391"/>
      <c r="BC149" s="392"/>
      <c r="BD149" s="393"/>
      <c r="BE149" s="393"/>
      <c r="BF149" s="393"/>
      <c r="BG149" s="394"/>
      <c r="BH149" s="395"/>
      <c r="BI149" s="374"/>
      <c r="BJ149" s="374"/>
      <c r="BK149" s="374"/>
      <c r="BL149" s="389"/>
      <c r="BM149" s="397"/>
      <c r="BN149" s="389"/>
      <c r="BO149" s="419" t="str">
        <f t="shared" si="60"/>
        <v/>
      </c>
      <c r="BP149" s="389"/>
      <c r="BQ149" s="397"/>
      <c r="BR149" s="419"/>
      <c r="BS149" s="419"/>
      <c r="BT149" s="419"/>
      <c r="BU149" s="432"/>
      <c r="BV149" s="419"/>
      <c r="BW149" s="419"/>
      <c r="BX149" s="419"/>
      <c r="BY149" s="389"/>
      <c r="BZ149" s="389"/>
      <c r="CA149" s="389"/>
      <c r="CB149" s="389"/>
      <c r="CC149" s="389"/>
      <c r="CD149" s="389"/>
      <c r="CE149" s="389"/>
      <c r="CF149" s="389"/>
      <c r="CG149" s="389"/>
      <c r="CH149" s="389"/>
      <c r="CI149" s="389"/>
      <c r="CJ149" s="422"/>
      <c r="CK149" s="422"/>
      <c r="CL149" s="422"/>
      <c r="CM149" s="422"/>
      <c r="CN149" s="422"/>
      <c r="CO149" s="422"/>
      <c r="CP149" s="422"/>
      <c r="CQ149" s="432"/>
      <c r="CR149" s="431" t="str">
        <f t="shared" si="72"/>
        <v/>
      </c>
      <c r="CS149" s="35" t="str">
        <f t="shared" si="73"/>
        <v>Direct or WHSE.</v>
      </c>
      <c r="CT149" s="411"/>
      <c r="CW149" s="153" t="str">
        <f t="shared" si="39"/>
        <v/>
      </c>
      <c r="CX149" s="153" t="str">
        <f t="shared" si="40"/>
        <v/>
      </c>
      <c r="CY149" s="153" t="str">
        <f t="shared" si="74"/>
        <v/>
      </c>
    </row>
    <row r="150" spans="1:103" ht="19.5" customHeight="1">
      <c r="A150" s="10">
        <v>128</v>
      </c>
      <c r="B150" s="373"/>
      <c r="C150" s="373"/>
      <c r="D150" s="396"/>
      <c r="E150" s="375"/>
      <c r="F150" s="373"/>
      <c r="G150" s="373"/>
      <c r="H150" s="376"/>
      <c r="I150" s="377"/>
      <c r="J150" s="378"/>
      <c r="K150" s="379"/>
      <c r="L150" s="374"/>
      <c r="M150" s="380" t="str">
        <f t="shared" ca="1" si="42"/>
        <v/>
      </c>
      <c r="N150" s="373"/>
      <c r="O150" s="381"/>
      <c r="P150" s="381"/>
      <c r="Q150" s="382"/>
      <c r="R150" s="381"/>
      <c r="S150" s="383"/>
      <c r="T150" s="384" t="str">
        <f t="shared" si="43"/>
        <v/>
      </c>
      <c r="U150" s="385"/>
      <c r="V150" s="384" t="str">
        <f t="shared" si="44"/>
        <v/>
      </c>
      <c r="W150" s="386"/>
      <c r="X150" s="386" t="str">
        <f t="shared" si="45"/>
        <v/>
      </c>
      <c r="Y150" s="386" t="str">
        <f t="shared" si="61"/>
        <v/>
      </c>
      <c r="Z150" s="386" t="str">
        <f t="shared" si="62"/>
        <v/>
      </c>
      <c r="AA150" s="387"/>
      <c r="AB150" s="386" t="str">
        <f t="shared" si="63"/>
        <v/>
      </c>
      <c r="AC150" s="386" t="str">
        <f t="shared" si="64"/>
        <v/>
      </c>
      <c r="AD150" s="386" t="str">
        <f t="shared" si="65"/>
        <v/>
      </c>
      <c r="AE150" s="386" t="str">
        <f t="shared" si="66"/>
        <v/>
      </c>
      <c r="AF150" s="386" t="str">
        <f t="shared" si="67"/>
        <v/>
      </c>
      <c r="AG150" s="386" t="str">
        <f t="shared" si="68"/>
        <v/>
      </c>
      <c r="AH150" s="386" t="str">
        <f t="shared" si="69"/>
        <v/>
      </c>
      <c r="AI150" s="386" t="str">
        <f t="shared" si="55"/>
        <v/>
      </c>
      <c r="AJ150" s="386" t="str">
        <f t="shared" si="56"/>
        <v/>
      </c>
      <c r="AK150" s="386" t="str">
        <f t="shared" si="57"/>
        <v/>
      </c>
      <c r="AL150" s="388"/>
      <c r="AM150" s="388"/>
      <c r="AN150" s="388"/>
      <c r="AO150" s="388"/>
      <c r="AP150" s="402" t="str">
        <f t="shared" si="70"/>
        <v/>
      </c>
      <c r="AQ150" s="388"/>
      <c r="AR150" s="388"/>
      <c r="AS150" s="388"/>
      <c r="AT150" s="388"/>
      <c r="AU150" s="402" t="str">
        <f t="shared" si="71"/>
        <v/>
      </c>
      <c r="AV150" s="389"/>
      <c r="AW150" s="381"/>
      <c r="AX150" s="381"/>
      <c r="AY150" s="373"/>
      <c r="AZ150" s="390"/>
      <c r="BA150" s="390"/>
      <c r="BB150" s="391"/>
      <c r="BC150" s="392"/>
      <c r="BD150" s="393"/>
      <c r="BE150" s="393"/>
      <c r="BF150" s="393"/>
      <c r="BG150" s="394"/>
      <c r="BH150" s="395"/>
      <c r="BI150" s="374"/>
      <c r="BJ150" s="374"/>
      <c r="BK150" s="374"/>
      <c r="BL150" s="389"/>
      <c r="BM150" s="397"/>
      <c r="BN150" s="389"/>
      <c r="BO150" s="419" t="str">
        <f t="shared" si="60"/>
        <v/>
      </c>
      <c r="BP150" s="389"/>
      <c r="BQ150" s="397"/>
      <c r="BR150" s="419"/>
      <c r="BS150" s="419"/>
      <c r="BT150" s="419"/>
      <c r="BU150" s="432"/>
      <c r="BV150" s="419"/>
      <c r="BW150" s="419"/>
      <c r="BX150" s="419"/>
      <c r="BY150" s="389"/>
      <c r="BZ150" s="389"/>
      <c r="CA150" s="389"/>
      <c r="CB150" s="389"/>
      <c r="CC150" s="389"/>
      <c r="CD150" s="389"/>
      <c r="CE150" s="389"/>
      <c r="CF150" s="389"/>
      <c r="CG150" s="389"/>
      <c r="CH150" s="389"/>
      <c r="CI150" s="389"/>
      <c r="CJ150" s="422"/>
      <c r="CK150" s="422"/>
      <c r="CL150" s="422"/>
      <c r="CM150" s="422"/>
      <c r="CN150" s="422"/>
      <c r="CO150" s="422"/>
      <c r="CP150" s="422"/>
      <c r="CQ150" s="432"/>
      <c r="CR150" s="431" t="str">
        <f t="shared" si="72"/>
        <v/>
      </c>
      <c r="CS150" s="35" t="str">
        <f t="shared" si="73"/>
        <v>Direct or WHSE.</v>
      </c>
      <c r="CT150" s="411"/>
      <c r="CW150" s="153" t="str">
        <f t="shared" si="39"/>
        <v/>
      </c>
      <c r="CX150" s="153" t="str">
        <f t="shared" si="40"/>
        <v/>
      </c>
      <c r="CY150" s="153" t="str">
        <f t="shared" si="74"/>
        <v/>
      </c>
    </row>
    <row r="151" spans="1:103" ht="19.5" customHeight="1">
      <c r="A151" s="10">
        <v>129</v>
      </c>
      <c r="B151" s="373"/>
      <c r="C151" s="373"/>
      <c r="D151" s="396"/>
      <c r="E151" s="375"/>
      <c r="F151" s="373"/>
      <c r="G151" s="373"/>
      <c r="H151" s="376"/>
      <c r="I151" s="377"/>
      <c r="J151" s="378"/>
      <c r="K151" s="379"/>
      <c r="L151" s="374"/>
      <c r="M151" s="380" t="str">
        <f t="shared" ca="1" si="42"/>
        <v/>
      </c>
      <c r="N151" s="373"/>
      <c r="O151" s="381"/>
      <c r="P151" s="381"/>
      <c r="Q151" s="382"/>
      <c r="R151" s="381"/>
      <c r="S151" s="383"/>
      <c r="T151" s="384" t="str">
        <f t="shared" si="43"/>
        <v/>
      </c>
      <c r="U151" s="385"/>
      <c r="V151" s="384" t="str">
        <f t="shared" si="44"/>
        <v/>
      </c>
      <c r="W151" s="386"/>
      <c r="X151" s="386" t="str">
        <f t="shared" si="45"/>
        <v/>
      </c>
      <c r="Y151" s="386" t="str">
        <f t="shared" si="61"/>
        <v/>
      </c>
      <c r="Z151" s="386" t="str">
        <f t="shared" si="62"/>
        <v/>
      </c>
      <c r="AA151" s="387"/>
      <c r="AB151" s="386" t="str">
        <f t="shared" si="63"/>
        <v/>
      </c>
      <c r="AC151" s="386" t="str">
        <f t="shared" si="64"/>
        <v/>
      </c>
      <c r="AD151" s="386" t="str">
        <f t="shared" si="65"/>
        <v/>
      </c>
      <c r="AE151" s="386" t="str">
        <f t="shared" si="66"/>
        <v/>
      </c>
      <c r="AF151" s="386" t="str">
        <f t="shared" si="67"/>
        <v/>
      </c>
      <c r="AG151" s="386" t="str">
        <f t="shared" si="68"/>
        <v/>
      </c>
      <c r="AH151" s="386" t="str">
        <f t="shared" si="69"/>
        <v/>
      </c>
      <c r="AI151" s="386" t="str">
        <f t="shared" si="55"/>
        <v/>
      </c>
      <c r="AJ151" s="386" t="str">
        <f t="shared" si="56"/>
        <v/>
      </c>
      <c r="AK151" s="386" t="str">
        <f t="shared" si="57"/>
        <v/>
      </c>
      <c r="AL151" s="388"/>
      <c r="AM151" s="388"/>
      <c r="AN151" s="388"/>
      <c r="AO151" s="388"/>
      <c r="AP151" s="402" t="str">
        <f t="shared" si="70"/>
        <v/>
      </c>
      <c r="AQ151" s="388"/>
      <c r="AR151" s="388"/>
      <c r="AS151" s="388"/>
      <c r="AT151" s="388"/>
      <c r="AU151" s="402" t="str">
        <f t="shared" si="71"/>
        <v/>
      </c>
      <c r="AV151" s="389"/>
      <c r="AW151" s="381"/>
      <c r="AX151" s="381"/>
      <c r="AY151" s="373"/>
      <c r="AZ151" s="390"/>
      <c r="BA151" s="390"/>
      <c r="BB151" s="391"/>
      <c r="BC151" s="392"/>
      <c r="BD151" s="393"/>
      <c r="BE151" s="393"/>
      <c r="BF151" s="393"/>
      <c r="BG151" s="394"/>
      <c r="BH151" s="395"/>
      <c r="BI151" s="374"/>
      <c r="BJ151" s="374"/>
      <c r="BK151" s="374"/>
      <c r="BL151" s="389"/>
      <c r="BM151" s="397"/>
      <c r="BN151" s="389"/>
      <c r="BO151" s="419" t="str">
        <f t="shared" si="60"/>
        <v/>
      </c>
      <c r="BP151" s="389"/>
      <c r="BQ151" s="397"/>
      <c r="BR151" s="419"/>
      <c r="BS151" s="419"/>
      <c r="BT151" s="419"/>
      <c r="BU151" s="432"/>
      <c r="BV151" s="419"/>
      <c r="BW151" s="419"/>
      <c r="BX151" s="419"/>
      <c r="BY151" s="389"/>
      <c r="BZ151" s="389"/>
      <c r="CA151" s="389"/>
      <c r="CB151" s="389"/>
      <c r="CC151" s="389"/>
      <c r="CD151" s="389"/>
      <c r="CE151" s="389"/>
      <c r="CF151" s="389"/>
      <c r="CG151" s="389"/>
      <c r="CH151" s="389"/>
      <c r="CI151" s="389"/>
      <c r="CJ151" s="422"/>
      <c r="CK151" s="422"/>
      <c r="CL151" s="422"/>
      <c r="CM151" s="422"/>
      <c r="CN151" s="422"/>
      <c r="CO151" s="422"/>
      <c r="CP151" s="422"/>
      <c r="CQ151" s="432"/>
      <c r="CR151" s="431" t="str">
        <f t="shared" si="72"/>
        <v/>
      </c>
      <c r="CS151" s="35" t="str">
        <f t="shared" si="73"/>
        <v>Direct or WHSE.</v>
      </c>
      <c r="CT151" s="411"/>
      <c r="CW151" s="153" t="str">
        <f t="shared" ref="CW151:CX214" si="75">IF(W151="","",MOD(W151,1))</f>
        <v/>
      </c>
      <c r="CX151" s="153" t="str">
        <f t="shared" si="75"/>
        <v/>
      </c>
      <c r="CY151" s="153" t="str">
        <f t="shared" si="74"/>
        <v/>
      </c>
    </row>
    <row r="152" spans="1:103" ht="19.5" customHeight="1">
      <c r="A152" s="10">
        <v>130</v>
      </c>
      <c r="B152" s="373"/>
      <c r="C152" s="373"/>
      <c r="D152" s="396"/>
      <c r="E152" s="375"/>
      <c r="F152" s="373"/>
      <c r="G152" s="373"/>
      <c r="H152" s="376"/>
      <c r="I152" s="377"/>
      <c r="J152" s="378"/>
      <c r="K152" s="379"/>
      <c r="L152" s="374"/>
      <c r="M152" s="380" t="str">
        <f t="shared" ca="1" si="42"/>
        <v/>
      </c>
      <c r="N152" s="373"/>
      <c r="O152" s="381"/>
      <c r="P152" s="381"/>
      <c r="Q152" s="382"/>
      <c r="R152" s="381"/>
      <c r="S152" s="383"/>
      <c r="T152" s="384" t="str">
        <f t="shared" si="43"/>
        <v/>
      </c>
      <c r="U152" s="385"/>
      <c r="V152" s="384" t="str">
        <f t="shared" si="44"/>
        <v/>
      </c>
      <c r="W152" s="386"/>
      <c r="X152" s="386" t="str">
        <f t="shared" si="45"/>
        <v/>
      </c>
      <c r="Y152" s="386" t="str">
        <f t="shared" si="61"/>
        <v/>
      </c>
      <c r="Z152" s="386" t="str">
        <f t="shared" si="62"/>
        <v/>
      </c>
      <c r="AA152" s="387"/>
      <c r="AB152" s="386" t="str">
        <f t="shared" si="63"/>
        <v/>
      </c>
      <c r="AC152" s="386" t="str">
        <f t="shared" si="64"/>
        <v/>
      </c>
      <c r="AD152" s="386" t="str">
        <f t="shared" si="65"/>
        <v/>
      </c>
      <c r="AE152" s="386" t="str">
        <f t="shared" si="66"/>
        <v/>
      </c>
      <c r="AF152" s="386" t="str">
        <f t="shared" si="67"/>
        <v/>
      </c>
      <c r="AG152" s="386" t="str">
        <f t="shared" si="68"/>
        <v/>
      </c>
      <c r="AH152" s="386" t="str">
        <f t="shared" si="69"/>
        <v/>
      </c>
      <c r="AI152" s="386" t="str">
        <f t="shared" si="55"/>
        <v/>
      </c>
      <c r="AJ152" s="386" t="str">
        <f t="shared" si="56"/>
        <v/>
      </c>
      <c r="AK152" s="386" t="str">
        <f t="shared" si="57"/>
        <v/>
      </c>
      <c r="AL152" s="388"/>
      <c r="AM152" s="388"/>
      <c r="AN152" s="388"/>
      <c r="AO152" s="388"/>
      <c r="AP152" s="402" t="str">
        <f t="shared" si="70"/>
        <v/>
      </c>
      <c r="AQ152" s="388"/>
      <c r="AR152" s="388"/>
      <c r="AS152" s="388"/>
      <c r="AT152" s="388"/>
      <c r="AU152" s="402" t="str">
        <f t="shared" si="71"/>
        <v/>
      </c>
      <c r="AV152" s="389"/>
      <c r="AW152" s="381"/>
      <c r="AX152" s="381"/>
      <c r="AY152" s="373"/>
      <c r="AZ152" s="390"/>
      <c r="BA152" s="390"/>
      <c r="BB152" s="391"/>
      <c r="BC152" s="392"/>
      <c r="BD152" s="393"/>
      <c r="BE152" s="393"/>
      <c r="BF152" s="393"/>
      <c r="BG152" s="394"/>
      <c r="BH152" s="395"/>
      <c r="BI152" s="374"/>
      <c r="BJ152" s="374"/>
      <c r="BK152" s="374"/>
      <c r="BL152" s="389"/>
      <c r="BM152" s="397"/>
      <c r="BN152" s="389"/>
      <c r="BO152" s="419" t="str">
        <f t="shared" si="60"/>
        <v/>
      </c>
      <c r="BP152" s="389"/>
      <c r="BQ152" s="397"/>
      <c r="BR152" s="419"/>
      <c r="BS152" s="419"/>
      <c r="BT152" s="419"/>
      <c r="BU152" s="432"/>
      <c r="BV152" s="419"/>
      <c r="BW152" s="419"/>
      <c r="BX152" s="419"/>
      <c r="BY152" s="389"/>
      <c r="BZ152" s="389"/>
      <c r="CA152" s="389"/>
      <c r="CB152" s="389"/>
      <c r="CC152" s="389"/>
      <c r="CD152" s="389"/>
      <c r="CE152" s="389"/>
      <c r="CF152" s="389"/>
      <c r="CG152" s="389"/>
      <c r="CH152" s="389"/>
      <c r="CI152" s="389"/>
      <c r="CJ152" s="422"/>
      <c r="CK152" s="422"/>
      <c r="CL152" s="422"/>
      <c r="CM152" s="422"/>
      <c r="CN152" s="422"/>
      <c r="CO152" s="422"/>
      <c r="CP152" s="422"/>
      <c r="CQ152" s="432"/>
      <c r="CR152" s="431" t="str">
        <f t="shared" si="72"/>
        <v/>
      </c>
      <c r="CS152" s="35" t="str">
        <f t="shared" si="73"/>
        <v>Direct or WHSE.</v>
      </c>
      <c r="CT152" s="411"/>
      <c r="CW152" s="153" t="str">
        <f t="shared" si="75"/>
        <v/>
      </c>
      <c r="CX152" s="153" t="str">
        <f t="shared" si="75"/>
        <v/>
      </c>
      <c r="CY152" s="153" t="str">
        <f t="shared" si="74"/>
        <v/>
      </c>
    </row>
    <row r="153" spans="1:103" ht="19.5" customHeight="1">
      <c r="A153" s="10">
        <v>131</v>
      </c>
      <c r="B153" s="373"/>
      <c r="C153" s="373"/>
      <c r="D153" s="396"/>
      <c r="E153" s="375"/>
      <c r="F153" s="373"/>
      <c r="G153" s="373"/>
      <c r="H153" s="376"/>
      <c r="I153" s="377"/>
      <c r="J153" s="378"/>
      <c r="K153" s="379"/>
      <c r="L153" s="374"/>
      <c r="M153" s="380" t="str">
        <f t="shared" ref="M153:M216" ca="1" si="76">IF(L153="","",TODAY()+L153+14)</f>
        <v/>
      </c>
      <c r="N153" s="373"/>
      <c r="O153" s="381"/>
      <c r="P153" s="381"/>
      <c r="Q153" s="382"/>
      <c r="R153" s="381"/>
      <c r="S153" s="383"/>
      <c r="T153" s="384" t="str">
        <f t="shared" ref="T153:T216" si="77">IF(S153="","",IF(AND(IF($N$5="C",1,0),IF(C153&lt;&gt;"C",1,0))=1,S153+$U$8,S153))</f>
        <v/>
      </c>
      <c r="U153" s="385"/>
      <c r="V153" s="384" t="str">
        <f t="shared" ref="V153:V216" si="78">IF(U153="","",IF(AND(IF($N$5="C",1,0),IF(C153&lt;&gt;"C",1,0))=1,U153+$U$8,U153))</f>
        <v/>
      </c>
      <c r="W153" s="386"/>
      <c r="X153" s="386" t="str">
        <f t="shared" ref="X153:X216" si="79">IF(W153="","",W153)</f>
        <v/>
      </c>
      <c r="Y153" s="386" t="str">
        <f t="shared" si="61"/>
        <v/>
      </c>
      <c r="Z153" s="386" t="str">
        <f t="shared" si="62"/>
        <v/>
      </c>
      <c r="AA153" s="387"/>
      <c r="AB153" s="386" t="str">
        <f t="shared" si="63"/>
        <v/>
      </c>
      <c r="AC153" s="386" t="str">
        <f t="shared" si="64"/>
        <v/>
      </c>
      <c r="AD153" s="386" t="str">
        <f t="shared" si="65"/>
        <v/>
      </c>
      <c r="AE153" s="386" t="str">
        <f t="shared" si="66"/>
        <v/>
      </c>
      <c r="AF153" s="386" t="str">
        <f t="shared" si="67"/>
        <v/>
      </c>
      <c r="AG153" s="386" t="str">
        <f t="shared" si="68"/>
        <v/>
      </c>
      <c r="AH153" s="386" t="str">
        <f t="shared" si="69"/>
        <v/>
      </c>
      <c r="AI153" s="386" t="str">
        <f t="shared" ref="AI153:AI216" si="80">IF(W153="","",W153)</f>
        <v/>
      </c>
      <c r="AJ153" s="386" t="str">
        <f t="shared" ref="AJ153:AJ216" si="81">IF(W153="","",W153)</f>
        <v/>
      </c>
      <c r="AK153" s="386" t="str">
        <f t="shared" ref="AK153:AK216" si="82">IF(Z153="","",Z153)</f>
        <v/>
      </c>
      <c r="AL153" s="388"/>
      <c r="AM153" s="388"/>
      <c r="AN153" s="388"/>
      <c r="AO153" s="388"/>
      <c r="AP153" s="402" t="str">
        <f t="shared" si="70"/>
        <v/>
      </c>
      <c r="AQ153" s="388"/>
      <c r="AR153" s="388"/>
      <c r="AS153" s="388"/>
      <c r="AT153" s="388"/>
      <c r="AU153" s="402" t="str">
        <f t="shared" si="71"/>
        <v/>
      </c>
      <c r="AV153" s="389"/>
      <c r="AW153" s="381"/>
      <c r="AX153" s="381"/>
      <c r="AY153" s="373"/>
      <c r="AZ153" s="390"/>
      <c r="BA153" s="390"/>
      <c r="BB153" s="391"/>
      <c r="BC153" s="392"/>
      <c r="BD153" s="393"/>
      <c r="BE153" s="393"/>
      <c r="BF153" s="393"/>
      <c r="BG153" s="394"/>
      <c r="BH153" s="395"/>
      <c r="BI153" s="374"/>
      <c r="BJ153" s="374"/>
      <c r="BK153" s="374"/>
      <c r="BL153" s="389"/>
      <c r="BM153" s="397"/>
      <c r="BN153" s="389"/>
      <c r="BO153" s="419" t="str">
        <f t="shared" ref="BO153:BO216" si="83">IF(I153="","",I153)</f>
        <v/>
      </c>
      <c r="BP153" s="389"/>
      <c r="BQ153" s="397"/>
      <c r="BR153" s="419"/>
      <c r="BS153" s="419"/>
      <c r="BT153" s="419"/>
      <c r="BU153" s="432"/>
      <c r="BV153" s="419"/>
      <c r="BW153" s="419"/>
      <c r="BX153" s="419"/>
      <c r="BY153" s="389"/>
      <c r="BZ153" s="389"/>
      <c r="CA153" s="389"/>
      <c r="CB153" s="389"/>
      <c r="CC153" s="389"/>
      <c r="CD153" s="389"/>
      <c r="CE153" s="389"/>
      <c r="CF153" s="389"/>
      <c r="CG153" s="389"/>
      <c r="CH153" s="389"/>
      <c r="CI153" s="389"/>
      <c r="CJ153" s="422"/>
      <c r="CK153" s="422"/>
      <c r="CL153" s="422"/>
      <c r="CM153" s="422"/>
      <c r="CN153" s="422"/>
      <c r="CO153" s="422"/>
      <c r="CP153" s="422"/>
      <c r="CQ153" s="432"/>
      <c r="CR153" s="431" t="str">
        <f t="shared" si="72"/>
        <v/>
      </c>
      <c r="CS153" s="35" t="str">
        <f t="shared" si="73"/>
        <v>Direct or WHSE.</v>
      </c>
      <c r="CT153" s="411"/>
      <c r="CW153" s="153" t="str">
        <f t="shared" si="75"/>
        <v/>
      </c>
      <c r="CX153" s="153" t="str">
        <f t="shared" si="75"/>
        <v/>
      </c>
      <c r="CY153" s="153" t="str">
        <f t="shared" si="74"/>
        <v/>
      </c>
    </row>
    <row r="154" spans="1:103" ht="19.5" customHeight="1">
      <c r="A154" s="10">
        <v>132</v>
      </c>
      <c r="B154" s="373"/>
      <c r="C154" s="373"/>
      <c r="D154" s="396"/>
      <c r="E154" s="375"/>
      <c r="F154" s="373"/>
      <c r="G154" s="373"/>
      <c r="H154" s="376"/>
      <c r="I154" s="377"/>
      <c r="J154" s="378"/>
      <c r="K154" s="379"/>
      <c r="L154" s="374"/>
      <c r="M154" s="380" t="str">
        <f t="shared" ca="1" si="76"/>
        <v/>
      </c>
      <c r="N154" s="373"/>
      <c r="O154" s="381"/>
      <c r="P154" s="381"/>
      <c r="Q154" s="382"/>
      <c r="R154" s="381"/>
      <c r="S154" s="383"/>
      <c r="T154" s="384" t="str">
        <f t="shared" si="77"/>
        <v/>
      </c>
      <c r="U154" s="385"/>
      <c r="V154" s="384" t="str">
        <f t="shared" si="78"/>
        <v/>
      </c>
      <c r="W154" s="386"/>
      <c r="X154" s="386" t="str">
        <f t="shared" si="79"/>
        <v/>
      </c>
      <c r="Y154" s="386" t="str">
        <f t="shared" si="61"/>
        <v/>
      </c>
      <c r="Z154" s="386" t="str">
        <f t="shared" si="62"/>
        <v/>
      </c>
      <c r="AA154" s="387"/>
      <c r="AB154" s="386" t="str">
        <f t="shared" si="63"/>
        <v/>
      </c>
      <c r="AC154" s="386" t="str">
        <f t="shared" si="64"/>
        <v/>
      </c>
      <c r="AD154" s="386" t="str">
        <f t="shared" si="65"/>
        <v/>
      </c>
      <c r="AE154" s="386" t="str">
        <f t="shared" si="66"/>
        <v/>
      </c>
      <c r="AF154" s="386" t="str">
        <f t="shared" si="67"/>
        <v/>
      </c>
      <c r="AG154" s="386" t="str">
        <f t="shared" si="68"/>
        <v/>
      </c>
      <c r="AH154" s="386" t="str">
        <f t="shared" si="69"/>
        <v/>
      </c>
      <c r="AI154" s="386" t="str">
        <f t="shared" si="80"/>
        <v/>
      </c>
      <c r="AJ154" s="386" t="str">
        <f t="shared" si="81"/>
        <v/>
      </c>
      <c r="AK154" s="386" t="str">
        <f t="shared" si="82"/>
        <v/>
      </c>
      <c r="AL154" s="388"/>
      <c r="AM154" s="388"/>
      <c r="AN154" s="388"/>
      <c r="AO154" s="388"/>
      <c r="AP154" s="402" t="str">
        <f t="shared" si="70"/>
        <v/>
      </c>
      <c r="AQ154" s="388"/>
      <c r="AR154" s="388"/>
      <c r="AS154" s="388"/>
      <c r="AT154" s="388"/>
      <c r="AU154" s="402" t="str">
        <f t="shared" si="71"/>
        <v/>
      </c>
      <c r="AV154" s="389"/>
      <c r="AW154" s="381"/>
      <c r="AX154" s="381"/>
      <c r="AY154" s="373"/>
      <c r="AZ154" s="390"/>
      <c r="BA154" s="390"/>
      <c r="BB154" s="391"/>
      <c r="BC154" s="392"/>
      <c r="BD154" s="393"/>
      <c r="BE154" s="393"/>
      <c r="BF154" s="393"/>
      <c r="BG154" s="394"/>
      <c r="BH154" s="395"/>
      <c r="BI154" s="374"/>
      <c r="BJ154" s="374"/>
      <c r="BK154" s="374"/>
      <c r="BL154" s="389"/>
      <c r="BM154" s="397"/>
      <c r="BN154" s="389"/>
      <c r="BO154" s="419" t="str">
        <f t="shared" si="83"/>
        <v/>
      </c>
      <c r="BP154" s="389"/>
      <c r="BQ154" s="397"/>
      <c r="BR154" s="419"/>
      <c r="BS154" s="419"/>
      <c r="BT154" s="419"/>
      <c r="BU154" s="432"/>
      <c r="BV154" s="419"/>
      <c r="BW154" s="419"/>
      <c r="BX154" s="419"/>
      <c r="BY154" s="389"/>
      <c r="BZ154" s="389"/>
      <c r="CA154" s="389"/>
      <c r="CB154" s="389"/>
      <c r="CC154" s="389"/>
      <c r="CD154" s="389"/>
      <c r="CE154" s="389"/>
      <c r="CF154" s="389"/>
      <c r="CG154" s="389"/>
      <c r="CH154" s="389"/>
      <c r="CI154" s="389"/>
      <c r="CJ154" s="422"/>
      <c r="CK154" s="422"/>
      <c r="CL154" s="422"/>
      <c r="CM154" s="422"/>
      <c r="CN154" s="422"/>
      <c r="CO154" s="422"/>
      <c r="CP154" s="422"/>
      <c r="CQ154" s="432"/>
      <c r="CR154" s="431" t="str">
        <f t="shared" si="72"/>
        <v/>
      </c>
      <c r="CS154" s="35" t="str">
        <f t="shared" si="73"/>
        <v>Direct or WHSE.</v>
      </c>
      <c r="CT154" s="411"/>
      <c r="CW154" s="153" t="str">
        <f t="shared" si="75"/>
        <v/>
      </c>
      <c r="CX154" s="153" t="str">
        <f t="shared" si="75"/>
        <v/>
      </c>
      <c r="CY154" s="153" t="str">
        <f t="shared" si="74"/>
        <v/>
      </c>
    </row>
    <row r="155" spans="1:103" ht="19.5" customHeight="1">
      <c r="A155" s="10">
        <v>133</v>
      </c>
      <c r="B155" s="373"/>
      <c r="C155" s="373"/>
      <c r="D155" s="396"/>
      <c r="E155" s="375"/>
      <c r="F155" s="373"/>
      <c r="G155" s="373"/>
      <c r="H155" s="376"/>
      <c r="I155" s="377"/>
      <c r="J155" s="378"/>
      <c r="K155" s="379"/>
      <c r="L155" s="374"/>
      <c r="M155" s="380" t="str">
        <f t="shared" ca="1" si="76"/>
        <v/>
      </c>
      <c r="N155" s="373"/>
      <c r="O155" s="381"/>
      <c r="P155" s="381"/>
      <c r="Q155" s="382"/>
      <c r="R155" s="381"/>
      <c r="S155" s="383"/>
      <c r="T155" s="384" t="str">
        <f t="shared" si="77"/>
        <v/>
      </c>
      <c r="U155" s="385"/>
      <c r="V155" s="384" t="str">
        <f t="shared" si="78"/>
        <v/>
      </c>
      <c r="W155" s="386"/>
      <c r="X155" s="386" t="str">
        <f t="shared" si="79"/>
        <v/>
      </c>
      <c r="Y155" s="386" t="str">
        <f t="shared" si="61"/>
        <v/>
      </c>
      <c r="Z155" s="386" t="str">
        <f t="shared" si="62"/>
        <v/>
      </c>
      <c r="AA155" s="387"/>
      <c r="AB155" s="386" t="str">
        <f t="shared" si="63"/>
        <v/>
      </c>
      <c r="AC155" s="386" t="str">
        <f t="shared" si="64"/>
        <v/>
      </c>
      <c r="AD155" s="386" t="str">
        <f t="shared" si="65"/>
        <v/>
      </c>
      <c r="AE155" s="386" t="str">
        <f t="shared" si="66"/>
        <v/>
      </c>
      <c r="AF155" s="386" t="str">
        <f t="shared" si="67"/>
        <v/>
      </c>
      <c r="AG155" s="386" t="str">
        <f t="shared" si="68"/>
        <v/>
      </c>
      <c r="AH155" s="386" t="str">
        <f t="shared" si="69"/>
        <v/>
      </c>
      <c r="AI155" s="386" t="str">
        <f t="shared" si="80"/>
        <v/>
      </c>
      <c r="AJ155" s="386" t="str">
        <f t="shared" si="81"/>
        <v/>
      </c>
      <c r="AK155" s="386" t="str">
        <f t="shared" si="82"/>
        <v/>
      </c>
      <c r="AL155" s="388"/>
      <c r="AM155" s="388"/>
      <c r="AN155" s="388"/>
      <c r="AO155" s="388"/>
      <c r="AP155" s="402" t="str">
        <f t="shared" si="70"/>
        <v/>
      </c>
      <c r="AQ155" s="388"/>
      <c r="AR155" s="388"/>
      <c r="AS155" s="388"/>
      <c r="AT155" s="388"/>
      <c r="AU155" s="402" t="str">
        <f t="shared" si="71"/>
        <v/>
      </c>
      <c r="AV155" s="389"/>
      <c r="AW155" s="381"/>
      <c r="AX155" s="381"/>
      <c r="AY155" s="373"/>
      <c r="AZ155" s="390"/>
      <c r="BA155" s="390"/>
      <c r="BB155" s="391"/>
      <c r="BC155" s="392"/>
      <c r="BD155" s="393"/>
      <c r="BE155" s="393"/>
      <c r="BF155" s="393"/>
      <c r="BG155" s="394"/>
      <c r="BH155" s="395"/>
      <c r="BI155" s="374"/>
      <c r="BJ155" s="374"/>
      <c r="BK155" s="374"/>
      <c r="BL155" s="389"/>
      <c r="BM155" s="397"/>
      <c r="BN155" s="389"/>
      <c r="BO155" s="419" t="str">
        <f t="shared" si="83"/>
        <v/>
      </c>
      <c r="BP155" s="389"/>
      <c r="BQ155" s="397"/>
      <c r="BR155" s="419"/>
      <c r="BS155" s="419"/>
      <c r="BT155" s="419"/>
      <c r="BU155" s="432"/>
      <c r="BV155" s="419"/>
      <c r="BW155" s="419"/>
      <c r="BX155" s="419"/>
      <c r="BY155" s="389"/>
      <c r="BZ155" s="389"/>
      <c r="CA155" s="389"/>
      <c r="CB155" s="389"/>
      <c r="CC155" s="389"/>
      <c r="CD155" s="389"/>
      <c r="CE155" s="389"/>
      <c r="CF155" s="389"/>
      <c r="CG155" s="389"/>
      <c r="CH155" s="389"/>
      <c r="CI155" s="389"/>
      <c r="CJ155" s="422"/>
      <c r="CK155" s="422"/>
      <c r="CL155" s="422"/>
      <c r="CM155" s="422"/>
      <c r="CN155" s="422"/>
      <c r="CO155" s="422"/>
      <c r="CP155" s="422"/>
      <c r="CQ155" s="432"/>
      <c r="CR155" s="431" t="str">
        <f t="shared" si="72"/>
        <v/>
      </c>
      <c r="CS155" s="35" t="str">
        <f t="shared" si="73"/>
        <v>Direct or WHSE.</v>
      </c>
      <c r="CT155" s="411"/>
      <c r="CW155" s="153" t="str">
        <f t="shared" si="75"/>
        <v/>
      </c>
      <c r="CX155" s="153" t="str">
        <f t="shared" si="75"/>
        <v/>
      </c>
      <c r="CY155" s="153" t="str">
        <f t="shared" si="74"/>
        <v/>
      </c>
    </row>
    <row r="156" spans="1:103" ht="19.5" customHeight="1">
      <c r="A156" s="10">
        <v>134</v>
      </c>
      <c r="B156" s="373"/>
      <c r="C156" s="373"/>
      <c r="D156" s="396"/>
      <c r="E156" s="375"/>
      <c r="F156" s="373"/>
      <c r="G156" s="373"/>
      <c r="H156" s="376"/>
      <c r="I156" s="377"/>
      <c r="J156" s="378"/>
      <c r="K156" s="379"/>
      <c r="L156" s="374"/>
      <c r="M156" s="380" t="str">
        <f t="shared" ca="1" si="76"/>
        <v/>
      </c>
      <c r="N156" s="373"/>
      <c r="O156" s="381"/>
      <c r="P156" s="381"/>
      <c r="Q156" s="382"/>
      <c r="R156" s="381"/>
      <c r="S156" s="383"/>
      <c r="T156" s="384" t="str">
        <f t="shared" si="77"/>
        <v/>
      </c>
      <c r="U156" s="385"/>
      <c r="V156" s="384" t="str">
        <f t="shared" si="78"/>
        <v/>
      </c>
      <c r="W156" s="386"/>
      <c r="X156" s="386" t="str">
        <f t="shared" si="79"/>
        <v/>
      </c>
      <c r="Y156" s="386" t="str">
        <f t="shared" si="61"/>
        <v/>
      </c>
      <c r="Z156" s="386" t="str">
        <f t="shared" si="62"/>
        <v/>
      </c>
      <c r="AA156" s="387"/>
      <c r="AB156" s="386" t="str">
        <f t="shared" si="63"/>
        <v/>
      </c>
      <c r="AC156" s="386" t="str">
        <f t="shared" si="64"/>
        <v/>
      </c>
      <c r="AD156" s="386" t="str">
        <f t="shared" si="65"/>
        <v/>
      </c>
      <c r="AE156" s="386" t="str">
        <f t="shared" si="66"/>
        <v/>
      </c>
      <c r="AF156" s="386" t="str">
        <f t="shared" si="67"/>
        <v/>
      </c>
      <c r="AG156" s="386" t="str">
        <f t="shared" si="68"/>
        <v/>
      </c>
      <c r="AH156" s="386" t="str">
        <f t="shared" si="69"/>
        <v/>
      </c>
      <c r="AI156" s="386" t="str">
        <f t="shared" si="80"/>
        <v/>
      </c>
      <c r="AJ156" s="386" t="str">
        <f t="shared" si="81"/>
        <v/>
      </c>
      <c r="AK156" s="386" t="str">
        <f t="shared" si="82"/>
        <v/>
      </c>
      <c r="AL156" s="388"/>
      <c r="AM156" s="388"/>
      <c r="AN156" s="388"/>
      <c r="AO156" s="388"/>
      <c r="AP156" s="402" t="str">
        <f t="shared" si="70"/>
        <v/>
      </c>
      <c r="AQ156" s="388"/>
      <c r="AR156" s="388"/>
      <c r="AS156" s="388"/>
      <c r="AT156" s="388"/>
      <c r="AU156" s="402" t="str">
        <f t="shared" si="71"/>
        <v/>
      </c>
      <c r="AV156" s="389"/>
      <c r="AW156" s="381"/>
      <c r="AX156" s="381"/>
      <c r="AY156" s="373"/>
      <c r="AZ156" s="390"/>
      <c r="BA156" s="390"/>
      <c r="BB156" s="391"/>
      <c r="BC156" s="392"/>
      <c r="BD156" s="393"/>
      <c r="BE156" s="393"/>
      <c r="BF156" s="393"/>
      <c r="BG156" s="394"/>
      <c r="BH156" s="395"/>
      <c r="BI156" s="374"/>
      <c r="BJ156" s="374"/>
      <c r="BK156" s="374"/>
      <c r="BL156" s="389"/>
      <c r="BM156" s="397"/>
      <c r="BN156" s="389"/>
      <c r="BO156" s="419" t="str">
        <f t="shared" si="83"/>
        <v/>
      </c>
      <c r="BP156" s="389"/>
      <c r="BQ156" s="397"/>
      <c r="BR156" s="419"/>
      <c r="BS156" s="419"/>
      <c r="BT156" s="419"/>
      <c r="BU156" s="432"/>
      <c r="BV156" s="419"/>
      <c r="BW156" s="419"/>
      <c r="BX156" s="419"/>
      <c r="BY156" s="389"/>
      <c r="BZ156" s="389"/>
      <c r="CA156" s="389"/>
      <c r="CB156" s="389"/>
      <c r="CC156" s="389"/>
      <c r="CD156" s="389"/>
      <c r="CE156" s="389"/>
      <c r="CF156" s="389"/>
      <c r="CG156" s="389"/>
      <c r="CH156" s="389"/>
      <c r="CI156" s="389"/>
      <c r="CJ156" s="422"/>
      <c r="CK156" s="422"/>
      <c r="CL156" s="422"/>
      <c r="CM156" s="422"/>
      <c r="CN156" s="422"/>
      <c r="CO156" s="422"/>
      <c r="CP156" s="422"/>
      <c r="CQ156" s="432"/>
      <c r="CR156" s="431" t="str">
        <f t="shared" si="72"/>
        <v/>
      </c>
      <c r="CS156" s="35" t="str">
        <f t="shared" si="73"/>
        <v>Direct or WHSE.</v>
      </c>
      <c r="CT156" s="411"/>
      <c r="CW156" s="153" t="str">
        <f t="shared" si="75"/>
        <v/>
      </c>
      <c r="CX156" s="153" t="str">
        <f t="shared" si="75"/>
        <v/>
      </c>
      <c r="CY156" s="153" t="str">
        <f t="shared" si="74"/>
        <v/>
      </c>
    </row>
    <row r="157" spans="1:103" ht="19.5" customHeight="1">
      <c r="A157" s="10">
        <v>135</v>
      </c>
      <c r="B157" s="373"/>
      <c r="C157" s="373"/>
      <c r="D157" s="396"/>
      <c r="E157" s="375"/>
      <c r="F157" s="373"/>
      <c r="G157" s="373"/>
      <c r="H157" s="376"/>
      <c r="I157" s="377"/>
      <c r="J157" s="378"/>
      <c r="K157" s="379"/>
      <c r="L157" s="374"/>
      <c r="M157" s="380" t="str">
        <f t="shared" ca="1" si="76"/>
        <v/>
      </c>
      <c r="N157" s="373"/>
      <c r="O157" s="381"/>
      <c r="P157" s="381"/>
      <c r="Q157" s="382"/>
      <c r="R157" s="381"/>
      <c r="S157" s="383"/>
      <c r="T157" s="384" t="str">
        <f t="shared" si="77"/>
        <v/>
      </c>
      <c r="U157" s="385"/>
      <c r="V157" s="384" t="str">
        <f t="shared" si="78"/>
        <v/>
      </c>
      <c r="W157" s="386"/>
      <c r="X157" s="386" t="str">
        <f t="shared" si="79"/>
        <v/>
      </c>
      <c r="Y157" s="386" t="str">
        <f t="shared" si="61"/>
        <v/>
      </c>
      <c r="Z157" s="386" t="str">
        <f t="shared" si="62"/>
        <v/>
      </c>
      <c r="AA157" s="387"/>
      <c r="AB157" s="386" t="str">
        <f t="shared" si="63"/>
        <v/>
      </c>
      <c r="AC157" s="386" t="str">
        <f t="shared" si="64"/>
        <v/>
      </c>
      <c r="AD157" s="386" t="str">
        <f t="shared" si="65"/>
        <v/>
      </c>
      <c r="AE157" s="386" t="str">
        <f t="shared" si="66"/>
        <v/>
      </c>
      <c r="AF157" s="386" t="str">
        <f t="shared" si="67"/>
        <v/>
      </c>
      <c r="AG157" s="386" t="str">
        <f t="shared" si="68"/>
        <v/>
      </c>
      <c r="AH157" s="386" t="str">
        <f t="shared" si="69"/>
        <v/>
      </c>
      <c r="AI157" s="386" t="str">
        <f t="shared" si="80"/>
        <v/>
      </c>
      <c r="AJ157" s="386" t="str">
        <f t="shared" si="81"/>
        <v/>
      </c>
      <c r="AK157" s="386" t="str">
        <f t="shared" si="82"/>
        <v/>
      </c>
      <c r="AL157" s="388"/>
      <c r="AM157" s="388"/>
      <c r="AN157" s="388"/>
      <c r="AO157" s="388"/>
      <c r="AP157" s="402" t="str">
        <f t="shared" si="70"/>
        <v/>
      </c>
      <c r="AQ157" s="388"/>
      <c r="AR157" s="388"/>
      <c r="AS157" s="388"/>
      <c r="AT157" s="388"/>
      <c r="AU157" s="402" t="str">
        <f t="shared" si="71"/>
        <v/>
      </c>
      <c r="AV157" s="389"/>
      <c r="AW157" s="381"/>
      <c r="AX157" s="381"/>
      <c r="AY157" s="373"/>
      <c r="AZ157" s="390"/>
      <c r="BA157" s="390"/>
      <c r="BB157" s="391"/>
      <c r="BC157" s="392"/>
      <c r="BD157" s="393"/>
      <c r="BE157" s="393"/>
      <c r="BF157" s="393"/>
      <c r="BG157" s="394"/>
      <c r="BH157" s="395"/>
      <c r="BI157" s="374"/>
      <c r="BJ157" s="374"/>
      <c r="BK157" s="374"/>
      <c r="BL157" s="389"/>
      <c r="BM157" s="397"/>
      <c r="BN157" s="389"/>
      <c r="BO157" s="419" t="str">
        <f t="shared" si="83"/>
        <v/>
      </c>
      <c r="BP157" s="389"/>
      <c r="BQ157" s="397"/>
      <c r="BR157" s="419"/>
      <c r="BS157" s="419"/>
      <c r="BT157" s="419"/>
      <c r="BU157" s="432"/>
      <c r="BV157" s="419"/>
      <c r="BW157" s="419"/>
      <c r="BX157" s="419"/>
      <c r="BY157" s="389"/>
      <c r="BZ157" s="389"/>
      <c r="CA157" s="389"/>
      <c r="CB157" s="389"/>
      <c r="CC157" s="389"/>
      <c r="CD157" s="389"/>
      <c r="CE157" s="389"/>
      <c r="CF157" s="389"/>
      <c r="CG157" s="389"/>
      <c r="CH157" s="389"/>
      <c r="CI157" s="389"/>
      <c r="CJ157" s="422"/>
      <c r="CK157" s="422"/>
      <c r="CL157" s="422"/>
      <c r="CM157" s="422"/>
      <c r="CN157" s="422"/>
      <c r="CO157" s="422"/>
      <c r="CP157" s="422"/>
      <c r="CQ157" s="432"/>
      <c r="CR157" s="431" t="str">
        <f t="shared" si="72"/>
        <v/>
      </c>
      <c r="CS157" s="35" t="str">
        <f t="shared" si="73"/>
        <v>Direct or WHSE.</v>
      </c>
      <c r="CT157" s="411"/>
      <c r="CW157" s="153" t="str">
        <f t="shared" si="75"/>
        <v/>
      </c>
      <c r="CX157" s="153" t="str">
        <f t="shared" si="75"/>
        <v/>
      </c>
      <c r="CY157" s="153" t="str">
        <f t="shared" si="74"/>
        <v/>
      </c>
    </row>
    <row r="158" spans="1:103" ht="19.5" customHeight="1">
      <c r="A158" s="10">
        <v>136</v>
      </c>
      <c r="B158" s="373"/>
      <c r="C158" s="373"/>
      <c r="D158" s="396"/>
      <c r="E158" s="375"/>
      <c r="F158" s="373"/>
      <c r="G158" s="373"/>
      <c r="H158" s="376"/>
      <c r="I158" s="377"/>
      <c r="J158" s="378"/>
      <c r="K158" s="379"/>
      <c r="L158" s="374"/>
      <c r="M158" s="380" t="str">
        <f t="shared" ca="1" si="76"/>
        <v/>
      </c>
      <c r="N158" s="373"/>
      <c r="O158" s="381"/>
      <c r="P158" s="381"/>
      <c r="Q158" s="382"/>
      <c r="R158" s="381"/>
      <c r="S158" s="383"/>
      <c r="T158" s="384" t="str">
        <f t="shared" si="77"/>
        <v/>
      </c>
      <c r="U158" s="385"/>
      <c r="V158" s="384" t="str">
        <f t="shared" si="78"/>
        <v/>
      </c>
      <c r="W158" s="386"/>
      <c r="X158" s="386" t="str">
        <f t="shared" si="79"/>
        <v/>
      </c>
      <c r="Y158" s="386" t="str">
        <f t="shared" si="61"/>
        <v/>
      </c>
      <c r="Z158" s="386" t="str">
        <f t="shared" si="62"/>
        <v/>
      </c>
      <c r="AA158" s="387"/>
      <c r="AB158" s="386" t="str">
        <f t="shared" si="63"/>
        <v/>
      </c>
      <c r="AC158" s="386" t="str">
        <f t="shared" si="64"/>
        <v/>
      </c>
      <c r="AD158" s="386" t="str">
        <f t="shared" si="65"/>
        <v/>
      </c>
      <c r="AE158" s="386" t="str">
        <f t="shared" si="66"/>
        <v/>
      </c>
      <c r="AF158" s="386" t="str">
        <f t="shared" si="67"/>
        <v/>
      </c>
      <c r="AG158" s="386" t="str">
        <f t="shared" si="68"/>
        <v/>
      </c>
      <c r="AH158" s="386" t="str">
        <f t="shared" si="69"/>
        <v/>
      </c>
      <c r="AI158" s="386" t="str">
        <f t="shared" si="80"/>
        <v/>
      </c>
      <c r="AJ158" s="386" t="str">
        <f t="shared" si="81"/>
        <v/>
      </c>
      <c r="AK158" s="386" t="str">
        <f t="shared" si="82"/>
        <v/>
      </c>
      <c r="AL158" s="388"/>
      <c r="AM158" s="388"/>
      <c r="AN158" s="388"/>
      <c r="AO158" s="388"/>
      <c r="AP158" s="402" t="str">
        <f t="shared" si="70"/>
        <v/>
      </c>
      <c r="AQ158" s="388"/>
      <c r="AR158" s="388"/>
      <c r="AS158" s="388"/>
      <c r="AT158" s="388"/>
      <c r="AU158" s="402" t="str">
        <f t="shared" si="71"/>
        <v/>
      </c>
      <c r="AV158" s="389"/>
      <c r="AW158" s="381"/>
      <c r="AX158" s="381"/>
      <c r="AY158" s="373"/>
      <c r="AZ158" s="390"/>
      <c r="BA158" s="390"/>
      <c r="BB158" s="391"/>
      <c r="BC158" s="392"/>
      <c r="BD158" s="393"/>
      <c r="BE158" s="393"/>
      <c r="BF158" s="393"/>
      <c r="BG158" s="394"/>
      <c r="BH158" s="395"/>
      <c r="BI158" s="374"/>
      <c r="BJ158" s="374"/>
      <c r="BK158" s="374"/>
      <c r="BL158" s="389"/>
      <c r="BM158" s="397"/>
      <c r="BN158" s="389"/>
      <c r="BO158" s="419" t="str">
        <f t="shared" si="83"/>
        <v/>
      </c>
      <c r="BP158" s="389"/>
      <c r="BQ158" s="397"/>
      <c r="BR158" s="419"/>
      <c r="BS158" s="419"/>
      <c r="BT158" s="419"/>
      <c r="BU158" s="432"/>
      <c r="BV158" s="419"/>
      <c r="BW158" s="419"/>
      <c r="BX158" s="419"/>
      <c r="BY158" s="389"/>
      <c r="BZ158" s="389"/>
      <c r="CA158" s="389"/>
      <c r="CB158" s="389"/>
      <c r="CC158" s="389"/>
      <c r="CD158" s="389"/>
      <c r="CE158" s="389"/>
      <c r="CF158" s="389"/>
      <c r="CG158" s="389"/>
      <c r="CH158" s="389"/>
      <c r="CI158" s="389"/>
      <c r="CJ158" s="422"/>
      <c r="CK158" s="422"/>
      <c r="CL158" s="422"/>
      <c r="CM158" s="422"/>
      <c r="CN158" s="422"/>
      <c r="CO158" s="422"/>
      <c r="CP158" s="422"/>
      <c r="CQ158" s="432"/>
      <c r="CR158" s="431" t="str">
        <f t="shared" si="72"/>
        <v/>
      </c>
      <c r="CS158" s="35" t="str">
        <f t="shared" si="73"/>
        <v>Direct or WHSE.</v>
      </c>
      <c r="CT158" s="411"/>
      <c r="CW158" s="153" t="str">
        <f t="shared" si="75"/>
        <v/>
      </c>
      <c r="CX158" s="153" t="str">
        <f t="shared" si="75"/>
        <v/>
      </c>
      <c r="CY158" s="153" t="str">
        <f t="shared" si="74"/>
        <v/>
      </c>
    </row>
    <row r="159" spans="1:103" ht="19.5" customHeight="1">
      <c r="A159" s="10">
        <v>137</v>
      </c>
      <c r="B159" s="373"/>
      <c r="C159" s="373"/>
      <c r="D159" s="396"/>
      <c r="E159" s="375"/>
      <c r="F159" s="373"/>
      <c r="G159" s="373"/>
      <c r="H159" s="376"/>
      <c r="I159" s="377"/>
      <c r="J159" s="378"/>
      <c r="K159" s="379"/>
      <c r="L159" s="374"/>
      <c r="M159" s="380" t="str">
        <f t="shared" ca="1" si="76"/>
        <v/>
      </c>
      <c r="N159" s="373"/>
      <c r="O159" s="381"/>
      <c r="P159" s="381"/>
      <c r="Q159" s="382"/>
      <c r="R159" s="381"/>
      <c r="S159" s="383"/>
      <c r="T159" s="384" t="str">
        <f t="shared" si="77"/>
        <v/>
      </c>
      <c r="U159" s="385"/>
      <c r="V159" s="384" t="str">
        <f t="shared" si="78"/>
        <v/>
      </c>
      <c r="W159" s="386"/>
      <c r="X159" s="386" t="str">
        <f t="shared" si="79"/>
        <v/>
      </c>
      <c r="Y159" s="386" t="str">
        <f t="shared" si="61"/>
        <v/>
      </c>
      <c r="Z159" s="386" t="str">
        <f t="shared" si="62"/>
        <v/>
      </c>
      <c r="AA159" s="387"/>
      <c r="AB159" s="386" t="str">
        <f t="shared" si="63"/>
        <v/>
      </c>
      <c r="AC159" s="386" t="str">
        <f t="shared" si="64"/>
        <v/>
      </c>
      <c r="AD159" s="386" t="str">
        <f t="shared" si="65"/>
        <v/>
      </c>
      <c r="AE159" s="386" t="str">
        <f t="shared" si="66"/>
        <v/>
      </c>
      <c r="AF159" s="386" t="str">
        <f t="shared" si="67"/>
        <v/>
      </c>
      <c r="AG159" s="386" t="str">
        <f t="shared" si="68"/>
        <v/>
      </c>
      <c r="AH159" s="386" t="str">
        <f t="shared" si="69"/>
        <v/>
      </c>
      <c r="AI159" s="386" t="str">
        <f t="shared" si="80"/>
        <v/>
      </c>
      <c r="AJ159" s="386" t="str">
        <f t="shared" si="81"/>
        <v/>
      </c>
      <c r="AK159" s="386" t="str">
        <f t="shared" si="82"/>
        <v/>
      </c>
      <c r="AL159" s="388"/>
      <c r="AM159" s="388"/>
      <c r="AN159" s="388"/>
      <c r="AO159" s="388"/>
      <c r="AP159" s="402" t="str">
        <f t="shared" si="70"/>
        <v/>
      </c>
      <c r="AQ159" s="388"/>
      <c r="AR159" s="388"/>
      <c r="AS159" s="388"/>
      <c r="AT159" s="388"/>
      <c r="AU159" s="402" t="str">
        <f t="shared" si="71"/>
        <v/>
      </c>
      <c r="AV159" s="389"/>
      <c r="AW159" s="381"/>
      <c r="AX159" s="381"/>
      <c r="AY159" s="373"/>
      <c r="AZ159" s="390"/>
      <c r="BA159" s="390"/>
      <c r="BB159" s="391"/>
      <c r="BC159" s="392"/>
      <c r="BD159" s="393"/>
      <c r="BE159" s="393"/>
      <c r="BF159" s="393"/>
      <c r="BG159" s="394"/>
      <c r="BH159" s="395"/>
      <c r="BI159" s="374"/>
      <c r="BJ159" s="374"/>
      <c r="BK159" s="374"/>
      <c r="BL159" s="389"/>
      <c r="BM159" s="397"/>
      <c r="BN159" s="389"/>
      <c r="BO159" s="419" t="str">
        <f t="shared" si="83"/>
        <v/>
      </c>
      <c r="BP159" s="389"/>
      <c r="BQ159" s="397"/>
      <c r="BR159" s="419"/>
      <c r="BS159" s="419"/>
      <c r="BT159" s="419"/>
      <c r="BU159" s="432"/>
      <c r="BV159" s="419"/>
      <c r="BW159" s="419"/>
      <c r="BX159" s="419"/>
      <c r="BY159" s="389"/>
      <c r="BZ159" s="389"/>
      <c r="CA159" s="389"/>
      <c r="CB159" s="389"/>
      <c r="CC159" s="389"/>
      <c r="CD159" s="389"/>
      <c r="CE159" s="389"/>
      <c r="CF159" s="389"/>
      <c r="CG159" s="389"/>
      <c r="CH159" s="389"/>
      <c r="CI159" s="389"/>
      <c r="CJ159" s="422"/>
      <c r="CK159" s="422"/>
      <c r="CL159" s="422"/>
      <c r="CM159" s="422"/>
      <c r="CN159" s="422"/>
      <c r="CO159" s="422"/>
      <c r="CP159" s="422"/>
      <c r="CQ159" s="432"/>
      <c r="CR159" s="431" t="str">
        <f t="shared" si="72"/>
        <v/>
      </c>
      <c r="CS159" s="35" t="str">
        <f t="shared" si="73"/>
        <v>Direct or WHSE.</v>
      </c>
      <c r="CT159" s="411"/>
      <c r="CW159" s="153" t="str">
        <f t="shared" si="75"/>
        <v/>
      </c>
      <c r="CX159" s="153" t="str">
        <f t="shared" si="75"/>
        <v/>
      </c>
      <c r="CY159" s="153" t="str">
        <f t="shared" si="74"/>
        <v/>
      </c>
    </row>
    <row r="160" spans="1:103" ht="19.5" customHeight="1">
      <c r="A160" s="10">
        <v>138</v>
      </c>
      <c r="B160" s="373"/>
      <c r="C160" s="373"/>
      <c r="D160" s="396"/>
      <c r="E160" s="375"/>
      <c r="F160" s="373"/>
      <c r="G160" s="373"/>
      <c r="H160" s="376"/>
      <c r="I160" s="377"/>
      <c r="J160" s="378"/>
      <c r="K160" s="379"/>
      <c r="L160" s="374"/>
      <c r="M160" s="380" t="str">
        <f t="shared" ca="1" si="76"/>
        <v/>
      </c>
      <c r="N160" s="373"/>
      <c r="O160" s="381"/>
      <c r="P160" s="381"/>
      <c r="Q160" s="382"/>
      <c r="R160" s="381"/>
      <c r="S160" s="383"/>
      <c r="T160" s="384" t="str">
        <f t="shared" si="77"/>
        <v/>
      </c>
      <c r="U160" s="385"/>
      <c r="V160" s="384" t="str">
        <f t="shared" si="78"/>
        <v/>
      </c>
      <c r="W160" s="386"/>
      <c r="X160" s="386" t="str">
        <f t="shared" si="79"/>
        <v/>
      </c>
      <c r="Y160" s="386" t="str">
        <f t="shared" si="61"/>
        <v/>
      </c>
      <c r="Z160" s="386" t="str">
        <f t="shared" si="62"/>
        <v/>
      </c>
      <c r="AA160" s="387"/>
      <c r="AB160" s="386" t="str">
        <f t="shared" si="63"/>
        <v/>
      </c>
      <c r="AC160" s="386" t="str">
        <f t="shared" si="64"/>
        <v/>
      </c>
      <c r="AD160" s="386" t="str">
        <f t="shared" si="65"/>
        <v/>
      </c>
      <c r="AE160" s="386" t="str">
        <f t="shared" si="66"/>
        <v/>
      </c>
      <c r="AF160" s="386" t="str">
        <f t="shared" si="67"/>
        <v/>
      </c>
      <c r="AG160" s="386" t="str">
        <f t="shared" si="68"/>
        <v/>
      </c>
      <c r="AH160" s="386" t="str">
        <f t="shared" si="69"/>
        <v/>
      </c>
      <c r="AI160" s="386" t="str">
        <f t="shared" si="80"/>
        <v/>
      </c>
      <c r="AJ160" s="386" t="str">
        <f t="shared" si="81"/>
        <v/>
      </c>
      <c r="AK160" s="386" t="str">
        <f t="shared" si="82"/>
        <v/>
      </c>
      <c r="AL160" s="388"/>
      <c r="AM160" s="388"/>
      <c r="AN160" s="388"/>
      <c r="AO160" s="388"/>
      <c r="AP160" s="402" t="str">
        <f t="shared" si="70"/>
        <v/>
      </c>
      <c r="AQ160" s="388"/>
      <c r="AR160" s="388"/>
      <c r="AS160" s="388"/>
      <c r="AT160" s="388"/>
      <c r="AU160" s="402" t="str">
        <f t="shared" si="71"/>
        <v/>
      </c>
      <c r="AV160" s="389"/>
      <c r="AW160" s="381"/>
      <c r="AX160" s="381"/>
      <c r="AY160" s="373"/>
      <c r="AZ160" s="390"/>
      <c r="BA160" s="390"/>
      <c r="BB160" s="391"/>
      <c r="BC160" s="392"/>
      <c r="BD160" s="393"/>
      <c r="BE160" s="393"/>
      <c r="BF160" s="393"/>
      <c r="BG160" s="394"/>
      <c r="BH160" s="395"/>
      <c r="BI160" s="374"/>
      <c r="BJ160" s="374"/>
      <c r="BK160" s="374"/>
      <c r="BL160" s="389"/>
      <c r="BM160" s="397"/>
      <c r="BN160" s="389"/>
      <c r="BO160" s="419" t="str">
        <f t="shared" si="83"/>
        <v/>
      </c>
      <c r="BP160" s="389"/>
      <c r="BQ160" s="397"/>
      <c r="BR160" s="419"/>
      <c r="BS160" s="419"/>
      <c r="BT160" s="419"/>
      <c r="BU160" s="432"/>
      <c r="BV160" s="419"/>
      <c r="BW160" s="419"/>
      <c r="BX160" s="419"/>
      <c r="BY160" s="389"/>
      <c r="BZ160" s="389"/>
      <c r="CA160" s="389"/>
      <c r="CB160" s="389"/>
      <c r="CC160" s="389"/>
      <c r="CD160" s="389"/>
      <c r="CE160" s="389"/>
      <c r="CF160" s="389"/>
      <c r="CG160" s="389"/>
      <c r="CH160" s="389"/>
      <c r="CI160" s="389"/>
      <c r="CJ160" s="422"/>
      <c r="CK160" s="422"/>
      <c r="CL160" s="422"/>
      <c r="CM160" s="422"/>
      <c r="CN160" s="422"/>
      <c r="CO160" s="422"/>
      <c r="CP160" s="422"/>
      <c r="CQ160" s="432"/>
      <c r="CR160" s="431" t="str">
        <f t="shared" si="72"/>
        <v/>
      </c>
      <c r="CS160" s="35" t="str">
        <f t="shared" si="73"/>
        <v>Direct or WHSE.</v>
      </c>
      <c r="CT160" s="411"/>
      <c r="CW160" s="153" t="str">
        <f t="shared" si="75"/>
        <v/>
      </c>
      <c r="CX160" s="153" t="str">
        <f t="shared" si="75"/>
        <v/>
      </c>
      <c r="CY160" s="153" t="str">
        <f t="shared" si="74"/>
        <v/>
      </c>
    </row>
    <row r="161" spans="1:103" ht="19.5" customHeight="1">
      <c r="A161" s="10">
        <v>139</v>
      </c>
      <c r="B161" s="373"/>
      <c r="C161" s="373"/>
      <c r="D161" s="396"/>
      <c r="E161" s="375"/>
      <c r="F161" s="373"/>
      <c r="G161" s="373"/>
      <c r="H161" s="376"/>
      <c r="I161" s="377"/>
      <c r="J161" s="378"/>
      <c r="K161" s="379"/>
      <c r="L161" s="374"/>
      <c r="M161" s="380" t="str">
        <f t="shared" ca="1" si="76"/>
        <v/>
      </c>
      <c r="N161" s="373"/>
      <c r="O161" s="381"/>
      <c r="P161" s="381"/>
      <c r="Q161" s="382"/>
      <c r="R161" s="381"/>
      <c r="S161" s="383"/>
      <c r="T161" s="384" t="str">
        <f t="shared" si="77"/>
        <v/>
      </c>
      <c r="U161" s="385"/>
      <c r="V161" s="384" t="str">
        <f t="shared" si="78"/>
        <v/>
      </c>
      <c r="W161" s="386"/>
      <c r="X161" s="386" t="str">
        <f t="shared" si="79"/>
        <v/>
      </c>
      <c r="Y161" s="386" t="str">
        <f t="shared" si="61"/>
        <v/>
      </c>
      <c r="Z161" s="386" t="str">
        <f t="shared" si="62"/>
        <v/>
      </c>
      <c r="AA161" s="387"/>
      <c r="AB161" s="386" t="str">
        <f t="shared" si="63"/>
        <v/>
      </c>
      <c r="AC161" s="386" t="str">
        <f t="shared" si="64"/>
        <v/>
      </c>
      <c r="AD161" s="386" t="str">
        <f t="shared" si="65"/>
        <v/>
      </c>
      <c r="AE161" s="386" t="str">
        <f t="shared" si="66"/>
        <v/>
      </c>
      <c r="AF161" s="386" t="str">
        <f t="shared" si="67"/>
        <v/>
      </c>
      <c r="AG161" s="386" t="str">
        <f t="shared" si="68"/>
        <v/>
      </c>
      <c r="AH161" s="386" t="str">
        <f t="shared" si="69"/>
        <v/>
      </c>
      <c r="AI161" s="386" t="str">
        <f t="shared" si="80"/>
        <v/>
      </c>
      <c r="AJ161" s="386" t="str">
        <f t="shared" si="81"/>
        <v/>
      </c>
      <c r="AK161" s="386" t="str">
        <f t="shared" si="82"/>
        <v/>
      </c>
      <c r="AL161" s="388"/>
      <c r="AM161" s="388"/>
      <c r="AN161" s="388"/>
      <c r="AO161" s="388"/>
      <c r="AP161" s="402" t="str">
        <f t="shared" si="70"/>
        <v/>
      </c>
      <c r="AQ161" s="388"/>
      <c r="AR161" s="388"/>
      <c r="AS161" s="388"/>
      <c r="AT161" s="388"/>
      <c r="AU161" s="402" t="str">
        <f t="shared" si="71"/>
        <v/>
      </c>
      <c r="AV161" s="389"/>
      <c r="AW161" s="381"/>
      <c r="AX161" s="381"/>
      <c r="AY161" s="373"/>
      <c r="AZ161" s="390"/>
      <c r="BA161" s="390"/>
      <c r="BB161" s="391"/>
      <c r="BC161" s="392"/>
      <c r="BD161" s="393"/>
      <c r="BE161" s="393"/>
      <c r="BF161" s="393"/>
      <c r="BG161" s="394"/>
      <c r="BH161" s="395"/>
      <c r="BI161" s="374"/>
      <c r="BJ161" s="374"/>
      <c r="BK161" s="374"/>
      <c r="BL161" s="389"/>
      <c r="BM161" s="397"/>
      <c r="BN161" s="389"/>
      <c r="BO161" s="419" t="str">
        <f t="shared" si="83"/>
        <v/>
      </c>
      <c r="BP161" s="389"/>
      <c r="BQ161" s="397"/>
      <c r="BR161" s="419"/>
      <c r="BS161" s="419"/>
      <c r="BT161" s="419"/>
      <c r="BU161" s="432"/>
      <c r="BV161" s="419"/>
      <c r="BW161" s="419"/>
      <c r="BX161" s="419"/>
      <c r="BY161" s="389"/>
      <c r="BZ161" s="389"/>
      <c r="CA161" s="389"/>
      <c r="CB161" s="389"/>
      <c r="CC161" s="389"/>
      <c r="CD161" s="389"/>
      <c r="CE161" s="389"/>
      <c r="CF161" s="389"/>
      <c r="CG161" s="389"/>
      <c r="CH161" s="389"/>
      <c r="CI161" s="389"/>
      <c r="CJ161" s="422"/>
      <c r="CK161" s="422"/>
      <c r="CL161" s="422"/>
      <c r="CM161" s="422"/>
      <c r="CN161" s="422"/>
      <c r="CO161" s="422"/>
      <c r="CP161" s="422"/>
      <c r="CQ161" s="432"/>
      <c r="CR161" s="431" t="str">
        <f t="shared" si="72"/>
        <v/>
      </c>
      <c r="CS161" s="35" t="str">
        <f t="shared" si="73"/>
        <v>Direct or WHSE.</v>
      </c>
      <c r="CT161" s="411"/>
      <c r="CW161" s="153" t="str">
        <f t="shared" si="75"/>
        <v/>
      </c>
      <c r="CX161" s="153" t="str">
        <f t="shared" si="75"/>
        <v/>
      </c>
      <c r="CY161" s="153" t="str">
        <f t="shared" si="74"/>
        <v/>
      </c>
    </row>
    <row r="162" spans="1:103" ht="19.5" customHeight="1">
      <c r="A162" s="10">
        <v>140</v>
      </c>
      <c r="B162" s="373"/>
      <c r="C162" s="373"/>
      <c r="D162" s="396"/>
      <c r="E162" s="375"/>
      <c r="F162" s="373"/>
      <c r="G162" s="373"/>
      <c r="H162" s="376"/>
      <c r="I162" s="377"/>
      <c r="J162" s="378"/>
      <c r="K162" s="379"/>
      <c r="L162" s="374"/>
      <c r="M162" s="380" t="str">
        <f t="shared" ca="1" si="76"/>
        <v/>
      </c>
      <c r="N162" s="373"/>
      <c r="O162" s="381"/>
      <c r="P162" s="381"/>
      <c r="Q162" s="382"/>
      <c r="R162" s="381"/>
      <c r="S162" s="383"/>
      <c r="T162" s="384" t="str">
        <f t="shared" si="77"/>
        <v/>
      </c>
      <c r="U162" s="385"/>
      <c r="V162" s="384" t="str">
        <f t="shared" si="78"/>
        <v/>
      </c>
      <c r="W162" s="386"/>
      <c r="X162" s="386" t="str">
        <f t="shared" si="79"/>
        <v/>
      </c>
      <c r="Y162" s="386" t="str">
        <f t="shared" si="61"/>
        <v/>
      </c>
      <c r="Z162" s="386" t="str">
        <f t="shared" si="62"/>
        <v/>
      </c>
      <c r="AA162" s="387"/>
      <c r="AB162" s="386" t="str">
        <f t="shared" si="63"/>
        <v/>
      </c>
      <c r="AC162" s="386" t="str">
        <f t="shared" si="64"/>
        <v/>
      </c>
      <c r="AD162" s="386" t="str">
        <f t="shared" si="65"/>
        <v/>
      </c>
      <c r="AE162" s="386" t="str">
        <f t="shared" si="66"/>
        <v/>
      </c>
      <c r="AF162" s="386" t="str">
        <f t="shared" si="67"/>
        <v/>
      </c>
      <c r="AG162" s="386" t="str">
        <f t="shared" si="68"/>
        <v/>
      </c>
      <c r="AH162" s="386" t="str">
        <f t="shared" si="69"/>
        <v/>
      </c>
      <c r="AI162" s="386" t="str">
        <f t="shared" si="80"/>
        <v/>
      </c>
      <c r="AJ162" s="386" t="str">
        <f t="shared" si="81"/>
        <v/>
      </c>
      <c r="AK162" s="386" t="str">
        <f t="shared" si="82"/>
        <v/>
      </c>
      <c r="AL162" s="388"/>
      <c r="AM162" s="388"/>
      <c r="AN162" s="388"/>
      <c r="AO162" s="388"/>
      <c r="AP162" s="402" t="str">
        <f t="shared" si="70"/>
        <v/>
      </c>
      <c r="AQ162" s="388"/>
      <c r="AR162" s="388"/>
      <c r="AS162" s="388"/>
      <c r="AT162" s="388"/>
      <c r="AU162" s="402" t="str">
        <f t="shared" si="71"/>
        <v/>
      </c>
      <c r="AV162" s="389"/>
      <c r="AW162" s="381"/>
      <c r="AX162" s="381"/>
      <c r="AY162" s="373"/>
      <c r="AZ162" s="390"/>
      <c r="BA162" s="390"/>
      <c r="BB162" s="391"/>
      <c r="BC162" s="392"/>
      <c r="BD162" s="393"/>
      <c r="BE162" s="393"/>
      <c r="BF162" s="393"/>
      <c r="BG162" s="394"/>
      <c r="BH162" s="395"/>
      <c r="BI162" s="374"/>
      <c r="BJ162" s="374"/>
      <c r="BK162" s="374"/>
      <c r="BL162" s="389"/>
      <c r="BM162" s="397"/>
      <c r="BN162" s="389"/>
      <c r="BO162" s="419" t="str">
        <f t="shared" si="83"/>
        <v/>
      </c>
      <c r="BP162" s="389"/>
      <c r="BQ162" s="397"/>
      <c r="BR162" s="419"/>
      <c r="BS162" s="419"/>
      <c r="BT162" s="419"/>
      <c r="BU162" s="432"/>
      <c r="BV162" s="419"/>
      <c r="BW162" s="419"/>
      <c r="BX162" s="419"/>
      <c r="BY162" s="389"/>
      <c r="BZ162" s="389"/>
      <c r="CA162" s="389"/>
      <c r="CB162" s="389"/>
      <c r="CC162" s="389"/>
      <c r="CD162" s="389"/>
      <c r="CE162" s="389"/>
      <c r="CF162" s="389"/>
      <c r="CG162" s="389"/>
      <c r="CH162" s="389"/>
      <c r="CI162" s="389"/>
      <c r="CJ162" s="422"/>
      <c r="CK162" s="422"/>
      <c r="CL162" s="422"/>
      <c r="CM162" s="422"/>
      <c r="CN162" s="422"/>
      <c r="CO162" s="422"/>
      <c r="CP162" s="422"/>
      <c r="CQ162" s="432"/>
      <c r="CR162" s="431" t="str">
        <f t="shared" si="72"/>
        <v/>
      </c>
      <c r="CS162" s="35" t="str">
        <f t="shared" si="73"/>
        <v>Direct or WHSE.</v>
      </c>
      <c r="CT162" s="411"/>
      <c r="CW162" s="153" t="str">
        <f t="shared" si="75"/>
        <v/>
      </c>
      <c r="CX162" s="153" t="str">
        <f t="shared" si="75"/>
        <v/>
      </c>
      <c r="CY162" s="153" t="str">
        <f t="shared" si="74"/>
        <v/>
      </c>
    </row>
    <row r="163" spans="1:103" ht="19.5" customHeight="1">
      <c r="A163" s="10">
        <v>141</v>
      </c>
      <c r="B163" s="373"/>
      <c r="C163" s="373"/>
      <c r="D163" s="396"/>
      <c r="E163" s="375"/>
      <c r="F163" s="373"/>
      <c r="G163" s="373"/>
      <c r="H163" s="376"/>
      <c r="I163" s="377"/>
      <c r="J163" s="378"/>
      <c r="K163" s="379"/>
      <c r="L163" s="374"/>
      <c r="M163" s="380" t="str">
        <f t="shared" ca="1" si="76"/>
        <v/>
      </c>
      <c r="N163" s="373"/>
      <c r="O163" s="381"/>
      <c r="P163" s="381"/>
      <c r="Q163" s="382"/>
      <c r="R163" s="381"/>
      <c r="S163" s="383"/>
      <c r="T163" s="384" t="str">
        <f t="shared" si="77"/>
        <v/>
      </c>
      <c r="U163" s="385"/>
      <c r="V163" s="384" t="str">
        <f t="shared" si="78"/>
        <v/>
      </c>
      <c r="W163" s="386"/>
      <c r="X163" s="386" t="str">
        <f t="shared" si="79"/>
        <v/>
      </c>
      <c r="Y163" s="386" t="str">
        <f t="shared" si="61"/>
        <v/>
      </c>
      <c r="Z163" s="386" t="str">
        <f t="shared" si="62"/>
        <v/>
      </c>
      <c r="AA163" s="387"/>
      <c r="AB163" s="386" t="str">
        <f t="shared" si="63"/>
        <v/>
      </c>
      <c r="AC163" s="386" t="str">
        <f t="shared" si="64"/>
        <v/>
      </c>
      <c r="AD163" s="386" t="str">
        <f t="shared" si="65"/>
        <v/>
      </c>
      <c r="AE163" s="386" t="str">
        <f t="shared" si="66"/>
        <v/>
      </c>
      <c r="AF163" s="386" t="str">
        <f t="shared" si="67"/>
        <v/>
      </c>
      <c r="AG163" s="386" t="str">
        <f t="shared" si="68"/>
        <v/>
      </c>
      <c r="AH163" s="386" t="str">
        <f t="shared" si="69"/>
        <v/>
      </c>
      <c r="AI163" s="386" t="str">
        <f t="shared" si="80"/>
        <v/>
      </c>
      <c r="AJ163" s="386" t="str">
        <f t="shared" si="81"/>
        <v/>
      </c>
      <c r="AK163" s="386" t="str">
        <f t="shared" si="82"/>
        <v/>
      </c>
      <c r="AL163" s="388"/>
      <c r="AM163" s="388"/>
      <c r="AN163" s="388"/>
      <c r="AO163" s="388"/>
      <c r="AP163" s="402" t="str">
        <f t="shared" si="70"/>
        <v/>
      </c>
      <c r="AQ163" s="388"/>
      <c r="AR163" s="388"/>
      <c r="AS163" s="388"/>
      <c r="AT163" s="388"/>
      <c r="AU163" s="402" t="str">
        <f t="shared" si="71"/>
        <v/>
      </c>
      <c r="AV163" s="389"/>
      <c r="AW163" s="381"/>
      <c r="AX163" s="381"/>
      <c r="AY163" s="373"/>
      <c r="AZ163" s="390"/>
      <c r="BA163" s="390"/>
      <c r="BB163" s="391"/>
      <c r="BC163" s="392"/>
      <c r="BD163" s="393"/>
      <c r="BE163" s="393"/>
      <c r="BF163" s="393"/>
      <c r="BG163" s="394"/>
      <c r="BH163" s="395"/>
      <c r="BI163" s="374"/>
      <c r="BJ163" s="374"/>
      <c r="BK163" s="374"/>
      <c r="BL163" s="389"/>
      <c r="BM163" s="397"/>
      <c r="BN163" s="389"/>
      <c r="BO163" s="419" t="str">
        <f t="shared" si="83"/>
        <v/>
      </c>
      <c r="BP163" s="389"/>
      <c r="BQ163" s="397"/>
      <c r="BR163" s="419"/>
      <c r="BS163" s="419"/>
      <c r="BT163" s="419"/>
      <c r="BU163" s="432"/>
      <c r="BV163" s="419"/>
      <c r="BW163" s="419"/>
      <c r="BX163" s="419"/>
      <c r="BY163" s="389"/>
      <c r="BZ163" s="389"/>
      <c r="CA163" s="389"/>
      <c r="CB163" s="389"/>
      <c r="CC163" s="389"/>
      <c r="CD163" s="389"/>
      <c r="CE163" s="389"/>
      <c r="CF163" s="389"/>
      <c r="CG163" s="389"/>
      <c r="CH163" s="389"/>
      <c r="CI163" s="389"/>
      <c r="CJ163" s="422"/>
      <c r="CK163" s="422"/>
      <c r="CL163" s="422"/>
      <c r="CM163" s="422"/>
      <c r="CN163" s="422"/>
      <c r="CO163" s="422"/>
      <c r="CP163" s="422"/>
      <c r="CQ163" s="432"/>
      <c r="CR163" s="431" t="str">
        <f t="shared" si="72"/>
        <v/>
      </c>
      <c r="CS163" s="35" t="str">
        <f t="shared" si="73"/>
        <v>Direct or WHSE.</v>
      </c>
      <c r="CT163" s="411"/>
      <c r="CW163" s="153" t="str">
        <f t="shared" si="75"/>
        <v/>
      </c>
      <c r="CX163" s="153" t="str">
        <f t="shared" si="75"/>
        <v/>
      </c>
      <c r="CY163" s="153" t="str">
        <f t="shared" si="74"/>
        <v/>
      </c>
    </row>
    <row r="164" spans="1:103" ht="19.5" customHeight="1">
      <c r="A164" s="10">
        <v>142</v>
      </c>
      <c r="B164" s="373"/>
      <c r="C164" s="373"/>
      <c r="D164" s="396"/>
      <c r="E164" s="375"/>
      <c r="F164" s="373"/>
      <c r="G164" s="373"/>
      <c r="H164" s="376"/>
      <c r="I164" s="377"/>
      <c r="J164" s="378"/>
      <c r="K164" s="379"/>
      <c r="L164" s="374"/>
      <c r="M164" s="380" t="str">
        <f t="shared" ca="1" si="76"/>
        <v/>
      </c>
      <c r="N164" s="373"/>
      <c r="O164" s="381"/>
      <c r="P164" s="381"/>
      <c r="Q164" s="382"/>
      <c r="R164" s="381"/>
      <c r="S164" s="383"/>
      <c r="T164" s="384" t="str">
        <f t="shared" si="77"/>
        <v/>
      </c>
      <c r="U164" s="385"/>
      <c r="V164" s="384" t="str">
        <f t="shared" si="78"/>
        <v/>
      </c>
      <c r="W164" s="386"/>
      <c r="X164" s="386" t="str">
        <f t="shared" si="79"/>
        <v/>
      </c>
      <c r="Y164" s="386" t="str">
        <f t="shared" si="61"/>
        <v/>
      </c>
      <c r="Z164" s="386" t="str">
        <f t="shared" si="62"/>
        <v/>
      </c>
      <c r="AA164" s="387"/>
      <c r="AB164" s="386" t="str">
        <f t="shared" si="63"/>
        <v/>
      </c>
      <c r="AC164" s="386" t="str">
        <f t="shared" si="64"/>
        <v/>
      </c>
      <c r="AD164" s="386" t="str">
        <f t="shared" si="65"/>
        <v/>
      </c>
      <c r="AE164" s="386" t="str">
        <f t="shared" si="66"/>
        <v/>
      </c>
      <c r="AF164" s="386" t="str">
        <f t="shared" si="67"/>
        <v/>
      </c>
      <c r="AG164" s="386" t="str">
        <f t="shared" si="68"/>
        <v/>
      </c>
      <c r="AH164" s="386" t="str">
        <f t="shared" si="69"/>
        <v/>
      </c>
      <c r="AI164" s="386" t="str">
        <f t="shared" si="80"/>
        <v/>
      </c>
      <c r="AJ164" s="386" t="str">
        <f t="shared" si="81"/>
        <v/>
      </c>
      <c r="AK164" s="386" t="str">
        <f t="shared" si="82"/>
        <v/>
      </c>
      <c r="AL164" s="388"/>
      <c r="AM164" s="388"/>
      <c r="AN164" s="388"/>
      <c r="AO164" s="388"/>
      <c r="AP164" s="402" t="str">
        <f t="shared" si="70"/>
        <v/>
      </c>
      <c r="AQ164" s="388"/>
      <c r="AR164" s="388"/>
      <c r="AS164" s="388"/>
      <c r="AT164" s="388"/>
      <c r="AU164" s="402" t="str">
        <f t="shared" si="71"/>
        <v/>
      </c>
      <c r="AV164" s="389"/>
      <c r="AW164" s="381"/>
      <c r="AX164" s="381"/>
      <c r="AY164" s="373"/>
      <c r="AZ164" s="390"/>
      <c r="BA164" s="390"/>
      <c r="BB164" s="391"/>
      <c r="BC164" s="392"/>
      <c r="BD164" s="393"/>
      <c r="BE164" s="393"/>
      <c r="BF164" s="393"/>
      <c r="BG164" s="394"/>
      <c r="BH164" s="395"/>
      <c r="BI164" s="374"/>
      <c r="BJ164" s="374"/>
      <c r="BK164" s="374"/>
      <c r="BL164" s="389"/>
      <c r="BM164" s="397"/>
      <c r="BN164" s="389"/>
      <c r="BO164" s="419" t="str">
        <f t="shared" si="83"/>
        <v/>
      </c>
      <c r="BP164" s="389"/>
      <c r="BQ164" s="397"/>
      <c r="BR164" s="419"/>
      <c r="BS164" s="419"/>
      <c r="BT164" s="419"/>
      <c r="BU164" s="432"/>
      <c r="BV164" s="419"/>
      <c r="BW164" s="419"/>
      <c r="BX164" s="419"/>
      <c r="BY164" s="389"/>
      <c r="BZ164" s="389"/>
      <c r="CA164" s="389"/>
      <c r="CB164" s="389"/>
      <c r="CC164" s="389"/>
      <c r="CD164" s="389"/>
      <c r="CE164" s="389"/>
      <c r="CF164" s="389"/>
      <c r="CG164" s="389"/>
      <c r="CH164" s="389"/>
      <c r="CI164" s="389"/>
      <c r="CJ164" s="422"/>
      <c r="CK164" s="422"/>
      <c r="CL164" s="422"/>
      <c r="CM164" s="422"/>
      <c r="CN164" s="422"/>
      <c r="CO164" s="422"/>
      <c r="CP164" s="422"/>
      <c r="CQ164" s="432"/>
      <c r="CR164" s="431" t="str">
        <f t="shared" si="72"/>
        <v/>
      </c>
      <c r="CS164" s="35" t="str">
        <f t="shared" si="73"/>
        <v>Direct or WHSE.</v>
      </c>
      <c r="CT164" s="411"/>
      <c r="CW164" s="153" t="str">
        <f t="shared" si="75"/>
        <v/>
      </c>
      <c r="CX164" s="153" t="str">
        <f t="shared" si="75"/>
        <v/>
      </c>
      <c r="CY164" s="153" t="str">
        <f t="shared" si="74"/>
        <v/>
      </c>
    </row>
    <row r="165" spans="1:103" ht="19.5" customHeight="1">
      <c r="A165" s="10">
        <v>143</v>
      </c>
      <c r="B165" s="373"/>
      <c r="C165" s="373"/>
      <c r="D165" s="396"/>
      <c r="E165" s="375"/>
      <c r="F165" s="373"/>
      <c r="G165" s="373"/>
      <c r="H165" s="376"/>
      <c r="I165" s="377"/>
      <c r="J165" s="378"/>
      <c r="K165" s="379"/>
      <c r="L165" s="374"/>
      <c r="M165" s="380" t="str">
        <f t="shared" ca="1" si="76"/>
        <v/>
      </c>
      <c r="N165" s="373"/>
      <c r="O165" s="381"/>
      <c r="P165" s="381"/>
      <c r="Q165" s="382"/>
      <c r="R165" s="381"/>
      <c r="S165" s="383"/>
      <c r="T165" s="384" t="str">
        <f t="shared" si="77"/>
        <v/>
      </c>
      <c r="U165" s="385"/>
      <c r="V165" s="384" t="str">
        <f t="shared" si="78"/>
        <v/>
      </c>
      <c r="W165" s="386"/>
      <c r="X165" s="386" t="str">
        <f t="shared" si="79"/>
        <v/>
      </c>
      <c r="Y165" s="386" t="str">
        <f t="shared" si="61"/>
        <v/>
      </c>
      <c r="Z165" s="386" t="str">
        <f t="shared" si="62"/>
        <v/>
      </c>
      <c r="AA165" s="387"/>
      <c r="AB165" s="386" t="str">
        <f t="shared" si="63"/>
        <v/>
      </c>
      <c r="AC165" s="386" t="str">
        <f t="shared" si="64"/>
        <v/>
      </c>
      <c r="AD165" s="386" t="str">
        <f t="shared" si="65"/>
        <v/>
      </c>
      <c r="AE165" s="386" t="str">
        <f t="shared" si="66"/>
        <v/>
      </c>
      <c r="AF165" s="386" t="str">
        <f t="shared" si="67"/>
        <v/>
      </c>
      <c r="AG165" s="386" t="str">
        <f t="shared" si="68"/>
        <v/>
      </c>
      <c r="AH165" s="386" t="str">
        <f t="shared" si="69"/>
        <v/>
      </c>
      <c r="AI165" s="386" t="str">
        <f t="shared" si="80"/>
        <v/>
      </c>
      <c r="AJ165" s="386" t="str">
        <f t="shared" si="81"/>
        <v/>
      </c>
      <c r="AK165" s="386" t="str">
        <f t="shared" si="82"/>
        <v/>
      </c>
      <c r="AL165" s="388"/>
      <c r="AM165" s="388"/>
      <c r="AN165" s="388"/>
      <c r="AO165" s="388"/>
      <c r="AP165" s="402" t="str">
        <f t="shared" si="70"/>
        <v/>
      </c>
      <c r="AQ165" s="388"/>
      <c r="AR165" s="388"/>
      <c r="AS165" s="388"/>
      <c r="AT165" s="388"/>
      <c r="AU165" s="402" t="str">
        <f t="shared" si="71"/>
        <v/>
      </c>
      <c r="AV165" s="389"/>
      <c r="AW165" s="381"/>
      <c r="AX165" s="381"/>
      <c r="AY165" s="373"/>
      <c r="AZ165" s="390"/>
      <c r="BA165" s="390"/>
      <c r="BB165" s="391"/>
      <c r="BC165" s="392"/>
      <c r="BD165" s="393"/>
      <c r="BE165" s="393"/>
      <c r="BF165" s="393"/>
      <c r="BG165" s="394"/>
      <c r="BH165" s="395"/>
      <c r="BI165" s="374"/>
      <c r="BJ165" s="374"/>
      <c r="BK165" s="374"/>
      <c r="BL165" s="389"/>
      <c r="BM165" s="397"/>
      <c r="BN165" s="389"/>
      <c r="BO165" s="419" t="str">
        <f t="shared" si="83"/>
        <v/>
      </c>
      <c r="BP165" s="389"/>
      <c r="BQ165" s="397"/>
      <c r="BR165" s="419"/>
      <c r="BS165" s="419"/>
      <c r="BT165" s="419"/>
      <c r="BU165" s="432"/>
      <c r="BV165" s="419"/>
      <c r="BW165" s="419"/>
      <c r="BX165" s="419"/>
      <c r="BY165" s="389"/>
      <c r="BZ165" s="389"/>
      <c r="CA165" s="389"/>
      <c r="CB165" s="389"/>
      <c r="CC165" s="389"/>
      <c r="CD165" s="389"/>
      <c r="CE165" s="389"/>
      <c r="CF165" s="389"/>
      <c r="CG165" s="389"/>
      <c r="CH165" s="389"/>
      <c r="CI165" s="389"/>
      <c r="CJ165" s="422"/>
      <c r="CK165" s="422"/>
      <c r="CL165" s="422"/>
      <c r="CM165" s="422"/>
      <c r="CN165" s="422"/>
      <c r="CO165" s="422"/>
      <c r="CP165" s="422"/>
      <c r="CQ165" s="432"/>
      <c r="CR165" s="431" t="str">
        <f t="shared" si="72"/>
        <v/>
      </c>
      <c r="CS165" s="35" t="str">
        <f t="shared" si="73"/>
        <v>Direct or WHSE.</v>
      </c>
      <c r="CT165" s="411"/>
      <c r="CW165" s="153" t="str">
        <f t="shared" si="75"/>
        <v/>
      </c>
      <c r="CX165" s="153" t="str">
        <f t="shared" si="75"/>
        <v/>
      </c>
      <c r="CY165" s="153" t="str">
        <f t="shared" si="74"/>
        <v/>
      </c>
    </row>
    <row r="166" spans="1:103" ht="19.5" customHeight="1">
      <c r="A166" s="10">
        <v>144</v>
      </c>
      <c r="B166" s="373"/>
      <c r="C166" s="373"/>
      <c r="D166" s="396"/>
      <c r="E166" s="375"/>
      <c r="F166" s="373"/>
      <c r="G166" s="373"/>
      <c r="H166" s="376"/>
      <c r="I166" s="377"/>
      <c r="J166" s="378"/>
      <c r="K166" s="379"/>
      <c r="L166" s="374"/>
      <c r="M166" s="380" t="str">
        <f t="shared" ca="1" si="76"/>
        <v/>
      </c>
      <c r="N166" s="373"/>
      <c r="O166" s="381"/>
      <c r="P166" s="381"/>
      <c r="Q166" s="382"/>
      <c r="R166" s="381"/>
      <c r="S166" s="383"/>
      <c r="T166" s="384" t="str">
        <f t="shared" si="77"/>
        <v/>
      </c>
      <c r="U166" s="385"/>
      <c r="V166" s="384" t="str">
        <f t="shared" si="78"/>
        <v/>
      </c>
      <c r="W166" s="386"/>
      <c r="X166" s="386" t="str">
        <f t="shared" si="79"/>
        <v/>
      </c>
      <c r="Y166" s="386" t="str">
        <f t="shared" si="61"/>
        <v/>
      </c>
      <c r="Z166" s="386" t="str">
        <f t="shared" si="62"/>
        <v/>
      </c>
      <c r="AA166" s="387"/>
      <c r="AB166" s="386" t="str">
        <f t="shared" si="63"/>
        <v/>
      </c>
      <c r="AC166" s="386" t="str">
        <f t="shared" si="64"/>
        <v/>
      </c>
      <c r="AD166" s="386" t="str">
        <f t="shared" si="65"/>
        <v/>
      </c>
      <c r="AE166" s="386" t="str">
        <f t="shared" si="66"/>
        <v/>
      </c>
      <c r="AF166" s="386" t="str">
        <f t="shared" si="67"/>
        <v/>
      </c>
      <c r="AG166" s="386" t="str">
        <f t="shared" si="68"/>
        <v/>
      </c>
      <c r="AH166" s="386" t="str">
        <f t="shared" si="69"/>
        <v/>
      </c>
      <c r="AI166" s="386" t="str">
        <f t="shared" si="80"/>
        <v/>
      </c>
      <c r="AJ166" s="386" t="str">
        <f t="shared" si="81"/>
        <v/>
      </c>
      <c r="AK166" s="386" t="str">
        <f t="shared" si="82"/>
        <v/>
      </c>
      <c r="AL166" s="388"/>
      <c r="AM166" s="388"/>
      <c r="AN166" s="388"/>
      <c r="AO166" s="388"/>
      <c r="AP166" s="402" t="str">
        <f t="shared" si="70"/>
        <v/>
      </c>
      <c r="AQ166" s="388"/>
      <c r="AR166" s="388"/>
      <c r="AS166" s="388"/>
      <c r="AT166" s="388"/>
      <c r="AU166" s="402" t="str">
        <f t="shared" si="71"/>
        <v/>
      </c>
      <c r="AV166" s="389"/>
      <c r="AW166" s="381"/>
      <c r="AX166" s="381"/>
      <c r="AY166" s="373"/>
      <c r="AZ166" s="390"/>
      <c r="BA166" s="390"/>
      <c r="BB166" s="391"/>
      <c r="BC166" s="392"/>
      <c r="BD166" s="393"/>
      <c r="BE166" s="393"/>
      <c r="BF166" s="393"/>
      <c r="BG166" s="394"/>
      <c r="BH166" s="395"/>
      <c r="BI166" s="374"/>
      <c r="BJ166" s="374"/>
      <c r="BK166" s="374"/>
      <c r="BL166" s="389"/>
      <c r="BM166" s="397"/>
      <c r="BN166" s="389"/>
      <c r="BO166" s="419" t="str">
        <f t="shared" si="83"/>
        <v/>
      </c>
      <c r="BP166" s="389"/>
      <c r="BQ166" s="397"/>
      <c r="BR166" s="419"/>
      <c r="BS166" s="419"/>
      <c r="BT166" s="419"/>
      <c r="BU166" s="432"/>
      <c r="BV166" s="419"/>
      <c r="BW166" s="419"/>
      <c r="BX166" s="419"/>
      <c r="BY166" s="389"/>
      <c r="BZ166" s="389"/>
      <c r="CA166" s="389"/>
      <c r="CB166" s="389"/>
      <c r="CC166" s="389"/>
      <c r="CD166" s="389"/>
      <c r="CE166" s="389"/>
      <c r="CF166" s="389"/>
      <c r="CG166" s="389"/>
      <c r="CH166" s="389"/>
      <c r="CI166" s="389"/>
      <c r="CJ166" s="422"/>
      <c r="CK166" s="422"/>
      <c r="CL166" s="422"/>
      <c r="CM166" s="422"/>
      <c r="CN166" s="422"/>
      <c r="CO166" s="422"/>
      <c r="CP166" s="422"/>
      <c r="CQ166" s="432"/>
      <c r="CR166" s="431" t="str">
        <f t="shared" si="72"/>
        <v/>
      </c>
      <c r="CS166" s="35" t="str">
        <f t="shared" si="73"/>
        <v>Direct or WHSE.</v>
      </c>
      <c r="CT166" s="411"/>
      <c r="CW166" s="153" t="str">
        <f t="shared" si="75"/>
        <v/>
      </c>
      <c r="CX166" s="153" t="str">
        <f t="shared" si="75"/>
        <v/>
      </c>
      <c r="CY166" s="153" t="str">
        <f t="shared" si="74"/>
        <v/>
      </c>
    </row>
    <row r="167" spans="1:103" ht="19.5" customHeight="1">
      <c r="A167" s="10">
        <v>145</v>
      </c>
      <c r="B167" s="373"/>
      <c r="C167" s="373"/>
      <c r="D167" s="396"/>
      <c r="E167" s="375"/>
      <c r="F167" s="373"/>
      <c r="G167" s="373"/>
      <c r="H167" s="376"/>
      <c r="I167" s="377"/>
      <c r="J167" s="378"/>
      <c r="K167" s="379"/>
      <c r="L167" s="374"/>
      <c r="M167" s="380" t="str">
        <f t="shared" ca="1" si="76"/>
        <v/>
      </c>
      <c r="N167" s="373"/>
      <c r="O167" s="381"/>
      <c r="P167" s="381"/>
      <c r="Q167" s="382"/>
      <c r="R167" s="381"/>
      <c r="S167" s="383"/>
      <c r="T167" s="384" t="str">
        <f t="shared" si="77"/>
        <v/>
      </c>
      <c r="U167" s="385"/>
      <c r="V167" s="384" t="str">
        <f t="shared" si="78"/>
        <v/>
      </c>
      <c r="W167" s="386"/>
      <c r="X167" s="386" t="str">
        <f t="shared" si="79"/>
        <v/>
      </c>
      <c r="Y167" s="386" t="str">
        <f t="shared" si="61"/>
        <v/>
      </c>
      <c r="Z167" s="386" t="str">
        <f t="shared" si="62"/>
        <v/>
      </c>
      <c r="AA167" s="387"/>
      <c r="AB167" s="386" t="str">
        <f t="shared" si="63"/>
        <v/>
      </c>
      <c r="AC167" s="386" t="str">
        <f t="shared" si="64"/>
        <v/>
      </c>
      <c r="AD167" s="386" t="str">
        <f t="shared" si="65"/>
        <v/>
      </c>
      <c r="AE167" s="386" t="str">
        <f t="shared" si="66"/>
        <v/>
      </c>
      <c r="AF167" s="386" t="str">
        <f t="shared" si="67"/>
        <v/>
      </c>
      <c r="AG167" s="386" t="str">
        <f t="shared" si="68"/>
        <v/>
      </c>
      <c r="AH167" s="386" t="str">
        <f t="shared" si="69"/>
        <v/>
      </c>
      <c r="AI167" s="386" t="str">
        <f t="shared" si="80"/>
        <v/>
      </c>
      <c r="AJ167" s="386" t="str">
        <f t="shared" si="81"/>
        <v/>
      </c>
      <c r="AK167" s="386" t="str">
        <f t="shared" si="82"/>
        <v/>
      </c>
      <c r="AL167" s="388"/>
      <c r="AM167" s="388"/>
      <c r="AN167" s="388"/>
      <c r="AO167" s="388"/>
      <c r="AP167" s="402" t="str">
        <f t="shared" si="70"/>
        <v/>
      </c>
      <c r="AQ167" s="388"/>
      <c r="AR167" s="388"/>
      <c r="AS167" s="388"/>
      <c r="AT167" s="388"/>
      <c r="AU167" s="402" t="str">
        <f t="shared" si="71"/>
        <v/>
      </c>
      <c r="AV167" s="389"/>
      <c r="AW167" s="381"/>
      <c r="AX167" s="381"/>
      <c r="AY167" s="373"/>
      <c r="AZ167" s="390"/>
      <c r="BA167" s="390"/>
      <c r="BB167" s="391"/>
      <c r="BC167" s="392"/>
      <c r="BD167" s="393"/>
      <c r="BE167" s="393"/>
      <c r="BF167" s="393"/>
      <c r="BG167" s="394"/>
      <c r="BH167" s="395"/>
      <c r="BI167" s="374"/>
      <c r="BJ167" s="374"/>
      <c r="BK167" s="374"/>
      <c r="BL167" s="389"/>
      <c r="BM167" s="397"/>
      <c r="BN167" s="389"/>
      <c r="BO167" s="419" t="str">
        <f t="shared" si="83"/>
        <v/>
      </c>
      <c r="BP167" s="389"/>
      <c r="BQ167" s="397"/>
      <c r="BR167" s="419"/>
      <c r="BS167" s="419"/>
      <c r="BT167" s="419"/>
      <c r="BU167" s="432"/>
      <c r="BV167" s="419"/>
      <c r="BW167" s="419"/>
      <c r="BX167" s="419"/>
      <c r="BY167" s="389"/>
      <c r="BZ167" s="389"/>
      <c r="CA167" s="389"/>
      <c r="CB167" s="389"/>
      <c r="CC167" s="389"/>
      <c r="CD167" s="389"/>
      <c r="CE167" s="389"/>
      <c r="CF167" s="389"/>
      <c r="CG167" s="389"/>
      <c r="CH167" s="389"/>
      <c r="CI167" s="389"/>
      <c r="CJ167" s="422"/>
      <c r="CK167" s="422"/>
      <c r="CL167" s="422"/>
      <c r="CM167" s="422"/>
      <c r="CN167" s="422"/>
      <c r="CO167" s="422"/>
      <c r="CP167" s="422"/>
      <c r="CQ167" s="432"/>
      <c r="CR167" s="431" t="str">
        <f t="shared" si="72"/>
        <v/>
      </c>
      <c r="CS167" s="35" t="str">
        <f t="shared" si="73"/>
        <v>Direct or WHSE.</v>
      </c>
      <c r="CT167" s="411"/>
      <c r="CW167" s="153" t="str">
        <f t="shared" si="75"/>
        <v/>
      </c>
      <c r="CX167" s="153" t="str">
        <f t="shared" si="75"/>
        <v/>
      </c>
      <c r="CY167" s="153" t="str">
        <f t="shared" si="74"/>
        <v/>
      </c>
    </row>
    <row r="168" spans="1:103" ht="19.5" customHeight="1">
      <c r="A168" s="10">
        <v>146</v>
      </c>
      <c r="B168" s="373"/>
      <c r="C168" s="373"/>
      <c r="D168" s="396"/>
      <c r="E168" s="375"/>
      <c r="F168" s="373"/>
      <c r="G168" s="373"/>
      <c r="H168" s="376"/>
      <c r="I168" s="377"/>
      <c r="J168" s="378"/>
      <c r="K168" s="379"/>
      <c r="L168" s="374"/>
      <c r="M168" s="380" t="str">
        <f t="shared" ca="1" si="76"/>
        <v/>
      </c>
      <c r="N168" s="373"/>
      <c r="O168" s="381"/>
      <c r="P168" s="381"/>
      <c r="Q168" s="382"/>
      <c r="R168" s="381"/>
      <c r="S168" s="383"/>
      <c r="T168" s="384" t="str">
        <f t="shared" si="77"/>
        <v/>
      </c>
      <c r="U168" s="385"/>
      <c r="V168" s="384" t="str">
        <f t="shared" si="78"/>
        <v/>
      </c>
      <c r="W168" s="386"/>
      <c r="X168" s="386" t="str">
        <f t="shared" si="79"/>
        <v/>
      </c>
      <c r="Y168" s="386" t="str">
        <f t="shared" si="61"/>
        <v/>
      </c>
      <c r="Z168" s="386" t="str">
        <f t="shared" si="62"/>
        <v/>
      </c>
      <c r="AA168" s="387"/>
      <c r="AB168" s="386" t="str">
        <f t="shared" si="63"/>
        <v/>
      </c>
      <c r="AC168" s="386" t="str">
        <f t="shared" si="64"/>
        <v/>
      </c>
      <c r="AD168" s="386" t="str">
        <f t="shared" si="65"/>
        <v/>
      </c>
      <c r="AE168" s="386" t="str">
        <f t="shared" si="66"/>
        <v/>
      </c>
      <c r="AF168" s="386" t="str">
        <f t="shared" si="67"/>
        <v/>
      </c>
      <c r="AG168" s="386" t="str">
        <f t="shared" si="68"/>
        <v/>
      </c>
      <c r="AH168" s="386" t="str">
        <f t="shared" si="69"/>
        <v/>
      </c>
      <c r="AI168" s="386" t="str">
        <f t="shared" si="80"/>
        <v/>
      </c>
      <c r="AJ168" s="386" t="str">
        <f t="shared" si="81"/>
        <v/>
      </c>
      <c r="AK168" s="386" t="str">
        <f t="shared" si="82"/>
        <v/>
      </c>
      <c r="AL168" s="388"/>
      <c r="AM168" s="388"/>
      <c r="AN168" s="388"/>
      <c r="AO168" s="388"/>
      <c r="AP168" s="402" t="str">
        <f t="shared" si="70"/>
        <v/>
      </c>
      <c r="AQ168" s="388"/>
      <c r="AR168" s="388"/>
      <c r="AS168" s="388"/>
      <c r="AT168" s="388"/>
      <c r="AU168" s="402" t="str">
        <f t="shared" si="71"/>
        <v/>
      </c>
      <c r="AV168" s="389"/>
      <c r="AW168" s="381"/>
      <c r="AX168" s="381"/>
      <c r="AY168" s="373"/>
      <c r="AZ168" s="390"/>
      <c r="BA168" s="390"/>
      <c r="BB168" s="391"/>
      <c r="BC168" s="392"/>
      <c r="BD168" s="393"/>
      <c r="BE168" s="393"/>
      <c r="BF168" s="393"/>
      <c r="BG168" s="394"/>
      <c r="BH168" s="395"/>
      <c r="BI168" s="374"/>
      <c r="BJ168" s="374"/>
      <c r="BK168" s="374"/>
      <c r="BL168" s="389"/>
      <c r="BM168" s="397"/>
      <c r="BN168" s="389"/>
      <c r="BO168" s="419" t="str">
        <f t="shared" si="83"/>
        <v/>
      </c>
      <c r="BP168" s="389"/>
      <c r="BQ168" s="397"/>
      <c r="BR168" s="419"/>
      <c r="BS168" s="419"/>
      <c r="BT168" s="419"/>
      <c r="BU168" s="432"/>
      <c r="BV168" s="419"/>
      <c r="BW168" s="419"/>
      <c r="BX168" s="419"/>
      <c r="BY168" s="389"/>
      <c r="BZ168" s="389"/>
      <c r="CA168" s="389"/>
      <c r="CB168" s="389"/>
      <c r="CC168" s="389"/>
      <c r="CD168" s="389"/>
      <c r="CE168" s="389"/>
      <c r="CF168" s="389"/>
      <c r="CG168" s="389"/>
      <c r="CH168" s="389"/>
      <c r="CI168" s="389"/>
      <c r="CJ168" s="422"/>
      <c r="CK168" s="422"/>
      <c r="CL168" s="422"/>
      <c r="CM168" s="422"/>
      <c r="CN168" s="422"/>
      <c r="CO168" s="422"/>
      <c r="CP168" s="422"/>
      <c r="CQ168" s="432"/>
      <c r="CR168" s="431" t="str">
        <f t="shared" si="72"/>
        <v/>
      </c>
      <c r="CS168" s="35" t="str">
        <f t="shared" si="73"/>
        <v>Direct or WHSE.</v>
      </c>
      <c r="CT168" s="411"/>
      <c r="CW168" s="153" t="str">
        <f t="shared" si="75"/>
        <v/>
      </c>
      <c r="CX168" s="153" t="str">
        <f t="shared" si="75"/>
        <v/>
      </c>
      <c r="CY168" s="153" t="str">
        <f t="shared" si="74"/>
        <v/>
      </c>
    </row>
    <row r="169" spans="1:103" ht="19.5" customHeight="1">
      <c r="A169" s="10">
        <v>147</v>
      </c>
      <c r="B169" s="373"/>
      <c r="C169" s="373"/>
      <c r="D169" s="396"/>
      <c r="E169" s="375"/>
      <c r="F169" s="373"/>
      <c r="G169" s="373"/>
      <c r="H169" s="376"/>
      <c r="I169" s="377"/>
      <c r="J169" s="378"/>
      <c r="K169" s="379"/>
      <c r="L169" s="374"/>
      <c r="M169" s="380" t="str">
        <f t="shared" ca="1" si="76"/>
        <v/>
      </c>
      <c r="N169" s="373"/>
      <c r="O169" s="381"/>
      <c r="P169" s="381"/>
      <c r="Q169" s="382"/>
      <c r="R169" s="381"/>
      <c r="S169" s="383"/>
      <c r="T169" s="384" t="str">
        <f t="shared" si="77"/>
        <v/>
      </c>
      <c r="U169" s="385"/>
      <c r="V169" s="384" t="str">
        <f t="shared" si="78"/>
        <v/>
      </c>
      <c r="W169" s="386"/>
      <c r="X169" s="386" t="str">
        <f t="shared" si="79"/>
        <v/>
      </c>
      <c r="Y169" s="386" t="str">
        <f t="shared" si="61"/>
        <v/>
      </c>
      <c r="Z169" s="386" t="str">
        <f t="shared" si="62"/>
        <v/>
      </c>
      <c r="AA169" s="387"/>
      <c r="AB169" s="386" t="str">
        <f t="shared" si="63"/>
        <v/>
      </c>
      <c r="AC169" s="386" t="str">
        <f t="shared" si="64"/>
        <v/>
      </c>
      <c r="AD169" s="386" t="str">
        <f t="shared" si="65"/>
        <v/>
      </c>
      <c r="AE169" s="386" t="str">
        <f t="shared" si="66"/>
        <v/>
      </c>
      <c r="AF169" s="386" t="str">
        <f t="shared" si="67"/>
        <v/>
      </c>
      <c r="AG169" s="386" t="str">
        <f t="shared" si="68"/>
        <v/>
      </c>
      <c r="AH169" s="386" t="str">
        <f t="shared" si="69"/>
        <v/>
      </c>
      <c r="AI169" s="386" t="str">
        <f t="shared" si="80"/>
        <v/>
      </c>
      <c r="AJ169" s="386" t="str">
        <f t="shared" si="81"/>
        <v/>
      </c>
      <c r="AK169" s="386" t="str">
        <f t="shared" si="82"/>
        <v/>
      </c>
      <c r="AL169" s="388"/>
      <c r="AM169" s="388"/>
      <c r="AN169" s="388"/>
      <c r="AO169" s="388"/>
      <c r="AP169" s="402" t="str">
        <f t="shared" si="70"/>
        <v/>
      </c>
      <c r="AQ169" s="388"/>
      <c r="AR169" s="388"/>
      <c r="AS169" s="388"/>
      <c r="AT169" s="388"/>
      <c r="AU169" s="402" t="str">
        <f t="shared" si="71"/>
        <v/>
      </c>
      <c r="AV169" s="389"/>
      <c r="AW169" s="381"/>
      <c r="AX169" s="381"/>
      <c r="AY169" s="373"/>
      <c r="AZ169" s="390"/>
      <c r="BA169" s="390"/>
      <c r="BB169" s="391"/>
      <c r="BC169" s="392"/>
      <c r="BD169" s="393"/>
      <c r="BE169" s="393"/>
      <c r="BF169" s="393"/>
      <c r="BG169" s="394"/>
      <c r="BH169" s="395"/>
      <c r="BI169" s="374"/>
      <c r="BJ169" s="374"/>
      <c r="BK169" s="374"/>
      <c r="BL169" s="389"/>
      <c r="BM169" s="397"/>
      <c r="BN169" s="389"/>
      <c r="BO169" s="419" t="str">
        <f t="shared" si="83"/>
        <v/>
      </c>
      <c r="BP169" s="389"/>
      <c r="BQ169" s="397"/>
      <c r="BR169" s="419"/>
      <c r="BS169" s="419"/>
      <c r="BT169" s="419"/>
      <c r="BU169" s="432"/>
      <c r="BV169" s="419"/>
      <c r="BW169" s="419"/>
      <c r="BX169" s="419"/>
      <c r="BY169" s="389"/>
      <c r="BZ169" s="389"/>
      <c r="CA169" s="389"/>
      <c r="CB169" s="389"/>
      <c r="CC169" s="389"/>
      <c r="CD169" s="389"/>
      <c r="CE169" s="389"/>
      <c r="CF169" s="389"/>
      <c r="CG169" s="389"/>
      <c r="CH169" s="389"/>
      <c r="CI169" s="389"/>
      <c r="CJ169" s="422"/>
      <c r="CK169" s="422"/>
      <c r="CL169" s="422"/>
      <c r="CM169" s="422"/>
      <c r="CN169" s="422"/>
      <c r="CO169" s="422"/>
      <c r="CP169" s="422"/>
      <c r="CQ169" s="432"/>
      <c r="CR169" s="431" t="str">
        <f t="shared" si="72"/>
        <v/>
      </c>
      <c r="CS169" s="35" t="str">
        <f t="shared" si="73"/>
        <v>Direct or WHSE.</v>
      </c>
      <c r="CT169" s="411"/>
      <c r="CW169" s="153" t="str">
        <f t="shared" si="75"/>
        <v/>
      </c>
      <c r="CX169" s="153" t="str">
        <f t="shared" si="75"/>
        <v/>
      </c>
      <c r="CY169" s="153" t="str">
        <f t="shared" si="74"/>
        <v/>
      </c>
    </row>
    <row r="170" spans="1:103" ht="19.5" customHeight="1">
      <c r="A170" s="10">
        <v>148</v>
      </c>
      <c r="B170" s="373"/>
      <c r="C170" s="373"/>
      <c r="D170" s="396"/>
      <c r="E170" s="375"/>
      <c r="F170" s="373"/>
      <c r="G170" s="373"/>
      <c r="H170" s="376"/>
      <c r="I170" s="377"/>
      <c r="J170" s="378"/>
      <c r="K170" s="379"/>
      <c r="L170" s="374"/>
      <c r="M170" s="380" t="str">
        <f t="shared" ca="1" si="76"/>
        <v/>
      </c>
      <c r="N170" s="373"/>
      <c r="O170" s="381"/>
      <c r="P170" s="381"/>
      <c r="Q170" s="382"/>
      <c r="R170" s="381"/>
      <c r="S170" s="383"/>
      <c r="T170" s="384" t="str">
        <f t="shared" si="77"/>
        <v/>
      </c>
      <c r="U170" s="385"/>
      <c r="V170" s="384" t="str">
        <f t="shared" si="78"/>
        <v/>
      </c>
      <c r="W170" s="386"/>
      <c r="X170" s="386" t="str">
        <f t="shared" si="79"/>
        <v/>
      </c>
      <c r="Y170" s="386" t="str">
        <f t="shared" si="61"/>
        <v/>
      </c>
      <c r="Z170" s="386" t="str">
        <f t="shared" si="62"/>
        <v/>
      </c>
      <c r="AA170" s="387"/>
      <c r="AB170" s="386" t="str">
        <f t="shared" si="63"/>
        <v/>
      </c>
      <c r="AC170" s="386" t="str">
        <f t="shared" si="64"/>
        <v/>
      </c>
      <c r="AD170" s="386" t="str">
        <f t="shared" si="65"/>
        <v/>
      </c>
      <c r="AE170" s="386" t="str">
        <f t="shared" si="66"/>
        <v/>
      </c>
      <c r="AF170" s="386" t="str">
        <f t="shared" si="67"/>
        <v/>
      </c>
      <c r="AG170" s="386" t="str">
        <f t="shared" si="68"/>
        <v/>
      </c>
      <c r="AH170" s="386" t="str">
        <f t="shared" si="69"/>
        <v/>
      </c>
      <c r="AI170" s="386" t="str">
        <f t="shared" si="80"/>
        <v/>
      </c>
      <c r="AJ170" s="386" t="str">
        <f t="shared" si="81"/>
        <v/>
      </c>
      <c r="AK170" s="386" t="str">
        <f t="shared" si="82"/>
        <v/>
      </c>
      <c r="AL170" s="388"/>
      <c r="AM170" s="388"/>
      <c r="AN170" s="388"/>
      <c r="AO170" s="388"/>
      <c r="AP170" s="402" t="str">
        <f t="shared" si="70"/>
        <v/>
      </c>
      <c r="AQ170" s="388"/>
      <c r="AR170" s="388"/>
      <c r="AS170" s="388"/>
      <c r="AT170" s="388"/>
      <c r="AU170" s="402" t="str">
        <f t="shared" si="71"/>
        <v/>
      </c>
      <c r="AV170" s="389"/>
      <c r="AW170" s="381"/>
      <c r="AX170" s="381"/>
      <c r="AY170" s="373"/>
      <c r="AZ170" s="390"/>
      <c r="BA170" s="390"/>
      <c r="BB170" s="391"/>
      <c r="BC170" s="392"/>
      <c r="BD170" s="393"/>
      <c r="BE170" s="393"/>
      <c r="BF170" s="393"/>
      <c r="BG170" s="394"/>
      <c r="BH170" s="395"/>
      <c r="BI170" s="374"/>
      <c r="BJ170" s="374"/>
      <c r="BK170" s="374"/>
      <c r="BL170" s="389"/>
      <c r="BM170" s="397"/>
      <c r="BN170" s="389"/>
      <c r="BO170" s="419" t="str">
        <f t="shared" si="83"/>
        <v/>
      </c>
      <c r="BP170" s="389"/>
      <c r="BQ170" s="397"/>
      <c r="BR170" s="419"/>
      <c r="BS170" s="419"/>
      <c r="BT170" s="419"/>
      <c r="BU170" s="432"/>
      <c r="BV170" s="419"/>
      <c r="BW170" s="419"/>
      <c r="BX170" s="419"/>
      <c r="BY170" s="389"/>
      <c r="BZ170" s="389"/>
      <c r="CA170" s="389"/>
      <c r="CB170" s="389"/>
      <c r="CC170" s="389"/>
      <c r="CD170" s="389"/>
      <c r="CE170" s="389"/>
      <c r="CF170" s="389"/>
      <c r="CG170" s="389"/>
      <c r="CH170" s="389"/>
      <c r="CI170" s="389"/>
      <c r="CJ170" s="422"/>
      <c r="CK170" s="422"/>
      <c r="CL170" s="422"/>
      <c r="CM170" s="422"/>
      <c r="CN170" s="422"/>
      <c r="CO170" s="422"/>
      <c r="CP170" s="422"/>
      <c r="CQ170" s="432"/>
      <c r="CR170" s="431" t="str">
        <f t="shared" si="72"/>
        <v/>
      </c>
      <c r="CS170" s="35" t="str">
        <f t="shared" si="73"/>
        <v>Direct or WHSE.</v>
      </c>
      <c r="CT170" s="411"/>
      <c r="CW170" s="153" t="str">
        <f t="shared" si="75"/>
        <v/>
      </c>
      <c r="CX170" s="153" t="str">
        <f t="shared" si="75"/>
        <v/>
      </c>
      <c r="CY170" s="153" t="str">
        <f t="shared" si="74"/>
        <v/>
      </c>
    </row>
    <row r="171" spans="1:103" ht="19.5" customHeight="1">
      <c r="A171" s="10">
        <v>149</v>
      </c>
      <c r="B171" s="373"/>
      <c r="C171" s="373"/>
      <c r="D171" s="396"/>
      <c r="E171" s="375"/>
      <c r="F171" s="373"/>
      <c r="G171" s="373"/>
      <c r="H171" s="376"/>
      <c r="I171" s="377"/>
      <c r="J171" s="378"/>
      <c r="K171" s="379"/>
      <c r="L171" s="374"/>
      <c r="M171" s="380" t="str">
        <f t="shared" ca="1" si="76"/>
        <v/>
      </c>
      <c r="N171" s="373"/>
      <c r="O171" s="381"/>
      <c r="P171" s="381"/>
      <c r="Q171" s="382"/>
      <c r="R171" s="381"/>
      <c r="S171" s="383"/>
      <c r="T171" s="384" t="str">
        <f t="shared" si="77"/>
        <v/>
      </c>
      <c r="U171" s="385"/>
      <c r="V171" s="384" t="str">
        <f t="shared" si="78"/>
        <v/>
      </c>
      <c r="W171" s="386"/>
      <c r="X171" s="386" t="str">
        <f t="shared" si="79"/>
        <v/>
      </c>
      <c r="Y171" s="386" t="str">
        <f t="shared" si="61"/>
        <v/>
      </c>
      <c r="Z171" s="386" t="str">
        <f t="shared" si="62"/>
        <v/>
      </c>
      <c r="AA171" s="387"/>
      <c r="AB171" s="386" t="str">
        <f t="shared" si="63"/>
        <v/>
      </c>
      <c r="AC171" s="386" t="str">
        <f t="shared" si="64"/>
        <v/>
      </c>
      <c r="AD171" s="386" t="str">
        <f t="shared" si="65"/>
        <v/>
      </c>
      <c r="AE171" s="386" t="str">
        <f t="shared" si="66"/>
        <v/>
      </c>
      <c r="AF171" s="386" t="str">
        <f t="shared" si="67"/>
        <v/>
      </c>
      <c r="AG171" s="386" t="str">
        <f t="shared" si="68"/>
        <v/>
      </c>
      <c r="AH171" s="386" t="str">
        <f t="shared" si="69"/>
        <v/>
      </c>
      <c r="AI171" s="386" t="str">
        <f t="shared" si="80"/>
        <v/>
      </c>
      <c r="AJ171" s="386" t="str">
        <f t="shared" si="81"/>
        <v/>
      </c>
      <c r="AK171" s="386" t="str">
        <f t="shared" si="82"/>
        <v/>
      </c>
      <c r="AL171" s="388"/>
      <c r="AM171" s="388"/>
      <c r="AN171" s="388"/>
      <c r="AO171" s="388"/>
      <c r="AP171" s="402" t="str">
        <f t="shared" si="70"/>
        <v/>
      </c>
      <c r="AQ171" s="388"/>
      <c r="AR171" s="388"/>
      <c r="AS171" s="388"/>
      <c r="AT171" s="388"/>
      <c r="AU171" s="402" t="str">
        <f t="shared" si="71"/>
        <v/>
      </c>
      <c r="AV171" s="389"/>
      <c r="AW171" s="381"/>
      <c r="AX171" s="381"/>
      <c r="AY171" s="373"/>
      <c r="AZ171" s="390"/>
      <c r="BA171" s="390"/>
      <c r="BB171" s="391"/>
      <c r="BC171" s="392"/>
      <c r="BD171" s="393"/>
      <c r="BE171" s="393"/>
      <c r="BF171" s="393"/>
      <c r="BG171" s="394"/>
      <c r="BH171" s="395"/>
      <c r="BI171" s="374"/>
      <c r="BJ171" s="374"/>
      <c r="BK171" s="374"/>
      <c r="BL171" s="389"/>
      <c r="BM171" s="397"/>
      <c r="BN171" s="389"/>
      <c r="BO171" s="419" t="str">
        <f t="shared" si="83"/>
        <v/>
      </c>
      <c r="BP171" s="389"/>
      <c r="BQ171" s="397"/>
      <c r="BR171" s="419"/>
      <c r="BS171" s="419"/>
      <c r="BT171" s="419"/>
      <c r="BU171" s="432"/>
      <c r="BV171" s="419"/>
      <c r="BW171" s="419"/>
      <c r="BX171" s="419"/>
      <c r="BY171" s="389"/>
      <c r="BZ171" s="389"/>
      <c r="CA171" s="389"/>
      <c r="CB171" s="389"/>
      <c r="CC171" s="389"/>
      <c r="CD171" s="389"/>
      <c r="CE171" s="389"/>
      <c r="CF171" s="389"/>
      <c r="CG171" s="389"/>
      <c r="CH171" s="389"/>
      <c r="CI171" s="389"/>
      <c r="CJ171" s="422"/>
      <c r="CK171" s="422"/>
      <c r="CL171" s="422"/>
      <c r="CM171" s="422"/>
      <c r="CN171" s="422"/>
      <c r="CO171" s="422"/>
      <c r="CP171" s="422"/>
      <c r="CQ171" s="432"/>
      <c r="CR171" s="431" t="str">
        <f t="shared" si="72"/>
        <v/>
      </c>
      <c r="CS171" s="35" t="str">
        <f t="shared" si="73"/>
        <v>Direct or WHSE.</v>
      </c>
      <c r="CT171" s="411"/>
      <c r="CW171" s="153" t="str">
        <f t="shared" si="75"/>
        <v/>
      </c>
      <c r="CX171" s="153" t="str">
        <f t="shared" si="75"/>
        <v/>
      </c>
      <c r="CY171" s="153" t="str">
        <f t="shared" si="74"/>
        <v/>
      </c>
    </row>
    <row r="172" spans="1:103" ht="19.5" customHeight="1">
      <c r="A172" s="10">
        <v>150</v>
      </c>
      <c r="B172" s="373"/>
      <c r="C172" s="373"/>
      <c r="D172" s="396"/>
      <c r="E172" s="375"/>
      <c r="F172" s="373"/>
      <c r="G172" s="373"/>
      <c r="H172" s="376"/>
      <c r="I172" s="377"/>
      <c r="J172" s="378"/>
      <c r="K172" s="379"/>
      <c r="L172" s="374"/>
      <c r="M172" s="380" t="str">
        <f t="shared" ca="1" si="76"/>
        <v/>
      </c>
      <c r="N172" s="373"/>
      <c r="O172" s="381"/>
      <c r="P172" s="381"/>
      <c r="Q172" s="382"/>
      <c r="R172" s="381"/>
      <c r="S172" s="383"/>
      <c r="T172" s="384" t="str">
        <f t="shared" si="77"/>
        <v/>
      </c>
      <c r="U172" s="385"/>
      <c r="V172" s="384" t="str">
        <f t="shared" si="78"/>
        <v/>
      </c>
      <c r="W172" s="386"/>
      <c r="X172" s="386" t="str">
        <f t="shared" si="79"/>
        <v/>
      </c>
      <c r="Y172" s="386" t="str">
        <f t="shared" si="61"/>
        <v/>
      </c>
      <c r="Z172" s="386" t="str">
        <f t="shared" si="62"/>
        <v/>
      </c>
      <c r="AA172" s="387"/>
      <c r="AB172" s="386" t="str">
        <f t="shared" si="63"/>
        <v/>
      </c>
      <c r="AC172" s="386" t="str">
        <f t="shared" si="64"/>
        <v/>
      </c>
      <c r="AD172" s="386" t="str">
        <f t="shared" si="65"/>
        <v/>
      </c>
      <c r="AE172" s="386" t="str">
        <f t="shared" si="66"/>
        <v/>
      </c>
      <c r="AF172" s="386" t="str">
        <f t="shared" si="67"/>
        <v/>
      </c>
      <c r="AG172" s="386" t="str">
        <f t="shared" si="68"/>
        <v/>
      </c>
      <c r="AH172" s="386" t="str">
        <f t="shared" si="69"/>
        <v/>
      </c>
      <c r="AI172" s="386" t="str">
        <f t="shared" si="80"/>
        <v/>
      </c>
      <c r="AJ172" s="386" t="str">
        <f t="shared" si="81"/>
        <v/>
      </c>
      <c r="AK172" s="386" t="str">
        <f t="shared" si="82"/>
        <v/>
      </c>
      <c r="AL172" s="388"/>
      <c r="AM172" s="388"/>
      <c r="AN172" s="388"/>
      <c r="AO172" s="388"/>
      <c r="AP172" s="402" t="str">
        <f t="shared" si="70"/>
        <v/>
      </c>
      <c r="AQ172" s="388"/>
      <c r="AR172" s="388"/>
      <c r="AS172" s="388"/>
      <c r="AT172" s="388"/>
      <c r="AU172" s="402" t="str">
        <f t="shared" si="71"/>
        <v/>
      </c>
      <c r="AV172" s="389"/>
      <c r="AW172" s="381"/>
      <c r="AX172" s="381"/>
      <c r="AY172" s="373"/>
      <c r="AZ172" s="390"/>
      <c r="BA172" s="390"/>
      <c r="BB172" s="391"/>
      <c r="BC172" s="392"/>
      <c r="BD172" s="393"/>
      <c r="BE172" s="393"/>
      <c r="BF172" s="393"/>
      <c r="BG172" s="394"/>
      <c r="BH172" s="395"/>
      <c r="BI172" s="374"/>
      <c r="BJ172" s="374"/>
      <c r="BK172" s="374"/>
      <c r="BL172" s="389"/>
      <c r="BM172" s="397"/>
      <c r="BN172" s="389"/>
      <c r="BO172" s="419" t="str">
        <f t="shared" si="83"/>
        <v/>
      </c>
      <c r="BP172" s="389"/>
      <c r="BQ172" s="397"/>
      <c r="BR172" s="419"/>
      <c r="BS172" s="419"/>
      <c r="BT172" s="419"/>
      <c r="BU172" s="432"/>
      <c r="BV172" s="419"/>
      <c r="BW172" s="419"/>
      <c r="BX172" s="419"/>
      <c r="BY172" s="389"/>
      <c r="BZ172" s="389"/>
      <c r="CA172" s="389"/>
      <c r="CB172" s="389"/>
      <c r="CC172" s="389"/>
      <c r="CD172" s="389"/>
      <c r="CE172" s="389"/>
      <c r="CF172" s="389"/>
      <c r="CG172" s="389"/>
      <c r="CH172" s="389"/>
      <c r="CI172" s="389"/>
      <c r="CJ172" s="422"/>
      <c r="CK172" s="422"/>
      <c r="CL172" s="422"/>
      <c r="CM172" s="422"/>
      <c r="CN172" s="422"/>
      <c r="CO172" s="422"/>
      <c r="CP172" s="422"/>
      <c r="CQ172" s="432"/>
      <c r="CR172" s="431" t="str">
        <f t="shared" si="72"/>
        <v/>
      </c>
      <c r="CS172" s="35" t="str">
        <f t="shared" si="73"/>
        <v>Direct or WHSE.</v>
      </c>
      <c r="CT172" s="411"/>
      <c r="CW172" s="153" t="str">
        <f t="shared" si="75"/>
        <v/>
      </c>
      <c r="CX172" s="153" t="str">
        <f t="shared" si="75"/>
        <v/>
      </c>
      <c r="CY172" s="153" t="str">
        <f t="shared" si="74"/>
        <v/>
      </c>
    </row>
    <row r="173" spans="1:103" ht="19.5" customHeight="1">
      <c r="A173" s="10">
        <v>151</v>
      </c>
      <c r="B173" s="373"/>
      <c r="C173" s="373"/>
      <c r="D173" s="396"/>
      <c r="E173" s="375"/>
      <c r="F173" s="373"/>
      <c r="G173" s="373"/>
      <c r="H173" s="376"/>
      <c r="I173" s="377"/>
      <c r="J173" s="378"/>
      <c r="K173" s="379"/>
      <c r="L173" s="374"/>
      <c r="M173" s="380" t="str">
        <f t="shared" ca="1" si="76"/>
        <v/>
      </c>
      <c r="N173" s="373"/>
      <c r="O173" s="381"/>
      <c r="P173" s="381"/>
      <c r="Q173" s="382"/>
      <c r="R173" s="381"/>
      <c r="S173" s="383"/>
      <c r="T173" s="384" t="str">
        <f t="shared" si="77"/>
        <v/>
      </c>
      <c r="U173" s="385"/>
      <c r="V173" s="384" t="str">
        <f t="shared" si="78"/>
        <v/>
      </c>
      <c r="W173" s="386"/>
      <c r="X173" s="386" t="str">
        <f t="shared" si="79"/>
        <v/>
      </c>
      <c r="Y173" s="386" t="str">
        <f t="shared" si="61"/>
        <v/>
      </c>
      <c r="Z173" s="386" t="str">
        <f t="shared" si="62"/>
        <v/>
      </c>
      <c r="AA173" s="387"/>
      <c r="AB173" s="386" t="str">
        <f t="shared" si="63"/>
        <v/>
      </c>
      <c r="AC173" s="386" t="str">
        <f t="shared" si="64"/>
        <v/>
      </c>
      <c r="AD173" s="386" t="str">
        <f t="shared" si="65"/>
        <v/>
      </c>
      <c r="AE173" s="386" t="str">
        <f t="shared" si="66"/>
        <v/>
      </c>
      <c r="AF173" s="386" t="str">
        <f t="shared" si="67"/>
        <v/>
      </c>
      <c r="AG173" s="386" t="str">
        <f t="shared" si="68"/>
        <v/>
      </c>
      <c r="AH173" s="386" t="str">
        <f t="shared" si="69"/>
        <v/>
      </c>
      <c r="AI173" s="386" t="str">
        <f t="shared" si="80"/>
        <v/>
      </c>
      <c r="AJ173" s="386" t="str">
        <f t="shared" si="81"/>
        <v/>
      </c>
      <c r="AK173" s="386" t="str">
        <f t="shared" si="82"/>
        <v/>
      </c>
      <c r="AL173" s="388"/>
      <c r="AM173" s="388"/>
      <c r="AN173" s="388"/>
      <c r="AO173" s="388"/>
      <c r="AP173" s="402" t="str">
        <f t="shared" si="70"/>
        <v/>
      </c>
      <c r="AQ173" s="388"/>
      <c r="AR173" s="388"/>
      <c r="AS173" s="388"/>
      <c r="AT173" s="388"/>
      <c r="AU173" s="402" t="str">
        <f t="shared" si="71"/>
        <v/>
      </c>
      <c r="AV173" s="389"/>
      <c r="AW173" s="381"/>
      <c r="AX173" s="381"/>
      <c r="AY173" s="373"/>
      <c r="AZ173" s="390"/>
      <c r="BA173" s="390"/>
      <c r="BB173" s="391"/>
      <c r="BC173" s="392"/>
      <c r="BD173" s="393"/>
      <c r="BE173" s="393"/>
      <c r="BF173" s="393"/>
      <c r="BG173" s="394"/>
      <c r="BH173" s="395"/>
      <c r="BI173" s="374"/>
      <c r="BJ173" s="374"/>
      <c r="BK173" s="374"/>
      <c r="BL173" s="389"/>
      <c r="BM173" s="397"/>
      <c r="BN173" s="389"/>
      <c r="BO173" s="419" t="str">
        <f t="shared" si="83"/>
        <v/>
      </c>
      <c r="BP173" s="389"/>
      <c r="BQ173" s="397"/>
      <c r="BR173" s="419"/>
      <c r="BS173" s="419"/>
      <c r="BT173" s="419"/>
      <c r="BU173" s="432"/>
      <c r="BV173" s="419"/>
      <c r="BW173" s="419"/>
      <c r="BX173" s="419"/>
      <c r="BY173" s="389"/>
      <c r="BZ173" s="389"/>
      <c r="CA173" s="389"/>
      <c r="CB173" s="389"/>
      <c r="CC173" s="389"/>
      <c r="CD173" s="389"/>
      <c r="CE173" s="389"/>
      <c r="CF173" s="389"/>
      <c r="CG173" s="389"/>
      <c r="CH173" s="389"/>
      <c r="CI173" s="389"/>
      <c r="CJ173" s="422"/>
      <c r="CK173" s="422"/>
      <c r="CL173" s="422"/>
      <c r="CM173" s="422"/>
      <c r="CN173" s="422"/>
      <c r="CO173" s="422"/>
      <c r="CP173" s="422"/>
      <c r="CQ173" s="432"/>
      <c r="CR173" s="431" t="str">
        <f t="shared" si="72"/>
        <v/>
      </c>
      <c r="CS173" s="35" t="str">
        <f t="shared" si="73"/>
        <v>Direct or WHSE.</v>
      </c>
      <c r="CT173" s="411"/>
      <c r="CW173" s="153" t="str">
        <f t="shared" si="75"/>
        <v/>
      </c>
      <c r="CX173" s="153" t="str">
        <f t="shared" si="75"/>
        <v/>
      </c>
      <c r="CY173" s="153" t="str">
        <f t="shared" si="74"/>
        <v/>
      </c>
    </row>
    <row r="174" spans="1:103" ht="19.5" customHeight="1">
      <c r="A174" s="10">
        <v>152</v>
      </c>
      <c r="B174" s="373"/>
      <c r="C174" s="373"/>
      <c r="D174" s="396"/>
      <c r="E174" s="375"/>
      <c r="F174" s="373"/>
      <c r="G174" s="373"/>
      <c r="H174" s="376"/>
      <c r="I174" s="377"/>
      <c r="J174" s="378"/>
      <c r="K174" s="379"/>
      <c r="L174" s="374"/>
      <c r="M174" s="380" t="str">
        <f t="shared" ca="1" si="76"/>
        <v/>
      </c>
      <c r="N174" s="373"/>
      <c r="O174" s="381"/>
      <c r="P174" s="381"/>
      <c r="Q174" s="382"/>
      <c r="R174" s="381"/>
      <c r="S174" s="383"/>
      <c r="T174" s="384" t="str">
        <f t="shared" si="77"/>
        <v/>
      </c>
      <c r="U174" s="385"/>
      <c r="V174" s="384" t="str">
        <f t="shared" si="78"/>
        <v/>
      </c>
      <c r="W174" s="386"/>
      <c r="X174" s="386" t="str">
        <f t="shared" si="79"/>
        <v/>
      </c>
      <c r="Y174" s="386" t="str">
        <f t="shared" si="61"/>
        <v/>
      </c>
      <c r="Z174" s="386" t="str">
        <f t="shared" si="62"/>
        <v/>
      </c>
      <c r="AA174" s="387"/>
      <c r="AB174" s="386" t="str">
        <f t="shared" si="63"/>
        <v/>
      </c>
      <c r="AC174" s="386" t="str">
        <f t="shared" si="64"/>
        <v/>
      </c>
      <c r="AD174" s="386" t="str">
        <f t="shared" si="65"/>
        <v/>
      </c>
      <c r="AE174" s="386" t="str">
        <f t="shared" si="66"/>
        <v/>
      </c>
      <c r="AF174" s="386" t="str">
        <f t="shared" si="67"/>
        <v/>
      </c>
      <c r="AG174" s="386" t="str">
        <f t="shared" si="68"/>
        <v/>
      </c>
      <c r="AH174" s="386" t="str">
        <f t="shared" si="69"/>
        <v/>
      </c>
      <c r="AI174" s="386" t="str">
        <f t="shared" si="80"/>
        <v/>
      </c>
      <c r="AJ174" s="386" t="str">
        <f t="shared" si="81"/>
        <v/>
      </c>
      <c r="AK174" s="386" t="str">
        <f t="shared" si="82"/>
        <v/>
      </c>
      <c r="AL174" s="388"/>
      <c r="AM174" s="388"/>
      <c r="AN174" s="388"/>
      <c r="AO174" s="388"/>
      <c r="AP174" s="402" t="str">
        <f t="shared" si="70"/>
        <v/>
      </c>
      <c r="AQ174" s="388"/>
      <c r="AR174" s="388"/>
      <c r="AS174" s="388"/>
      <c r="AT174" s="388"/>
      <c r="AU174" s="402" t="str">
        <f t="shared" si="71"/>
        <v/>
      </c>
      <c r="AV174" s="389"/>
      <c r="AW174" s="381"/>
      <c r="AX174" s="381"/>
      <c r="AY174" s="373"/>
      <c r="AZ174" s="390"/>
      <c r="BA174" s="390"/>
      <c r="BB174" s="391"/>
      <c r="BC174" s="392"/>
      <c r="BD174" s="393"/>
      <c r="BE174" s="393"/>
      <c r="BF174" s="393"/>
      <c r="BG174" s="394"/>
      <c r="BH174" s="395"/>
      <c r="BI174" s="374"/>
      <c r="BJ174" s="374"/>
      <c r="BK174" s="374"/>
      <c r="BL174" s="389"/>
      <c r="BM174" s="397"/>
      <c r="BN174" s="389"/>
      <c r="BO174" s="419" t="str">
        <f t="shared" si="83"/>
        <v/>
      </c>
      <c r="BP174" s="389"/>
      <c r="BQ174" s="397"/>
      <c r="BR174" s="419"/>
      <c r="BS174" s="419"/>
      <c r="BT174" s="419"/>
      <c r="BU174" s="432"/>
      <c r="BV174" s="419"/>
      <c r="BW174" s="419"/>
      <c r="BX174" s="419"/>
      <c r="BY174" s="389"/>
      <c r="BZ174" s="389"/>
      <c r="CA174" s="389"/>
      <c r="CB174" s="389"/>
      <c r="CC174" s="389"/>
      <c r="CD174" s="389"/>
      <c r="CE174" s="389"/>
      <c r="CF174" s="389"/>
      <c r="CG174" s="389"/>
      <c r="CH174" s="389"/>
      <c r="CI174" s="389"/>
      <c r="CJ174" s="422"/>
      <c r="CK174" s="422"/>
      <c r="CL174" s="422"/>
      <c r="CM174" s="422"/>
      <c r="CN174" s="422"/>
      <c r="CO174" s="422"/>
      <c r="CP174" s="422"/>
      <c r="CQ174" s="432"/>
      <c r="CR174" s="431" t="str">
        <f t="shared" si="72"/>
        <v/>
      </c>
      <c r="CS174" s="35" t="str">
        <f t="shared" si="73"/>
        <v>Direct or WHSE.</v>
      </c>
      <c r="CT174" s="411"/>
      <c r="CW174" s="153" t="str">
        <f t="shared" si="75"/>
        <v/>
      </c>
      <c r="CX174" s="153" t="str">
        <f t="shared" si="75"/>
        <v/>
      </c>
      <c r="CY174" s="153" t="str">
        <f t="shared" si="74"/>
        <v/>
      </c>
    </row>
    <row r="175" spans="1:103" ht="19.5" customHeight="1">
      <c r="A175" s="10">
        <v>153</v>
      </c>
      <c r="B175" s="373"/>
      <c r="C175" s="373"/>
      <c r="D175" s="396"/>
      <c r="E175" s="375"/>
      <c r="F175" s="373"/>
      <c r="G175" s="373"/>
      <c r="H175" s="376"/>
      <c r="I175" s="377"/>
      <c r="J175" s="378"/>
      <c r="K175" s="379"/>
      <c r="L175" s="374"/>
      <c r="M175" s="380" t="str">
        <f t="shared" ca="1" si="76"/>
        <v/>
      </c>
      <c r="N175" s="373"/>
      <c r="O175" s="381"/>
      <c r="P175" s="381"/>
      <c r="Q175" s="382"/>
      <c r="R175" s="381"/>
      <c r="S175" s="383"/>
      <c r="T175" s="384" t="str">
        <f t="shared" si="77"/>
        <v/>
      </c>
      <c r="U175" s="385"/>
      <c r="V175" s="384" t="str">
        <f t="shared" si="78"/>
        <v/>
      </c>
      <c r="W175" s="386"/>
      <c r="X175" s="386" t="str">
        <f t="shared" si="79"/>
        <v/>
      </c>
      <c r="Y175" s="386" t="str">
        <f t="shared" si="61"/>
        <v/>
      </c>
      <c r="Z175" s="386" t="str">
        <f t="shared" si="62"/>
        <v/>
      </c>
      <c r="AA175" s="387"/>
      <c r="AB175" s="386" t="str">
        <f t="shared" si="63"/>
        <v/>
      </c>
      <c r="AC175" s="386" t="str">
        <f t="shared" si="64"/>
        <v/>
      </c>
      <c r="AD175" s="386" t="str">
        <f t="shared" si="65"/>
        <v/>
      </c>
      <c r="AE175" s="386" t="str">
        <f t="shared" si="66"/>
        <v/>
      </c>
      <c r="AF175" s="386" t="str">
        <f t="shared" si="67"/>
        <v/>
      </c>
      <c r="AG175" s="386" t="str">
        <f t="shared" si="68"/>
        <v/>
      </c>
      <c r="AH175" s="386" t="str">
        <f t="shared" si="69"/>
        <v/>
      </c>
      <c r="AI175" s="386" t="str">
        <f t="shared" si="80"/>
        <v/>
      </c>
      <c r="AJ175" s="386" t="str">
        <f t="shared" si="81"/>
        <v/>
      </c>
      <c r="AK175" s="386" t="str">
        <f t="shared" si="82"/>
        <v/>
      </c>
      <c r="AL175" s="388"/>
      <c r="AM175" s="388"/>
      <c r="AN175" s="388"/>
      <c r="AO175" s="388"/>
      <c r="AP175" s="402" t="str">
        <f t="shared" si="70"/>
        <v/>
      </c>
      <c r="AQ175" s="388"/>
      <c r="AR175" s="388"/>
      <c r="AS175" s="388"/>
      <c r="AT175" s="388"/>
      <c r="AU175" s="402" t="str">
        <f t="shared" si="71"/>
        <v/>
      </c>
      <c r="AV175" s="389"/>
      <c r="AW175" s="381"/>
      <c r="AX175" s="381"/>
      <c r="AY175" s="373"/>
      <c r="AZ175" s="390"/>
      <c r="BA175" s="390"/>
      <c r="BB175" s="391"/>
      <c r="BC175" s="392"/>
      <c r="BD175" s="393"/>
      <c r="BE175" s="393"/>
      <c r="BF175" s="393"/>
      <c r="BG175" s="394"/>
      <c r="BH175" s="395"/>
      <c r="BI175" s="374"/>
      <c r="BJ175" s="374"/>
      <c r="BK175" s="374"/>
      <c r="BL175" s="389"/>
      <c r="BM175" s="397"/>
      <c r="BN175" s="389"/>
      <c r="BO175" s="419" t="str">
        <f t="shared" si="83"/>
        <v/>
      </c>
      <c r="BP175" s="389"/>
      <c r="BQ175" s="397"/>
      <c r="BR175" s="419"/>
      <c r="BS175" s="419"/>
      <c r="BT175" s="419"/>
      <c r="BU175" s="432"/>
      <c r="BV175" s="419"/>
      <c r="BW175" s="419"/>
      <c r="BX175" s="419"/>
      <c r="BY175" s="389"/>
      <c r="BZ175" s="389"/>
      <c r="CA175" s="389"/>
      <c r="CB175" s="389"/>
      <c r="CC175" s="389"/>
      <c r="CD175" s="389"/>
      <c r="CE175" s="389"/>
      <c r="CF175" s="389"/>
      <c r="CG175" s="389"/>
      <c r="CH175" s="389"/>
      <c r="CI175" s="389"/>
      <c r="CJ175" s="422"/>
      <c r="CK175" s="422"/>
      <c r="CL175" s="422"/>
      <c r="CM175" s="422"/>
      <c r="CN175" s="422"/>
      <c r="CO175" s="422"/>
      <c r="CP175" s="422"/>
      <c r="CQ175" s="432"/>
      <c r="CR175" s="431" t="str">
        <f t="shared" si="72"/>
        <v/>
      </c>
      <c r="CS175" s="35" t="str">
        <f t="shared" si="73"/>
        <v>Direct or WHSE.</v>
      </c>
      <c r="CT175" s="411"/>
      <c r="CW175" s="153" t="str">
        <f t="shared" si="75"/>
        <v/>
      </c>
      <c r="CX175" s="153" t="str">
        <f t="shared" si="75"/>
        <v/>
      </c>
      <c r="CY175" s="153" t="str">
        <f t="shared" si="74"/>
        <v/>
      </c>
    </row>
    <row r="176" spans="1:103" ht="19.5" customHeight="1">
      <c r="A176" s="10">
        <v>154</v>
      </c>
      <c r="B176" s="373"/>
      <c r="C176" s="373"/>
      <c r="D176" s="396"/>
      <c r="E176" s="375"/>
      <c r="F176" s="373"/>
      <c r="G176" s="373"/>
      <c r="H176" s="376"/>
      <c r="I176" s="377"/>
      <c r="J176" s="378"/>
      <c r="K176" s="379"/>
      <c r="L176" s="374"/>
      <c r="M176" s="380" t="str">
        <f t="shared" ca="1" si="76"/>
        <v/>
      </c>
      <c r="N176" s="373"/>
      <c r="O176" s="381"/>
      <c r="P176" s="381"/>
      <c r="Q176" s="382"/>
      <c r="R176" s="381"/>
      <c r="S176" s="383"/>
      <c r="T176" s="384" t="str">
        <f t="shared" si="77"/>
        <v/>
      </c>
      <c r="U176" s="385"/>
      <c r="V176" s="384" t="str">
        <f t="shared" si="78"/>
        <v/>
      </c>
      <c r="W176" s="386"/>
      <c r="X176" s="386" t="str">
        <f t="shared" si="79"/>
        <v/>
      </c>
      <c r="Y176" s="386" t="str">
        <f t="shared" si="61"/>
        <v/>
      </c>
      <c r="Z176" s="386" t="str">
        <f t="shared" si="62"/>
        <v/>
      </c>
      <c r="AA176" s="387"/>
      <c r="AB176" s="386" t="str">
        <f t="shared" si="63"/>
        <v/>
      </c>
      <c r="AC176" s="386" t="str">
        <f t="shared" si="64"/>
        <v/>
      </c>
      <c r="AD176" s="386" t="str">
        <f t="shared" si="65"/>
        <v/>
      </c>
      <c r="AE176" s="386" t="str">
        <f t="shared" si="66"/>
        <v/>
      </c>
      <c r="AF176" s="386" t="str">
        <f t="shared" si="67"/>
        <v/>
      </c>
      <c r="AG176" s="386" t="str">
        <f t="shared" si="68"/>
        <v/>
      </c>
      <c r="AH176" s="386" t="str">
        <f t="shared" si="69"/>
        <v/>
      </c>
      <c r="AI176" s="386" t="str">
        <f t="shared" si="80"/>
        <v/>
      </c>
      <c r="AJ176" s="386" t="str">
        <f t="shared" si="81"/>
        <v/>
      </c>
      <c r="AK176" s="386" t="str">
        <f t="shared" si="82"/>
        <v/>
      </c>
      <c r="AL176" s="388"/>
      <c r="AM176" s="388"/>
      <c r="AN176" s="388"/>
      <c r="AO176" s="388"/>
      <c r="AP176" s="402" t="str">
        <f t="shared" si="70"/>
        <v/>
      </c>
      <c r="AQ176" s="388"/>
      <c r="AR176" s="388"/>
      <c r="AS176" s="388"/>
      <c r="AT176" s="388"/>
      <c r="AU176" s="402" t="str">
        <f t="shared" si="71"/>
        <v/>
      </c>
      <c r="AV176" s="389"/>
      <c r="AW176" s="381"/>
      <c r="AX176" s="381"/>
      <c r="AY176" s="373"/>
      <c r="AZ176" s="390"/>
      <c r="BA176" s="390"/>
      <c r="BB176" s="391"/>
      <c r="BC176" s="392"/>
      <c r="BD176" s="393"/>
      <c r="BE176" s="393"/>
      <c r="BF176" s="393"/>
      <c r="BG176" s="394"/>
      <c r="BH176" s="395"/>
      <c r="BI176" s="374"/>
      <c r="BJ176" s="374"/>
      <c r="BK176" s="374"/>
      <c r="BL176" s="389"/>
      <c r="BM176" s="397"/>
      <c r="BN176" s="389"/>
      <c r="BO176" s="419" t="str">
        <f t="shared" si="83"/>
        <v/>
      </c>
      <c r="BP176" s="389"/>
      <c r="BQ176" s="397"/>
      <c r="BR176" s="419"/>
      <c r="BS176" s="419"/>
      <c r="BT176" s="419"/>
      <c r="BU176" s="432"/>
      <c r="BV176" s="419"/>
      <c r="BW176" s="419"/>
      <c r="BX176" s="419"/>
      <c r="BY176" s="389"/>
      <c r="BZ176" s="389"/>
      <c r="CA176" s="389"/>
      <c r="CB176" s="389"/>
      <c r="CC176" s="389"/>
      <c r="CD176" s="389"/>
      <c r="CE176" s="389"/>
      <c r="CF176" s="389"/>
      <c r="CG176" s="389"/>
      <c r="CH176" s="389"/>
      <c r="CI176" s="389"/>
      <c r="CJ176" s="422"/>
      <c r="CK176" s="422"/>
      <c r="CL176" s="422"/>
      <c r="CM176" s="422"/>
      <c r="CN176" s="422"/>
      <c r="CO176" s="422"/>
      <c r="CP176" s="422"/>
      <c r="CQ176" s="432"/>
      <c r="CR176" s="431" t="str">
        <f t="shared" si="72"/>
        <v/>
      </c>
      <c r="CS176" s="35" t="str">
        <f t="shared" si="73"/>
        <v>Direct or WHSE.</v>
      </c>
      <c r="CT176" s="411"/>
      <c r="CW176" s="153" t="str">
        <f t="shared" si="75"/>
        <v/>
      </c>
      <c r="CX176" s="153" t="str">
        <f t="shared" si="75"/>
        <v/>
      </c>
      <c r="CY176" s="153" t="str">
        <f t="shared" si="74"/>
        <v/>
      </c>
    </row>
    <row r="177" spans="1:103" ht="19.5" customHeight="1">
      <c r="A177" s="10">
        <v>155</v>
      </c>
      <c r="B177" s="373"/>
      <c r="C177" s="373"/>
      <c r="D177" s="396"/>
      <c r="E177" s="375"/>
      <c r="F177" s="373"/>
      <c r="G177" s="373"/>
      <c r="H177" s="376"/>
      <c r="I177" s="377"/>
      <c r="J177" s="378"/>
      <c r="K177" s="379"/>
      <c r="L177" s="374"/>
      <c r="M177" s="380" t="str">
        <f t="shared" ca="1" si="76"/>
        <v/>
      </c>
      <c r="N177" s="373"/>
      <c r="O177" s="381"/>
      <c r="P177" s="381"/>
      <c r="Q177" s="382"/>
      <c r="R177" s="381"/>
      <c r="S177" s="383"/>
      <c r="T177" s="384" t="str">
        <f t="shared" si="77"/>
        <v/>
      </c>
      <c r="U177" s="385"/>
      <c r="V177" s="384" t="str">
        <f t="shared" si="78"/>
        <v/>
      </c>
      <c r="W177" s="386"/>
      <c r="X177" s="386" t="str">
        <f t="shared" si="79"/>
        <v/>
      </c>
      <c r="Y177" s="386" t="str">
        <f t="shared" si="61"/>
        <v/>
      </c>
      <c r="Z177" s="386" t="str">
        <f t="shared" si="62"/>
        <v/>
      </c>
      <c r="AA177" s="387"/>
      <c r="AB177" s="386" t="str">
        <f t="shared" si="63"/>
        <v/>
      </c>
      <c r="AC177" s="386" t="str">
        <f t="shared" si="64"/>
        <v/>
      </c>
      <c r="AD177" s="386" t="str">
        <f t="shared" si="65"/>
        <v/>
      </c>
      <c r="AE177" s="386" t="str">
        <f t="shared" si="66"/>
        <v/>
      </c>
      <c r="AF177" s="386" t="str">
        <f t="shared" si="67"/>
        <v/>
      </c>
      <c r="AG177" s="386" t="str">
        <f t="shared" si="68"/>
        <v/>
      </c>
      <c r="AH177" s="386" t="str">
        <f t="shared" si="69"/>
        <v/>
      </c>
      <c r="AI177" s="386" t="str">
        <f t="shared" si="80"/>
        <v/>
      </c>
      <c r="AJ177" s="386" t="str">
        <f t="shared" si="81"/>
        <v/>
      </c>
      <c r="AK177" s="386" t="str">
        <f t="shared" si="82"/>
        <v/>
      </c>
      <c r="AL177" s="388"/>
      <c r="AM177" s="388"/>
      <c r="AN177" s="388"/>
      <c r="AO177" s="388"/>
      <c r="AP177" s="402" t="str">
        <f t="shared" si="70"/>
        <v/>
      </c>
      <c r="AQ177" s="388"/>
      <c r="AR177" s="388"/>
      <c r="AS177" s="388"/>
      <c r="AT177" s="388"/>
      <c r="AU177" s="402" t="str">
        <f t="shared" si="71"/>
        <v/>
      </c>
      <c r="AV177" s="389"/>
      <c r="AW177" s="381"/>
      <c r="AX177" s="381"/>
      <c r="AY177" s="373"/>
      <c r="AZ177" s="390"/>
      <c r="BA177" s="390"/>
      <c r="BB177" s="391"/>
      <c r="BC177" s="392"/>
      <c r="BD177" s="393"/>
      <c r="BE177" s="393"/>
      <c r="BF177" s="393"/>
      <c r="BG177" s="394"/>
      <c r="BH177" s="395"/>
      <c r="BI177" s="374"/>
      <c r="BJ177" s="374"/>
      <c r="BK177" s="374"/>
      <c r="BL177" s="389"/>
      <c r="BM177" s="397"/>
      <c r="BN177" s="389"/>
      <c r="BO177" s="419" t="str">
        <f t="shared" si="83"/>
        <v/>
      </c>
      <c r="BP177" s="389"/>
      <c r="BQ177" s="397"/>
      <c r="BR177" s="419"/>
      <c r="BS177" s="419"/>
      <c r="BT177" s="419"/>
      <c r="BU177" s="432"/>
      <c r="BV177" s="419"/>
      <c r="BW177" s="419"/>
      <c r="BX177" s="419"/>
      <c r="BY177" s="389"/>
      <c r="BZ177" s="389"/>
      <c r="CA177" s="389"/>
      <c r="CB177" s="389"/>
      <c r="CC177" s="389"/>
      <c r="CD177" s="389"/>
      <c r="CE177" s="389"/>
      <c r="CF177" s="389"/>
      <c r="CG177" s="389"/>
      <c r="CH177" s="389"/>
      <c r="CI177" s="389"/>
      <c r="CJ177" s="422"/>
      <c r="CK177" s="422"/>
      <c r="CL177" s="422"/>
      <c r="CM177" s="422"/>
      <c r="CN177" s="422"/>
      <c r="CO177" s="422"/>
      <c r="CP177" s="422"/>
      <c r="CQ177" s="432"/>
      <c r="CR177" s="431" t="str">
        <f t="shared" si="72"/>
        <v/>
      </c>
      <c r="CS177" s="35" t="str">
        <f t="shared" si="73"/>
        <v>Direct or WHSE.</v>
      </c>
      <c r="CT177" s="411"/>
      <c r="CW177" s="153" t="str">
        <f t="shared" si="75"/>
        <v/>
      </c>
      <c r="CX177" s="153" t="str">
        <f t="shared" si="75"/>
        <v/>
      </c>
      <c r="CY177" s="153" t="str">
        <f t="shared" si="74"/>
        <v/>
      </c>
    </row>
    <row r="178" spans="1:103" ht="19.5" customHeight="1">
      <c r="A178" s="10">
        <v>156</v>
      </c>
      <c r="B178" s="373"/>
      <c r="C178" s="373"/>
      <c r="D178" s="396"/>
      <c r="E178" s="375"/>
      <c r="F178" s="373"/>
      <c r="G178" s="373"/>
      <c r="H178" s="376"/>
      <c r="I178" s="377"/>
      <c r="J178" s="378"/>
      <c r="K178" s="379"/>
      <c r="L178" s="374"/>
      <c r="M178" s="380" t="str">
        <f t="shared" ca="1" si="76"/>
        <v/>
      </c>
      <c r="N178" s="373"/>
      <c r="O178" s="381"/>
      <c r="P178" s="381"/>
      <c r="Q178" s="382"/>
      <c r="R178" s="381"/>
      <c r="S178" s="383"/>
      <c r="T178" s="384" t="str">
        <f t="shared" si="77"/>
        <v/>
      </c>
      <c r="U178" s="385"/>
      <c r="V178" s="384" t="str">
        <f t="shared" si="78"/>
        <v/>
      </c>
      <c r="W178" s="386"/>
      <c r="X178" s="386" t="str">
        <f t="shared" si="79"/>
        <v/>
      </c>
      <c r="Y178" s="386" t="str">
        <f t="shared" si="61"/>
        <v/>
      </c>
      <c r="Z178" s="386" t="str">
        <f t="shared" si="62"/>
        <v/>
      </c>
      <c r="AA178" s="387"/>
      <c r="AB178" s="386" t="str">
        <f t="shared" si="63"/>
        <v/>
      </c>
      <c r="AC178" s="386" t="str">
        <f t="shared" si="64"/>
        <v/>
      </c>
      <c r="AD178" s="386" t="str">
        <f t="shared" si="65"/>
        <v/>
      </c>
      <c r="AE178" s="386" t="str">
        <f t="shared" si="66"/>
        <v/>
      </c>
      <c r="AF178" s="386" t="str">
        <f t="shared" si="67"/>
        <v/>
      </c>
      <c r="AG178" s="386" t="str">
        <f t="shared" si="68"/>
        <v/>
      </c>
      <c r="AH178" s="386" t="str">
        <f t="shared" si="69"/>
        <v/>
      </c>
      <c r="AI178" s="386" t="str">
        <f t="shared" si="80"/>
        <v/>
      </c>
      <c r="AJ178" s="386" t="str">
        <f t="shared" si="81"/>
        <v/>
      </c>
      <c r="AK178" s="386" t="str">
        <f t="shared" si="82"/>
        <v/>
      </c>
      <c r="AL178" s="388"/>
      <c r="AM178" s="388"/>
      <c r="AN178" s="388"/>
      <c r="AO178" s="388"/>
      <c r="AP178" s="402" t="str">
        <f t="shared" si="70"/>
        <v/>
      </c>
      <c r="AQ178" s="388"/>
      <c r="AR178" s="388"/>
      <c r="AS178" s="388"/>
      <c r="AT178" s="388"/>
      <c r="AU178" s="402" t="str">
        <f t="shared" si="71"/>
        <v/>
      </c>
      <c r="AV178" s="389"/>
      <c r="AW178" s="381"/>
      <c r="AX178" s="381"/>
      <c r="AY178" s="373"/>
      <c r="AZ178" s="390"/>
      <c r="BA178" s="390"/>
      <c r="BB178" s="391"/>
      <c r="BC178" s="392"/>
      <c r="BD178" s="393"/>
      <c r="BE178" s="393"/>
      <c r="BF178" s="393"/>
      <c r="BG178" s="394"/>
      <c r="BH178" s="395"/>
      <c r="BI178" s="374"/>
      <c r="BJ178" s="374"/>
      <c r="BK178" s="374"/>
      <c r="BL178" s="389"/>
      <c r="BM178" s="397"/>
      <c r="BN178" s="389"/>
      <c r="BO178" s="419" t="str">
        <f t="shared" si="83"/>
        <v/>
      </c>
      <c r="BP178" s="389"/>
      <c r="BQ178" s="397"/>
      <c r="BR178" s="419"/>
      <c r="BS178" s="419"/>
      <c r="BT178" s="419"/>
      <c r="BU178" s="432"/>
      <c r="BV178" s="419"/>
      <c r="BW178" s="419"/>
      <c r="BX178" s="419"/>
      <c r="BY178" s="389"/>
      <c r="BZ178" s="389"/>
      <c r="CA178" s="389"/>
      <c r="CB178" s="389"/>
      <c r="CC178" s="389"/>
      <c r="CD178" s="389"/>
      <c r="CE178" s="389"/>
      <c r="CF178" s="389"/>
      <c r="CG178" s="389"/>
      <c r="CH178" s="389"/>
      <c r="CI178" s="389"/>
      <c r="CJ178" s="422"/>
      <c r="CK178" s="422"/>
      <c r="CL178" s="422"/>
      <c r="CM178" s="422"/>
      <c r="CN178" s="422"/>
      <c r="CO178" s="422"/>
      <c r="CP178" s="422"/>
      <c r="CQ178" s="432"/>
      <c r="CR178" s="431" t="str">
        <f t="shared" si="72"/>
        <v/>
      </c>
      <c r="CS178" s="35" t="str">
        <f t="shared" si="73"/>
        <v>Direct or WHSE.</v>
      </c>
      <c r="CT178" s="411"/>
      <c r="CW178" s="153" t="str">
        <f t="shared" si="75"/>
        <v/>
      </c>
      <c r="CX178" s="153" t="str">
        <f t="shared" si="75"/>
        <v/>
      </c>
      <c r="CY178" s="153" t="str">
        <f t="shared" si="74"/>
        <v/>
      </c>
    </row>
    <row r="179" spans="1:103" ht="19.5" customHeight="1">
      <c r="A179" s="10">
        <v>157</v>
      </c>
      <c r="B179" s="373"/>
      <c r="C179" s="373"/>
      <c r="D179" s="396"/>
      <c r="E179" s="375"/>
      <c r="F179" s="373"/>
      <c r="G179" s="373"/>
      <c r="H179" s="376"/>
      <c r="I179" s="377"/>
      <c r="J179" s="378"/>
      <c r="K179" s="379"/>
      <c r="L179" s="374"/>
      <c r="M179" s="380" t="str">
        <f t="shared" ca="1" si="76"/>
        <v/>
      </c>
      <c r="N179" s="373"/>
      <c r="O179" s="381"/>
      <c r="P179" s="381"/>
      <c r="Q179" s="382"/>
      <c r="R179" s="381"/>
      <c r="S179" s="383"/>
      <c r="T179" s="384" t="str">
        <f t="shared" si="77"/>
        <v/>
      </c>
      <c r="U179" s="385"/>
      <c r="V179" s="384" t="str">
        <f t="shared" si="78"/>
        <v/>
      </c>
      <c r="W179" s="386"/>
      <c r="X179" s="386" t="str">
        <f t="shared" si="79"/>
        <v/>
      </c>
      <c r="Y179" s="386" t="str">
        <f t="shared" si="61"/>
        <v/>
      </c>
      <c r="Z179" s="386" t="str">
        <f t="shared" si="62"/>
        <v/>
      </c>
      <c r="AA179" s="387"/>
      <c r="AB179" s="386" t="str">
        <f t="shared" si="63"/>
        <v/>
      </c>
      <c r="AC179" s="386" t="str">
        <f t="shared" si="64"/>
        <v/>
      </c>
      <c r="AD179" s="386" t="str">
        <f t="shared" si="65"/>
        <v/>
      </c>
      <c r="AE179" s="386" t="str">
        <f t="shared" si="66"/>
        <v/>
      </c>
      <c r="AF179" s="386" t="str">
        <f t="shared" si="67"/>
        <v/>
      </c>
      <c r="AG179" s="386" t="str">
        <f t="shared" si="68"/>
        <v/>
      </c>
      <c r="AH179" s="386" t="str">
        <f t="shared" si="69"/>
        <v/>
      </c>
      <c r="AI179" s="386" t="str">
        <f t="shared" si="80"/>
        <v/>
      </c>
      <c r="AJ179" s="386" t="str">
        <f t="shared" si="81"/>
        <v/>
      </c>
      <c r="AK179" s="386" t="str">
        <f t="shared" si="82"/>
        <v/>
      </c>
      <c r="AL179" s="388"/>
      <c r="AM179" s="388"/>
      <c r="AN179" s="388"/>
      <c r="AO179" s="388"/>
      <c r="AP179" s="402" t="str">
        <f t="shared" si="70"/>
        <v/>
      </c>
      <c r="AQ179" s="388"/>
      <c r="AR179" s="388"/>
      <c r="AS179" s="388"/>
      <c r="AT179" s="388"/>
      <c r="AU179" s="402" t="str">
        <f t="shared" si="71"/>
        <v/>
      </c>
      <c r="AV179" s="389"/>
      <c r="AW179" s="381"/>
      <c r="AX179" s="381"/>
      <c r="AY179" s="373"/>
      <c r="AZ179" s="390"/>
      <c r="BA179" s="390"/>
      <c r="BB179" s="391"/>
      <c r="BC179" s="392"/>
      <c r="BD179" s="393"/>
      <c r="BE179" s="393"/>
      <c r="BF179" s="393"/>
      <c r="BG179" s="394"/>
      <c r="BH179" s="395"/>
      <c r="BI179" s="374"/>
      <c r="BJ179" s="374"/>
      <c r="BK179" s="374"/>
      <c r="BL179" s="389"/>
      <c r="BM179" s="397"/>
      <c r="BN179" s="389"/>
      <c r="BO179" s="419" t="str">
        <f t="shared" si="83"/>
        <v/>
      </c>
      <c r="BP179" s="389"/>
      <c r="BQ179" s="397"/>
      <c r="BR179" s="419"/>
      <c r="BS179" s="419"/>
      <c r="BT179" s="419"/>
      <c r="BU179" s="432"/>
      <c r="BV179" s="419"/>
      <c r="BW179" s="419"/>
      <c r="BX179" s="419"/>
      <c r="BY179" s="389"/>
      <c r="BZ179" s="389"/>
      <c r="CA179" s="389"/>
      <c r="CB179" s="389"/>
      <c r="CC179" s="389"/>
      <c r="CD179" s="389"/>
      <c r="CE179" s="389"/>
      <c r="CF179" s="389"/>
      <c r="CG179" s="389"/>
      <c r="CH179" s="389"/>
      <c r="CI179" s="389"/>
      <c r="CJ179" s="422"/>
      <c r="CK179" s="422"/>
      <c r="CL179" s="422"/>
      <c r="CM179" s="422"/>
      <c r="CN179" s="422"/>
      <c r="CO179" s="422"/>
      <c r="CP179" s="422"/>
      <c r="CQ179" s="432"/>
      <c r="CR179" s="431" t="str">
        <f t="shared" si="72"/>
        <v/>
      </c>
      <c r="CS179" s="35" t="str">
        <f t="shared" si="73"/>
        <v>Direct or WHSE.</v>
      </c>
      <c r="CT179" s="411"/>
      <c r="CW179" s="153" t="str">
        <f t="shared" si="75"/>
        <v/>
      </c>
      <c r="CX179" s="153" t="str">
        <f t="shared" si="75"/>
        <v/>
      </c>
      <c r="CY179" s="153" t="str">
        <f t="shared" si="74"/>
        <v/>
      </c>
    </row>
    <row r="180" spans="1:103" ht="19.5" customHeight="1">
      <c r="A180" s="10">
        <v>158</v>
      </c>
      <c r="B180" s="373"/>
      <c r="C180" s="373"/>
      <c r="D180" s="396"/>
      <c r="E180" s="375"/>
      <c r="F180" s="373"/>
      <c r="G180" s="373"/>
      <c r="H180" s="376"/>
      <c r="I180" s="377"/>
      <c r="J180" s="378"/>
      <c r="K180" s="379"/>
      <c r="L180" s="374"/>
      <c r="M180" s="380" t="str">
        <f t="shared" ca="1" si="76"/>
        <v/>
      </c>
      <c r="N180" s="373"/>
      <c r="O180" s="381"/>
      <c r="P180" s="381"/>
      <c r="Q180" s="382"/>
      <c r="R180" s="381"/>
      <c r="S180" s="383"/>
      <c r="T180" s="384" t="str">
        <f t="shared" si="77"/>
        <v/>
      </c>
      <c r="U180" s="385"/>
      <c r="V180" s="384" t="str">
        <f t="shared" si="78"/>
        <v/>
      </c>
      <c r="W180" s="386"/>
      <c r="X180" s="386" t="str">
        <f t="shared" si="79"/>
        <v/>
      </c>
      <c r="Y180" s="386" t="str">
        <f t="shared" si="61"/>
        <v/>
      </c>
      <c r="Z180" s="386" t="str">
        <f t="shared" si="62"/>
        <v/>
      </c>
      <c r="AA180" s="387"/>
      <c r="AB180" s="386" t="str">
        <f t="shared" si="63"/>
        <v/>
      </c>
      <c r="AC180" s="386" t="str">
        <f t="shared" si="64"/>
        <v/>
      </c>
      <c r="AD180" s="386" t="str">
        <f t="shared" si="65"/>
        <v/>
      </c>
      <c r="AE180" s="386" t="str">
        <f t="shared" si="66"/>
        <v/>
      </c>
      <c r="AF180" s="386" t="str">
        <f t="shared" si="67"/>
        <v/>
      </c>
      <c r="AG180" s="386" t="str">
        <f t="shared" si="68"/>
        <v/>
      </c>
      <c r="AH180" s="386" t="str">
        <f t="shared" si="69"/>
        <v/>
      </c>
      <c r="AI180" s="386" t="str">
        <f t="shared" si="80"/>
        <v/>
      </c>
      <c r="AJ180" s="386" t="str">
        <f t="shared" si="81"/>
        <v/>
      </c>
      <c r="AK180" s="386" t="str">
        <f t="shared" si="82"/>
        <v/>
      </c>
      <c r="AL180" s="388"/>
      <c r="AM180" s="388"/>
      <c r="AN180" s="388"/>
      <c r="AO180" s="388"/>
      <c r="AP180" s="402" t="str">
        <f t="shared" si="70"/>
        <v/>
      </c>
      <c r="AQ180" s="388"/>
      <c r="AR180" s="388"/>
      <c r="AS180" s="388"/>
      <c r="AT180" s="388"/>
      <c r="AU180" s="402" t="str">
        <f t="shared" si="71"/>
        <v/>
      </c>
      <c r="AV180" s="389"/>
      <c r="AW180" s="381"/>
      <c r="AX180" s="381"/>
      <c r="AY180" s="373"/>
      <c r="AZ180" s="390"/>
      <c r="BA180" s="390"/>
      <c r="BB180" s="391"/>
      <c r="BC180" s="392"/>
      <c r="BD180" s="393"/>
      <c r="BE180" s="393"/>
      <c r="BF180" s="393"/>
      <c r="BG180" s="394"/>
      <c r="BH180" s="395"/>
      <c r="BI180" s="374"/>
      <c r="BJ180" s="374"/>
      <c r="BK180" s="374"/>
      <c r="BL180" s="389"/>
      <c r="BM180" s="397"/>
      <c r="BN180" s="389"/>
      <c r="BO180" s="419" t="str">
        <f t="shared" si="83"/>
        <v/>
      </c>
      <c r="BP180" s="389"/>
      <c r="BQ180" s="397"/>
      <c r="BR180" s="419"/>
      <c r="BS180" s="419"/>
      <c r="BT180" s="419"/>
      <c r="BU180" s="432"/>
      <c r="BV180" s="419"/>
      <c r="BW180" s="419"/>
      <c r="BX180" s="419"/>
      <c r="BY180" s="389"/>
      <c r="BZ180" s="389"/>
      <c r="CA180" s="389"/>
      <c r="CB180" s="389"/>
      <c r="CC180" s="389"/>
      <c r="CD180" s="389"/>
      <c r="CE180" s="389"/>
      <c r="CF180" s="389"/>
      <c r="CG180" s="389"/>
      <c r="CH180" s="389"/>
      <c r="CI180" s="389"/>
      <c r="CJ180" s="422"/>
      <c r="CK180" s="422"/>
      <c r="CL180" s="422"/>
      <c r="CM180" s="422"/>
      <c r="CN180" s="422"/>
      <c r="CO180" s="422"/>
      <c r="CP180" s="422"/>
      <c r="CQ180" s="432"/>
      <c r="CR180" s="431" t="str">
        <f t="shared" si="72"/>
        <v/>
      </c>
      <c r="CS180" s="35" t="str">
        <f t="shared" si="73"/>
        <v>Direct or WHSE.</v>
      </c>
      <c r="CT180" s="411"/>
      <c r="CW180" s="153" t="str">
        <f t="shared" si="75"/>
        <v/>
      </c>
      <c r="CX180" s="153" t="str">
        <f t="shared" si="75"/>
        <v/>
      </c>
      <c r="CY180" s="153" t="str">
        <f t="shared" si="74"/>
        <v/>
      </c>
    </row>
    <row r="181" spans="1:103" ht="19.5" customHeight="1">
      <c r="A181" s="10">
        <v>159</v>
      </c>
      <c r="B181" s="373"/>
      <c r="C181" s="373"/>
      <c r="D181" s="396"/>
      <c r="E181" s="375"/>
      <c r="F181" s="373"/>
      <c r="G181" s="373"/>
      <c r="H181" s="376"/>
      <c r="I181" s="377"/>
      <c r="J181" s="378"/>
      <c r="K181" s="379"/>
      <c r="L181" s="374"/>
      <c r="M181" s="380" t="str">
        <f t="shared" ca="1" si="76"/>
        <v/>
      </c>
      <c r="N181" s="373"/>
      <c r="O181" s="381"/>
      <c r="P181" s="381"/>
      <c r="Q181" s="382"/>
      <c r="R181" s="381"/>
      <c r="S181" s="383"/>
      <c r="T181" s="384" t="str">
        <f t="shared" si="77"/>
        <v/>
      </c>
      <c r="U181" s="385"/>
      <c r="V181" s="384" t="str">
        <f t="shared" si="78"/>
        <v/>
      </c>
      <c r="W181" s="386"/>
      <c r="X181" s="386" t="str">
        <f t="shared" si="79"/>
        <v/>
      </c>
      <c r="Y181" s="386" t="str">
        <f t="shared" si="61"/>
        <v/>
      </c>
      <c r="Z181" s="386" t="str">
        <f t="shared" si="62"/>
        <v/>
      </c>
      <c r="AA181" s="387"/>
      <c r="AB181" s="386" t="str">
        <f t="shared" si="63"/>
        <v/>
      </c>
      <c r="AC181" s="386" t="str">
        <f t="shared" si="64"/>
        <v/>
      </c>
      <c r="AD181" s="386" t="str">
        <f t="shared" si="65"/>
        <v/>
      </c>
      <c r="AE181" s="386" t="str">
        <f t="shared" si="66"/>
        <v/>
      </c>
      <c r="AF181" s="386" t="str">
        <f t="shared" si="67"/>
        <v/>
      </c>
      <c r="AG181" s="386" t="str">
        <f t="shared" si="68"/>
        <v/>
      </c>
      <c r="AH181" s="386" t="str">
        <f t="shared" si="69"/>
        <v/>
      </c>
      <c r="AI181" s="386" t="str">
        <f t="shared" si="80"/>
        <v/>
      </c>
      <c r="AJ181" s="386" t="str">
        <f t="shared" si="81"/>
        <v/>
      </c>
      <c r="AK181" s="386" t="str">
        <f t="shared" si="82"/>
        <v/>
      </c>
      <c r="AL181" s="388"/>
      <c r="AM181" s="388"/>
      <c r="AN181" s="388"/>
      <c r="AO181" s="388"/>
      <c r="AP181" s="402" t="str">
        <f t="shared" si="70"/>
        <v/>
      </c>
      <c r="AQ181" s="388"/>
      <c r="AR181" s="388"/>
      <c r="AS181" s="388"/>
      <c r="AT181" s="388"/>
      <c r="AU181" s="402" t="str">
        <f t="shared" si="71"/>
        <v/>
      </c>
      <c r="AV181" s="389"/>
      <c r="AW181" s="381"/>
      <c r="AX181" s="381"/>
      <c r="AY181" s="373"/>
      <c r="AZ181" s="390"/>
      <c r="BA181" s="390"/>
      <c r="BB181" s="391"/>
      <c r="BC181" s="392"/>
      <c r="BD181" s="393"/>
      <c r="BE181" s="393"/>
      <c r="BF181" s="393"/>
      <c r="BG181" s="394"/>
      <c r="BH181" s="395"/>
      <c r="BI181" s="374"/>
      <c r="BJ181" s="374"/>
      <c r="BK181" s="374"/>
      <c r="BL181" s="389"/>
      <c r="BM181" s="397"/>
      <c r="BN181" s="389"/>
      <c r="BO181" s="419" t="str">
        <f t="shared" si="83"/>
        <v/>
      </c>
      <c r="BP181" s="389"/>
      <c r="BQ181" s="397"/>
      <c r="BR181" s="419"/>
      <c r="BS181" s="419"/>
      <c r="BT181" s="419"/>
      <c r="BU181" s="432"/>
      <c r="BV181" s="419"/>
      <c r="BW181" s="419"/>
      <c r="BX181" s="419"/>
      <c r="BY181" s="389"/>
      <c r="BZ181" s="389"/>
      <c r="CA181" s="389"/>
      <c r="CB181" s="389"/>
      <c r="CC181" s="389"/>
      <c r="CD181" s="389"/>
      <c r="CE181" s="389"/>
      <c r="CF181" s="389"/>
      <c r="CG181" s="389"/>
      <c r="CH181" s="389"/>
      <c r="CI181" s="389"/>
      <c r="CJ181" s="422"/>
      <c r="CK181" s="422"/>
      <c r="CL181" s="422"/>
      <c r="CM181" s="422"/>
      <c r="CN181" s="422"/>
      <c r="CO181" s="422"/>
      <c r="CP181" s="422"/>
      <c r="CQ181" s="432"/>
      <c r="CR181" s="431" t="str">
        <f t="shared" si="72"/>
        <v/>
      </c>
      <c r="CS181" s="35" t="str">
        <f t="shared" si="73"/>
        <v>Direct or WHSE.</v>
      </c>
      <c r="CT181" s="411"/>
      <c r="CW181" s="153" t="str">
        <f t="shared" si="75"/>
        <v/>
      </c>
      <c r="CX181" s="153" t="str">
        <f t="shared" si="75"/>
        <v/>
      </c>
      <c r="CY181" s="153" t="str">
        <f t="shared" si="74"/>
        <v/>
      </c>
    </row>
    <row r="182" spans="1:103" ht="19.5" customHeight="1">
      <c r="A182" s="10">
        <v>160</v>
      </c>
      <c r="B182" s="373"/>
      <c r="C182" s="373"/>
      <c r="D182" s="396"/>
      <c r="E182" s="375"/>
      <c r="F182" s="373"/>
      <c r="G182" s="373"/>
      <c r="H182" s="376"/>
      <c r="I182" s="377"/>
      <c r="J182" s="378"/>
      <c r="K182" s="379"/>
      <c r="L182" s="374"/>
      <c r="M182" s="380" t="str">
        <f t="shared" ca="1" si="76"/>
        <v/>
      </c>
      <c r="N182" s="373"/>
      <c r="O182" s="381"/>
      <c r="P182" s="381"/>
      <c r="Q182" s="382"/>
      <c r="R182" s="381"/>
      <c r="S182" s="383"/>
      <c r="T182" s="384" t="str">
        <f t="shared" si="77"/>
        <v/>
      </c>
      <c r="U182" s="385"/>
      <c r="V182" s="384" t="str">
        <f t="shared" si="78"/>
        <v/>
      </c>
      <c r="W182" s="386"/>
      <c r="X182" s="386" t="str">
        <f t="shared" si="79"/>
        <v/>
      </c>
      <c r="Y182" s="386" t="str">
        <f t="shared" si="61"/>
        <v/>
      </c>
      <c r="Z182" s="386" t="str">
        <f t="shared" si="62"/>
        <v/>
      </c>
      <c r="AA182" s="387"/>
      <c r="AB182" s="386" t="str">
        <f t="shared" si="63"/>
        <v/>
      </c>
      <c r="AC182" s="386" t="str">
        <f t="shared" si="64"/>
        <v/>
      </c>
      <c r="AD182" s="386" t="str">
        <f t="shared" si="65"/>
        <v/>
      </c>
      <c r="AE182" s="386" t="str">
        <f t="shared" si="66"/>
        <v/>
      </c>
      <c r="AF182" s="386" t="str">
        <f t="shared" si="67"/>
        <v/>
      </c>
      <c r="AG182" s="386" t="str">
        <f t="shared" si="68"/>
        <v/>
      </c>
      <c r="AH182" s="386" t="str">
        <f t="shared" si="69"/>
        <v/>
      </c>
      <c r="AI182" s="386" t="str">
        <f t="shared" si="80"/>
        <v/>
      </c>
      <c r="AJ182" s="386" t="str">
        <f t="shared" si="81"/>
        <v/>
      </c>
      <c r="AK182" s="386" t="str">
        <f t="shared" si="82"/>
        <v/>
      </c>
      <c r="AL182" s="388"/>
      <c r="AM182" s="388"/>
      <c r="AN182" s="388"/>
      <c r="AO182" s="388"/>
      <c r="AP182" s="402" t="str">
        <f t="shared" si="70"/>
        <v/>
      </c>
      <c r="AQ182" s="388"/>
      <c r="AR182" s="388"/>
      <c r="AS182" s="388"/>
      <c r="AT182" s="388"/>
      <c r="AU182" s="402" t="str">
        <f t="shared" si="71"/>
        <v/>
      </c>
      <c r="AV182" s="389"/>
      <c r="AW182" s="381"/>
      <c r="AX182" s="381"/>
      <c r="AY182" s="373"/>
      <c r="AZ182" s="390"/>
      <c r="BA182" s="390"/>
      <c r="BB182" s="391"/>
      <c r="BC182" s="392"/>
      <c r="BD182" s="393"/>
      <c r="BE182" s="393"/>
      <c r="BF182" s="393"/>
      <c r="BG182" s="394"/>
      <c r="BH182" s="395"/>
      <c r="BI182" s="374"/>
      <c r="BJ182" s="374"/>
      <c r="BK182" s="374"/>
      <c r="BL182" s="389"/>
      <c r="BM182" s="397"/>
      <c r="BN182" s="389"/>
      <c r="BO182" s="419" t="str">
        <f t="shared" si="83"/>
        <v/>
      </c>
      <c r="BP182" s="389"/>
      <c r="BQ182" s="397"/>
      <c r="BR182" s="419"/>
      <c r="BS182" s="419"/>
      <c r="BT182" s="419"/>
      <c r="BU182" s="432"/>
      <c r="BV182" s="419"/>
      <c r="BW182" s="419"/>
      <c r="BX182" s="419"/>
      <c r="BY182" s="389"/>
      <c r="BZ182" s="389"/>
      <c r="CA182" s="389"/>
      <c r="CB182" s="389"/>
      <c r="CC182" s="389"/>
      <c r="CD182" s="389"/>
      <c r="CE182" s="389"/>
      <c r="CF182" s="389"/>
      <c r="CG182" s="389"/>
      <c r="CH182" s="389"/>
      <c r="CI182" s="389"/>
      <c r="CJ182" s="422"/>
      <c r="CK182" s="422"/>
      <c r="CL182" s="422"/>
      <c r="CM182" s="422"/>
      <c r="CN182" s="422"/>
      <c r="CO182" s="422"/>
      <c r="CP182" s="422"/>
      <c r="CQ182" s="432"/>
      <c r="CR182" s="431" t="str">
        <f t="shared" si="72"/>
        <v/>
      </c>
      <c r="CS182" s="35" t="str">
        <f t="shared" si="73"/>
        <v>Direct or WHSE.</v>
      </c>
      <c r="CT182" s="411"/>
      <c r="CW182" s="153" t="str">
        <f t="shared" si="75"/>
        <v/>
      </c>
      <c r="CX182" s="153" t="str">
        <f t="shared" si="75"/>
        <v/>
      </c>
      <c r="CY182" s="153" t="str">
        <f t="shared" si="74"/>
        <v/>
      </c>
    </row>
    <row r="183" spans="1:103" ht="19.5" customHeight="1">
      <c r="A183" s="10">
        <v>161</v>
      </c>
      <c r="B183" s="373"/>
      <c r="C183" s="373"/>
      <c r="D183" s="396"/>
      <c r="E183" s="375"/>
      <c r="F183" s="373"/>
      <c r="G183" s="373"/>
      <c r="H183" s="376"/>
      <c r="I183" s="377"/>
      <c r="J183" s="378"/>
      <c r="K183" s="379"/>
      <c r="L183" s="374"/>
      <c r="M183" s="380" t="str">
        <f t="shared" ca="1" si="76"/>
        <v/>
      </c>
      <c r="N183" s="373"/>
      <c r="O183" s="381"/>
      <c r="P183" s="381"/>
      <c r="Q183" s="382"/>
      <c r="R183" s="381"/>
      <c r="S183" s="383"/>
      <c r="T183" s="384" t="str">
        <f t="shared" si="77"/>
        <v/>
      </c>
      <c r="U183" s="385"/>
      <c r="V183" s="384" t="str">
        <f t="shared" si="78"/>
        <v/>
      </c>
      <c r="W183" s="386"/>
      <c r="X183" s="386" t="str">
        <f t="shared" si="79"/>
        <v/>
      </c>
      <c r="Y183" s="386" t="str">
        <f t="shared" si="61"/>
        <v/>
      </c>
      <c r="Z183" s="386" t="str">
        <f t="shared" si="62"/>
        <v/>
      </c>
      <c r="AA183" s="387"/>
      <c r="AB183" s="386" t="str">
        <f t="shared" si="63"/>
        <v/>
      </c>
      <c r="AC183" s="386" t="str">
        <f t="shared" si="64"/>
        <v/>
      </c>
      <c r="AD183" s="386" t="str">
        <f t="shared" si="65"/>
        <v/>
      </c>
      <c r="AE183" s="386" t="str">
        <f t="shared" si="66"/>
        <v/>
      </c>
      <c r="AF183" s="386" t="str">
        <f t="shared" si="67"/>
        <v/>
      </c>
      <c r="AG183" s="386" t="str">
        <f t="shared" si="68"/>
        <v/>
      </c>
      <c r="AH183" s="386" t="str">
        <f t="shared" si="69"/>
        <v/>
      </c>
      <c r="AI183" s="386" t="str">
        <f t="shared" si="80"/>
        <v/>
      </c>
      <c r="AJ183" s="386" t="str">
        <f t="shared" si="81"/>
        <v/>
      </c>
      <c r="AK183" s="386" t="str">
        <f t="shared" si="82"/>
        <v/>
      </c>
      <c r="AL183" s="388"/>
      <c r="AM183" s="388"/>
      <c r="AN183" s="388"/>
      <c r="AO183" s="388"/>
      <c r="AP183" s="402" t="str">
        <f t="shared" si="70"/>
        <v/>
      </c>
      <c r="AQ183" s="388"/>
      <c r="AR183" s="388"/>
      <c r="AS183" s="388"/>
      <c r="AT183" s="388"/>
      <c r="AU183" s="402" t="str">
        <f t="shared" si="71"/>
        <v/>
      </c>
      <c r="AV183" s="389"/>
      <c r="AW183" s="381"/>
      <c r="AX183" s="381"/>
      <c r="AY183" s="373"/>
      <c r="AZ183" s="390"/>
      <c r="BA183" s="390"/>
      <c r="BB183" s="391"/>
      <c r="BC183" s="392"/>
      <c r="BD183" s="393"/>
      <c r="BE183" s="393"/>
      <c r="BF183" s="393"/>
      <c r="BG183" s="394"/>
      <c r="BH183" s="395"/>
      <c r="BI183" s="374"/>
      <c r="BJ183" s="374"/>
      <c r="BK183" s="374"/>
      <c r="BL183" s="389"/>
      <c r="BM183" s="397"/>
      <c r="BN183" s="389"/>
      <c r="BO183" s="419" t="str">
        <f t="shared" si="83"/>
        <v/>
      </c>
      <c r="BP183" s="389"/>
      <c r="BQ183" s="397"/>
      <c r="BR183" s="419"/>
      <c r="BS183" s="419"/>
      <c r="BT183" s="419"/>
      <c r="BU183" s="432"/>
      <c r="BV183" s="419"/>
      <c r="BW183" s="419"/>
      <c r="BX183" s="419"/>
      <c r="BY183" s="389"/>
      <c r="BZ183" s="389"/>
      <c r="CA183" s="389"/>
      <c r="CB183" s="389"/>
      <c r="CC183" s="389"/>
      <c r="CD183" s="389"/>
      <c r="CE183" s="389"/>
      <c r="CF183" s="389"/>
      <c r="CG183" s="389"/>
      <c r="CH183" s="389"/>
      <c r="CI183" s="389"/>
      <c r="CJ183" s="422"/>
      <c r="CK183" s="422"/>
      <c r="CL183" s="422"/>
      <c r="CM183" s="422"/>
      <c r="CN183" s="422"/>
      <c r="CO183" s="422"/>
      <c r="CP183" s="422"/>
      <c r="CQ183" s="432"/>
      <c r="CR183" s="431" t="str">
        <f t="shared" si="72"/>
        <v/>
      </c>
      <c r="CS183" s="35" t="str">
        <f t="shared" si="73"/>
        <v>Direct or WHSE.</v>
      </c>
      <c r="CT183" s="411"/>
      <c r="CW183" s="153" t="str">
        <f t="shared" si="75"/>
        <v/>
      </c>
      <c r="CX183" s="153" t="str">
        <f t="shared" si="75"/>
        <v/>
      </c>
      <c r="CY183" s="153" t="str">
        <f t="shared" si="74"/>
        <v/>
      </c>
    </row>
    <row r="184" spans="1:103" ht="19.5" customHeight="1">
      <c r="A184" s="10">
        <v>162</v>
      </c>
      <c r="B184" s="373"/>
      <c r="C184" s="373"/>
      <c r="D184" s="396"/>
      <c r="E184" s="375"/>
      <c r="F184" s="373"/>
      <c r="G184" s="373"/>
      <c r="H184" s="376"/>
      <c r="I184" s="377"/>
      <c r="J184" s="378"/>
      <c r="K184" s="379"/>
      <c r="L184" s="374"/>
      <c r="M184" s="380" t="str">
        <f t="shared" ca="1" si="76"/>
        <v/>
      </c>
      <c r="N184" s="373"/>
      <c r="O184" s="381"/>
      <c r="P184" s="381"/>
      <c r="Q184" s="382"/>
      <c r="R184" s="381"/>
      <c r="S184" s="383"/>
      <c r="T184" s="384" t="str">
        <f t="shared" si="77"/>
        <v/>
      </c>
      <c r="U184" s="385"/>
      <c r="V184" s="384" t="str">
        <f t="shared" si="78"/>
        <v/>
      </c>
      <c r="W184" s="386"/>
      <c r="X184" s="386" t="str">
        <f t="shared" si="79"/>
        <v/>
      </c>
      <c r="Y184" s="386" t="str">
        <f t="shared" si="61"/>
        <v/>
      </c>
      <c r="Z184" s="386" t="str">
        <f t="shared" si="62"/>
        <v/>
      </c>
      <c r="AA184" s="387"/>
      <c r="AB184" s="386" t="str">
        <f t="shared" si="63"/>
        <v/>
      </c>
      <c r="AC184" s="386" t="str">
        <f t="shared" si="64"/>
        <v/>
      </c>
      <c r="AD184" s="386" t="str">
        <f t="shared" si="65"/>
        <v/>
      </c>
      <c r="AE184" s="386" t="str">
        <f t="shared" si="66"/>
        <v/>
      </c>
      <c r="AF184" s="386" t="str">
        <f t="shared" si="67"/>
        <v/>
      </c>
      <c r="AG184" s="386" t="str">
        <f t="shared" si="68"/>
        <v/>
      </c>
      <c r="AH184" s="386" t="str">
        <f t="shared" si="69"/>
        <v/>
      </c>
      <c r="AI184" s="386" t="str">
        <f t="shared" si="80"/>
        <v/>
      </c>
      <c r="AJ184" s="386" t="str">
        <f t="shared" si="81"/>
        <v/>
      </c>
      <c r="AK184" s="386" t="str">
        <f t="shared" si="82"/>
        <v/>
      </c>
      <c r="AL184" s="388"/>
      <c r="AM184" s="388"/>
      <c r="AN184" s="388"/>
      <c r="AO184" s="388"/>
      <c r="AP184" s="402" t="str">
        <f t="shared" si="70"/>
        <v/>
      </c>
      <c r="AQ184" s="388"/>
      <c r="AR184" s="388"/>
      <c r="AS184" s="388"/>
      <c r="AT184" s="388"/>
      <c r="AU184" s="402" t="str">
        <f t="shared" si="71"/>
        <v/>
      </c>
      <c r="AV184" s="389"/>
      <c r="AW184" s="381"/>
      <c r="AX184" s="381"/>
      <c r="AY184" s="373"/>
      <c r="AZ184" s="390"/>
      <c r="BA184" s="390"/>
      <c r="BB184" s="391"/>
      <c r="BC184" s="392"/>
      <c r="BD184" s="393"/>
      <c r="BE184" s="393"/>
      <c r="BF184" s="393"/>
      <c r="BG184" s="394"/>
      <c r="BH184" s="395"/>
      <c r="BI184" s="374"/>
      <c r="BJ184" s="374"/>
      <c r="BK184" s="374"/>
      <c r="BL184" s="389"/>
      <c r="BM184" s="397"/>
      <c r="BN184" s="389"/>
      <c r="BO184" s="419" t="str">
        <f t="shared" si="83"/>
        <v/>
      </c>
      <c r="BP184" s="389"/>
      <c r="BQ184" s="397"/>
      <c r="BR184" s="419"/>
      <c r="BS184" s="419"/>
      <c r="BT184" s="419"/>
      <c r="BU184" s="432"/>
      <c r="BV184" s="419"/>
      <c r="BW184" s="419"/>
      <c r="BX184" s="419"/>
      <c r="BY184" s="389"/>
      <c r="BZ184" s="389"/>
      <c r="CA184" s="389"/>
      <c r="CB184" s="389"/>
      <c r="CC184" s="389"/>
      <c r="CD184" s="389"/>
      <c r="CE184" s="389"/>
      <c r="CF184" s="389"/>
      <c r="CG184" s="389"/>
      <c r="CH184" s="389"/>
      <c r="CI184" s="389"/>
      <c r="CJ184" s="422"/>
      <c r="CK184" s="422"/>
      <c r="CL184" s="422"/>
      <c r="CM184" s="422"/>
      <c r="CN184" s="422"/>
      <c r="CO184" s="422"/>
      <c r="CP184" s="422"/>
      <c r="CQ184" s="432"/>
      <c r="CR184" s="431" t="str">
        <f t="shared" si="72"/>
        <v/>
      </c>
      <c r="CS184" s="35" t="str">
        <f t="shared" si="73"/>
        <v>Direct or WHSE.</v>
      </c>
      <c r="CT184" s="411"/>
      <c r="CW184" s="153" t="str">
        <f t="shared" si="75"/>
        <v/>
      </c>
      <c r="CX184" s="153" t="str">
        <f t="shared" si="75"/>
        <v/>
      </c>
      <c r="CY184" s="153" t="str">
        <f t="shared" si="74"/>
        <v/>
      </c>
    </row>
    <row r="185" spans="1:103" ht="19.5" customHeight="1">
      <c r="A185" s="10">
        <v>163</v>
      </c>
      <c r="B185" s="373"/>
      <c r="C185" s="373"/>
      <c r="D185" s="396"/>
      <c r="E185" s="375"/>
      <c r="F185" s="373"/>
      <c r="G185" s="373"/>
      <c r="H185" s="376"/>
      <c r="I185" s="377"/>
      <c r="J185" s="378"/>
      <c r="K185" s="379"/>
      <c r="L185" s="374"/>
      <c r="M185" s="380" t="str">
        <f t="shared" ca="1" si="76"/>
        <v/>
      </c>
      <c r="N185" s="373"/>
      <c r="O185" s="381"/>
      <c r="P185" s="381"/>
      <c r="Q185" s="382"/>
      <c r="R185" s="381"/>
      <c r="S185" s="383"/>
      <c r="T185" s="384" t="str">
        <f t="shared" si="77"/>
        <v/>
      </c>
      <c r="U185" s="385"/>
      <c r="V185" s="384" t="str">
        <f t="shared" si="78"/>
        <v/>
      </c>
      <c r="W185" s="386"/>
      <c r="X185" s="386" t="str">
        <f t="shared" si="79"/>
        <v/>
      </c>
      <c r="Y185" s="386" t="str">
        <f t="shared" si="61"/>
        <v/>
      </c>
      <c r="Z185" s="386" t="str">
        <f t="shared" si="62"/>
        <v/>
      </c>
      <c r="AA185" s="387"/>
      <c r="AB185" s="386" t="str">
        <f t="shared" si="63"/>
        <v/>
      </c>
      <c r="AC185" s="386" t="str">
        <f t="shared" si="64"/>
        <v/>
      </c>
      <c r="AD185" s="386" t="str">
        <f t="shared" si="65"/>
        <v/>
      </c>
      <c r="AE185" s="386" t="str">
        <f t="shared" si="66"/>
        <v/>
      </c>
      <c r="AF185" s="386" t="str">
        <f t="shared" si="67"/>
        <v/>
      </c>
      <c r="AG185" s="386" t="str">
        <f t="shared" si="68"/>
        <v/>
      </c>
      <c r="AH185" s="386" t="str">
        <f t="shared" si="69"/>
        <v/>
      </c>
      <c r="AI185" s="386" t="str">
        <f t="shared" si="80"/>
        <v/>
      </c>
      <c r="AJ185" s="386" t="str">
        <f t="shared" si="81"/>
        <v/>
      </c>
      <c r="AK185" s="386" t="str">
        <f t="shared" si="82"/>
        <v/>
      </c>
      <c r="AL185" s="388"/>
      <c r="AM185" s="388"/>
      <c r="AN185" s="388"/>
      <c r="AO185" s="388"/>
      <c r="AP185" s="402" t="str">
        <f t="shared" si="70"/>
        <v/>
      </c>
      <c r="AQ185" s="388"/>
      <c r="AR185" s="388"/>
      <c r="AS185" s="388"/>
      <c r="AT185" s="388"/>
      <c r="AU185" s="402" t="str">
        <f t="shared" si="71"/>
        <v/>
      </c>
      <c r="AV185" s="389"/>
      <c r="AW185" s="381"/>
      <c r="AX185" s="381"/>
      <c r="AY185" s="373"/>
      <c r="AZ185" s="390"/>
      <c r="BA185" s="390"/>
      <c r="BB185" s="391"/>
      <c r="BC185" s="392"/>
      <c r="BD185" s="393"/>
      <c r="BE185" s="393"/>
      <c r="BF185" s="393"/>
      <c r="BG185" s="394"/>
      <c r="BH185" s="395"/>
      <c r="BI185" s="374"/>
      <c r="BJ185" s="374"/>
      <c r="BK185" s="374"/>
      <c r="BL185" s="389"/>
      <c r="BM185" s="397"/>
      <c r="BN185" s="389"/>
      <c r="BO185" s="419" t="str">
        <f t="shared" si="83"/>
        <v/>
      </c>
      <c r="BP185" s="389"/>
      <c r="BQ185" s="397"/>
      <c r="BR185" s="419"/>
      <c r="BS185" s="419"/>
      <c r="BT185" s="419"/>
      <c r="BU185" s="432"/>
      <c r="BV185" s="419"/>
      <c r="BW185" s="419"/>
      <c r="BX185" s="419"/>
      <c r="BY185" s="389"/>
      <c r="BZ185" s="389"/>
      <c r="CA185" s="389"/>
      <c r="CB185" s="389"/>
      <c r="CC185" s="389"/>
      <c r="CD185" s="389"/>
      <c r="CE185" s="389"/>
      <c r="CF185" s="389"/>
      <c r="CG185" s="389"/>
      <c r="CH185" s="389"/>
      <c r="CI185" s="389"/>
      <c r="CJ185" s="422"/>
      <c r="CK185" s="422"/>
      <c r="CL185" s="422"/>
      <c r="CM185" s="422"/>
      <c r="CN185" s="422"/>
      <c r="CO185" s="422"/>
      <c r="CP185" s="422"/>
      <c r="CQ185" s="432"/>
      <c r="CR185" s="431" t="str">
        <f t="shared" si="72"/>
        <v/>
      </c>
      <c r="CS185" s="35" t="str">
        <f t="shared" si="73"/>
        <v>Direct or WHSE.</v>
      </c>
      <c r="CT185" s="411"/>
      <c r="CW185" s="153" t="str">
        <f t="shared" si="75"/>
        <v/>
      </c>
      <c r="CX185" s="153" t="str">
        <f t="shared" si="75"/>
        <v/>
      </c>
      <c r="CY185" s="153" t="str">
        <f t="shared" si="74"/>
        <v/>
      </c>
    </row>
    <row r="186" spans="1:103" ht="19.5" customHeight="1">
      <c r="A186" s="10">
        <v>164</v>
      </c>
      <c r="B186" s="373"/>
      <c r="C186" s="373"/>
      <c r="D186" s="396"/>
      <c r="E186" s="375"/>
      <c r="F186" s="373"/>
      <c r="G186" s="373"/>
      <c r="H186" s="376"/>
      <c r="I186" s="377"/>
      <c r="J186" s="378"/>
      <c r="K186" s="379"/>
      <c r="L186" s="374"/>
      <c r="M186" s="380" t="str">
        <f t="shared" ca="1" si="76"/>
        <v/>
      </c>
      <c r="N186" s="373"/>
      <c r="O186" s="381"/>
      <c r="P186" s="381"/>
      <c r="Q186" s="382"/>
      <c r="R186" s="381"/>
      <c r="S186" s="383"/>
      <c r="T186" s="384" t="str">
        <f t="shared" si="77"/>
        <v/>
      </c>
      <c r="U186" s="385"/>
      <c r="V186" s="384" t="str">
        <f t="shared" si="78"/>
        <v/>
      </c>
      <c r="W186" s="386"/>
      <c r="X186" s="386" t="str">
        <f t="shared" si="79"/>
        <v/>
      </c>
      <c r="Y186" s="386" t="str">
        <f t="shared" si="61"/>
        <v/>
      </c>
      <c r="Z186" s="386" t="str">
        <f t="shared" si="62"/>
        <v/>
      </c>
      <c r="AA186" s="387"/>
      <c r="AB186" s="386" t="str">
        <f t="shared" si="63"/>
        <v/>
      </c>
      <c r="AC186" s="386" t="str">
        <f t="shared" si="64"/>
        <v/>
      </c>
      <c r="AD186" s="386" t="str">
        <f t="shared" si="65"/>
        <v/>
      </c>
      <c r="AE186" s="386" t="str">
        <f t="shared" si="66"/>
        <v/>
      </c>
      <c r="AF186" s="386" t="str">
        <f t="shared" si="67"/>
        <v/>
      </c>
      <c r="AG186" s="386" t="str">
        <f t="shared" si="68"/>
        <v/>
      </c>
      <c r="AH186" s="386" t="str">
        <f t="shared" si="69"/>
        <v/>
      </c>
      <c r="AI186" s="386" t="str">
        <f t="shared" si="80"/>
        <v/>
      </c>
      <c r="AJ186" s="386" t="str">
        <f t="shared" si="81"/>
        <v/>
      </c>
      <c r="AK186" s="386" t="str">
        <f t="shared" si="82"/>
        <v/>
      </c>
      <c r="AL186" s="388"/>
      <c r="AM186" s="388"/>
      <c r="AN186" s="388"/>
      <c r="AO186" s="388"/>
      <c r="AP186" s="402" t="str">
        <f t="shared" si="70"/>
        <v/>
      </c>
      <c r="AQ186" s="388"/>
      <c r="AR186" s="388"/>
      <c r="AS186" s="388"/>
      <c r="AT186" s="388"/>
      <c r="AU186" s="402" t="str">
        <f t="shared" si="71"/>
        <v/>
      </c>
      <c r="AV186" s="389"/>
      <c r="AW186" s="381"/>
      <c r="AX186" s="381"/>
      <c r="AY186" s="373"/>
      <c r="AZ186" s="390"/>
      <c r="BA186" s="390"/>
      <c r="BB186" s="391"/>
      <c r="BC186" s="392"/>
      <c r="BD186" s="393"/>
      <c r="BE186" s="393"/>
      <c r="BF186" s="393"/>
      <c r="BG186" s="394"/>
      <c r="BH186" s="395"/>
      <c r="BI186" s="374"/>
      <c r="BJ186" s="374"/>
      <c r="BK186" s="374"/>
      <c r="BL186" s="389"/>
      <c r="BM186" s="397"/>
      <c r="BN186" s="389"/>
      <c r="BO186" s="419" t="str">
        <f t="shared" si="83"/>
        <v/>
      </c>
      <c r="BP186" s="389"/>
      <c r="BQ186" s="397"/>
      <c r="BR186" s="419"/>
      <c r="BS186" s="419"/>
      <c r="BT186" s="419"/>
      <c r="BU186" s="432"/>
      <c r="BV186" s="419"/>
      <c r="BW186" s="419"/>
      <c r="BX186" s="419"/>
      <c r="BY186" s="389"/>
      <c r="BZ186" s="389"/>
      <c r="CA186" s="389"/>
      <c r="CB186" s="389"/>
      <c r="CC186" s="389"/>
      <c r="CD186" s="389"/>
      <c r="CE186" s="389"/>
      <c r="CF186" s="389"/>
      <c r="CG186" s="389"/>
      <c r="CH186" s="389"/>
      <c r="CI186" s="389"/>
      <c r="CJ186" s="422"/>
      <c r="CK186" s="422"/>
      <c r="CL186" s="422"/>
      <c r="CM186" s="422"/>
      <c r="CN186" s="422"/>
      <c r="CO186" s="422"/>
      <c r="CP186" s="422"/>
      <c r="CQ186" s="432"/>
      <c r="CR186" s="431" t="str">
        <f t="shared" si="72"/>
        <v/>
      </c>
      <c r="CS186" s="35" t="str">
        <f t="shared" si="73"/>
        <v>Direct or WHSE.</v>
      </c>
      <c r="CT186" s="411"/>
      <c r="CW186" s="153" t="str">
        <f t="shared" si="75"/>
        <v/>
      </c>
      <c r="CX186" s="153" t="str">
        <f t="shared" si="75"/>
        <v/>
      </c>
      <c r="CY186" s="153" t="str">
        <f t="shared" si="74"/>
        <v/>
      </c>
    </row>
    <row r="187" spans="1:103" ht="19.5" customHeight="1">
      <c r="A187" s="10">
        <v>165</v>
      </c>
      <c r="B187" s="373"/>
      <c r="C187" s="373"/>
      <c r="D187" s="396"/>
      <c r="E187" s="375"/>
      <c r="F187" s="373"/>
      <c r="G187" s="373"/>
      <c r="H187" s="376"/>
      <c r="I187" s="377"/>
      <c r="J187" s="378"/>
      <c r="K187" s="379"/>
      <c r="L187" s="374"/>
      <c r="M187" s="380" t="str">
        <f t="shared" ca="1" si="76"/>
        <v/>
      </c>
      <c r="N187" s="373"/>
      <c r="O187" s="381"/>
      <c r="P187" s="381"/>
      <c r="Q187" s="382"/>
      <c r="R187" s="381"/>
      <c r="S187" s="383"/>
      <c r="T187" s="384" t="str">
        <f t="shared" si="77"/>
        <v/>
      </c>
      <c r="U187" s="385"/>
      <c r="V187" s="384" t="str">
        <f t="shared" si="78"/>
        <v/>
      </c>
      <c r="W187" s="386"/>
      <c r="X187" s="386" t="str">
        <f t="shared" si="79"/>
        <v/>
      </c>
      <c r="Y187" s="386" t="str">
        <f t="shared" ref="Y187:Y250" si="84">IF(W187="","",W187)</f>
        <v/>
      </c>
      <c r="Z187" s="386" t="str">
        <f t="shared" ref="Z187:Z250" si="85">IF(Q187="N","",IF(Q187="","",IF(W187="","",W187)))</f>
        <v/>
      </c>
      <c r="AA187" s="387"/>
      <c r="AB187" s="386" t="str">
        <f t="shared" ref="AB187:AB250" si="86">IF(W187="","",W187)</f>
        <v/>
      </c>
      <c r="AC187" s="386" t="str">
        <f t="shared" ref="AC187:AC250" si="87">IF(W187="","",W187)</f>
        <v/>
      </c>
      <c r="AD187" s="386" t="str">
        <f t="shared" ref="AD187:AD250" si="88">IF(W187="","",W187)</f>
        <v/>
      </c>
      <c r="AE187" s="386" t="str">
        <f t="shared" ref="AE187:AE250" si="89">IF(W187="","",W187)</f>
        <v/>
      </c>
      <c r="AF187" s="386" t="str">
        <f t="shared" ref="AF187:AF250" si="90">IF(W187="","",W187)</f>
        <v/>
      </c>
      <c r="AG187" s="386" t="str">
        <f t="shared" ref="AG187:AG250" si="91">IF(W187="","",W187)</f>
        <v/>
      </c>
      <c r="AH187" s="386" t="str">
        <f t="shared" ref="AH187:AH250" si="92">IF(W187="","",W187)</f>
        <v/>
      </c>
      <c r="AI187" s="386" t="str">
        <f t="shared" si="80"/>
        <v/>
      </c>
      <c r="AJ187" s="386" t="str">
        <f t="shared" si="81"/>
        <v/>
      </c>
      <c r="AK187" s="386" t="str">
        <f t="shared" si="82"/>
        <v/>
      </c>
      <c r="AL187" s="388"/>
      <c r="AM187" s="388"/>
      <c r="AN187" s="388"/>
      <c r="AO187" s="388"/>
      <c r="AP187" s="402" t="str">
        <f t="shared" ref="AP187:AP250" si="93">IF(AND(AL187="",AM187="",AN187="",AO187=""),"",IF(AL187="","Missing Height",IF(AM187="","Missing Width",IF(AN187="","Missing Length",AL187*AM187*AN187/1728))))</f>
        <v/>
      </c>
      <c r="AQ187" s="388"/>
      <c r="AR187" s="388"/>
      <c r="AS187" s="388"/>
      <c r="AT187" s="388"/>
      <c r="AU187" s="402" t="str">
        <f t="shared" ref="AU187:AU250" si="94">IF(AND(AQ187="",AR187="",AS187="",AT187=""),"",IF(AQ187="","Missing Height",IF(AR187="","Missing Width",IF(AS187="","Missing Length",AQ187*AR187*AS187/1728))))</f>
        <v/>
      </c>
      <c r="AV187" s="389"/>
      <c r="AW187" s="381"/>
      <c r="AX187" s="381"/>
      <c r="AY187" s="373"/>
      <c r="AZ187" s="390"/>
      <c r="BA187" s="390"/>
      <c r="BB187" s="391"/>
      <c r="BC187" s="392"/>
      <c r="BD187" s="393"/>
      <c r="BE187" s="393"/>
      <c r="BF187" s="393"/>
      <c r="BG187" s="394"/>
      <c r="BH187" s="395"/>
      <c r="BI187" s="374"/>
      <c r="BJ187" s="374"/>
      <c r="BK187" s="374"/>
      <c r="BL187" s="389"/>
      <c r="BM187" s="397"/>
      <c r="BN187" s="389"/>
      <c r="BO187" s="419" t="str">
        <f t="shared" si="83"/>
        <v/>
      </c>
      <c r="BP187" s="389"/>
      <c r="BQ187" s="397"/>
      <c r="BR187" s="419"/>
      <c r="BS187" s="419"/>
      <c r="BT187" s="419"/>
      <c r="BU187" s="432"/>
      <c r="BV187" s="419"/>
      <c r="BW187" s="419"/>
      <c r="BX187" s="419"/>
      <c r="BY187" s="389"/>
      <c r="BZ187" s="389"/>
      <c r="CA187" s="389"/>
      <c r="CB187" s="389"/>
      <c r="CC187" s="389"/>
      <c r="CD187" s="389"/>
      <c r="CE187" s="389"/>
      <c r="CF187" s="389"/>
      <c r="CG187" s="389"/>
      <c r="CH187" s="389"/>
      <c r="CI187" s="389"/>
      <c r="CJ187" s="422"/>
      <c r="CK187" s="422"/>
      <c r="CL187" s="422"/>
      <c r="CM187" s="422"/>
      <c r="CN187" s="422"/>
      <c r="CO187" s="422"/>
      <c r="CP187" s="422"/>
      <c r="CQ187" s="432"/>
      <c r="CR187" s="431" t="str">
        <f t="shared" ref="CR187:CR250" si="95">IF(N187="","",IF(MOD(N187,O187)=0,"","CASE PACK Problems"))</f>
        <v/>
      </c>
      <c r="CS187" s="35" t="str">
        <f t="shared" ref="CS187:CS250" si="96">IF($N$3="","Direct or WHSE.",IF(N187="","Need Master Pack QTY.",IF(O187="","Need Inner Pack QTY.",IF($N$3="W",IF(MOD(N187,O187)=0,"","Inner Pack is not a Multiple of the Master pack."),IF(O187="","",IF(O187=N187,"","Master PK and Inner PK don't equal."))))))</f>
        <v>Direct or WHSE.</v>
      </c>
      <c r="CT187" s="411"/>
      <c r="CW187" s="153" t="str">
        <f t="shared" si="75"/>
        <v/>
      </c>
      <c r="CX187" s="153" t="str">
        <f t="shared" si="75"/>
        <v/>
      </c>
      <c r="CY187" s="153" t="str">
        <f t="shared" ref="CY187:CY250" si="97">IF(W187="","",IF(W187=X187,"Match",""))</f>
        <v/>
      </c>
    </row>
    <row r="188" spans="1:103" ht="19.5" customHeight="1">
      <c r="A188" s="10">
        <v>166</v>
      </c>
      <c r="B188" s="373"/>
      <c r="C188" s="373"/>
      <c r="D188" s="396"/>
      <c r="E188" s="375"/>
      <c r="F188" s="373"/>
      <c r="G188" s="373"/>
      <c r="H188" s="376"/>
      <c r="I188" s="377"/>
      <c r="J188" s="378"/>
      <c r="K188" s="379"/>
      <c r="L188" s="374"/>
      <c r="M188" s="380" t="str">
        <f t="shared" ca="1" si="76"/>
        <v/>
      </c>
      <c r="N188" s="373"/>
      <c r="O188" s="381"/>
      <c r="P188" s="381"/>
      <c r="Q188" s="382"/>
      <c r="R188" s="381"/>
      <c r="S188" s="383"/>
      <c r="T188" s="384" t="str">
        <f t="shared" si="77"/>
        <v/>
      </c>
      <c r="U188" s="385"/>
      <c r="V188" s="384" t="str">
        <f t="shared" si="78"/>
        <v/>
      </c>
      <c r="W188" s="386"/>
      <c r="X188" s="386" t="str">
        <f t="shared" si="79"/>
        <v/>
      </c>
      <c r="Y188" s="386" t="str">
        <f t="shared" si="84"/>
        <v/>
      </c>
      <c r="Z188" s="386" t="str">
        <f t="shared" si="85"/>
        <v/>
      </c>
      <c r="AA188" s="387"/>
      <c r="AB188" s="386" t="str">
        <f t="shared" si="86"/>
        <v/>
      </c>
      <c r="AC188" s="386" t="str">
        <f t="shared" si="87"/>
        <v/>
      </c>
      <c r="AD188" s="386" t="str">
        <f t="shared" si="88"/>
        <v/>
      </c>
      <c r="AE188" s="386" t="str">
        <f t="shared" si="89"/>
        <v/>
      </c>
      <c r="AF188" s="386" t="str">
        <f t="shared" si="90"/>
        <v/>
      </c>
      <c r="AG188" s="386" t="str">
        <f t="shared" si="91"/>
        <v/>
      </c>
      <c r="AH188" s="386" t="str">
        <f t="shared" si="92"/>
        <v/>
      </c>
      <c r="AI188" s="386" t="str">
        <f t="shared" si="80"/>
        <v/>
      </c>
      <c r="AJ188" s="386" t="str">
        <f t="shared" si="81"/>
        <v/>
      </c>
      <c r="AK188" s="386" t="str">
        <f t="shared" si="82"/>
        <v/>
      </c>
      <c r="AL188" s="388"/>
      <c r="AM188" s="388"/>
      <c r="AN188" s="388"/>
      <c r="AO188" s="388"/>
      <c r="AP188" s="402" t="str">
        <f t="shared" si="93"/>
        <v/>
      </c>
      <c r="AQ188" s="388"/>
      <c r="AR188" s="388"/>
      <c r="AS188" s="388"/>
      <c r="AT188" s="388"/>
      <c r="AU188" s="402" t="str">
        <f t="shared" si="94"/>
        <v/>
      </c>
      <c r="AV188" s="389"/>
      <c r="AW188" s="381"/>
      <c r="AX188" s="381"/>
      <c r="AY188" s="373"/>
      <c r="AZ188" s="390"/>
      <c r="BA188" s="390"/>
      <c r="BB188" s="391"/>
      <c r="BC188" s="392"/>
      <c r="BD188" s="393"/>
      <c r="BE188" s="393"/>
      <c r="BF188" s="393"/>
      <c r="BG188" s="394"/>
      <c r="BH188" s="395"/>
      <c r="BI188" s="374"/>
      <c r="BJ188" s="374"/>
      <c r="BK188" s="374"/>
      <c r="BL188" s="389"/>
      <c r="BM188" s="397"/>
      <c r="BN188" s="389"/>
      <c r="BO188" s="419" t="str">
        <f t="shared" si="83"/>
        <v/>
      </c>
      <c r="BP188" s="389"/>
      <c r="BQ188" s="397"/>
      <c r="BR188" s="419"/>
      <c r="BS188" s="419"/>
      <c r="BT188" s="419"/>
      <c r="BU188" s="432"/>
      <c r="BV188" s="419"/>
      <c r="BW188" s="419"/>
      <c r="BX188" s="419"/>
      <c r="BY188" s="389"/>
      <c r="BZ188" s="389"/>
      <c r="CA188" s="389"/>
      <c r="CB188" s="389"/>
      <c r="CC188" s="389"/>
      <c r="CD188" s="389"/>
      <c r="CE188" s="389"/>
      <c r="CF188" s="389"/>
      <c r="CG188" s="389"/>
      <c r="CH188" s="389"/>
      <c r="CI188" s="389"/>
      <c r="CJ188" s="422"/>
      <c r="CK188" s="422"/>
      <c r="CL188" s="422"/>
      <c r="CM188" s="422"/>
      <c r="CN188" s="422"/>
      <c r="CO188" s="422"/>
      <c r="CP188" s="422"/>
      <c r="CQ188" s="432"/>
      <c r="CR188" s="431" t="str">
        <f t="shared" si="95"/>
        <v/>
      </c>
      <c r="CS188" s="35" t="str">
        <f t="shared" si="96"/>
        <v>Direct or WHSE.</v>
      </c>
      <c r="CT188" s="411"/>
      <c r="CW188" s="153" t="str">
        <f t="shared" si="75"/>
        <v/>
      </c>
      <c r="CX188" s="153" t="str">
        <f t="shared" si="75"/>
        <v/>
      </c>
      <c r="CY188" s="153" t="str">
        <f t="shared" si="97"/>
        <v/>
      </c>
    </row>
    <row r="189" spans="1:103" ht="19.5" customHeight="1">
      <c r="A189" s="10">
        <v>167</v>
      </c>
      <c r="B189" s="373"/>
      <c r="C189" s="373"/>
      <c r="D189" s="396"/>
      <c r="E189" s="375"/>
      <c r="F189" s="373"/>
      <c r="G189" s="373"/>
      <c r="H189" s="376"/>
      <c r="I189" s="377"/>
      <c r="J189" s="378"/>
      <c r="K189" s="379"/>
      <c r="L189" s="374"/>
      <c r="M189" s="380" t="str">
        <f t="shared" ca="1" si="76"/>
        <v/>
      </c>
      <c r="N189" s="373"/>
      <c r="O189" s="381"/>
      <c r="P189" s="381"/>
      <c r="Q189" s="382"/>
      <c r="R189" s="381"/>
      <c r="S189" s="383"/>
      <c r="T189" s="384" t="str">
        <f t="shared" si="77"/>
        <v/>
      </c>
      <c r="U189" s="385"/>
      <c r="V189" s="384" t="str">
        <f t="shared" si="78"/>
        <v/>
      </c>
      <c r="W189" s="386"/>
      <c r="X189" s="386" t="str">
        <f t="shared" si="79"/>
        <v/>
      </c>
      <c r="Y189" s="386" t="str">
        <f t="shared" si="84"/>
        <v/>
      </c>
      <c r="Z189" s="386" t="str">
        <f t="shared" si="85"/>
        <v/>
      </c>
      <c r="AA189" s="387"/>
      <c r="AB189" s="386" t="str">
        <f t="shared" si="86"/>
        <v/>
      </c>
      <c r="AC189" s="386" t="str">
        <f t="shared" si="87"/>
        <v/>
      </c>
      <c r="AD189" s="386" t="str">
        <f t="shared" si="88"/>
        <v/>
      </c>
      <c r="AE189" s="386" t="str">
        <f t="shared" si="89"/>
        <v/>
      </c>
      <c r="AF189" s="386" t="str">
        <f t="shared" si="90"/>
        <v/>
      </c>
      <c r="AG189" s="386" t="str">
        <f t="shared" si="91"/>
        <v/>
      </c>
      <c r="AH189" s="386" t="str">
        <f t="shared" si="92"/>
        <v/>
      </c>
      <c r="AI189" s="386" t="str">
        <f t="shared" si="80"/>
        <v/>
      </c>
      <c r="AJ189" s="386" t="str">
        <f t="shared" si="81"/>
        <v/>
      </c>
      <c r="AK189" s="386" t="str">
        <f t="shared" si="82"/>
        <v/>
      </c>
      <c r="AL189" s="388"/>
      <c r="AM189" s="388"/>
      <c r="AN189" s="388"/>
      <c r="AO189" s="388"/>
      <c r="AP189" s="402" t="str">
        <f t="shared" si="93"/>
        <v/>
      </c>
      <c r="AQ189" s="388"/>
      <c r="AR189" s="388"/>
      <c r="AS189" s="388"/>
      <c r="AT189" s="388"/>
      <c r="AU189" s="402" t="str">
        <f t="shared" si="94"/>
        <v/>
      </c>
      <c r="AV189" s="389"/>
      <c r="AW189" s="381"/>
      <c r="AX189" s="381"/>
      <c r="AY189" s="373"/>
      <c r="AZ189" s="390"/>
      <c r="BA189" s="390"/>
      <c r="BB189" s="391"/>
      <c r="BC189" s="392"/>
      <c r="BD189" s="393"/>
      <c r="BE189" s="393"/>
      <c r="BF189" s="393"/>
      <c r="BG189" s="394"/>
      <c r="BH189" s="395"/>
      <c r="BI189" s="374"/>
      <c r="BJ189" s="374"/>
      <c r="BK189" s="374"/>
      <c r="BL189" s="389"/>
      <c r="BM189" s="397"/>
      <c r="BN189" s="389"/>
      <c r="BO189" s="419" t="str">
        <f t="shared" si="83"/>
        <v/>
      </c>
      <c r="BP189" s="389"/>
      <c r="BQ189" s="397"/>
      <c r="BR189" s="419"/>
      <c r="BS189" s="419"/>
      <c r="BT189" s="419"/>
      <c r="BU189" s="432"/>
      <c r="BV189" s="419"/>
      <c r="BW189" s="419"/>
      <c r="BX189" s="419"/>
      <c r="BY189" s="389"/>
      <c r="BZ189" s="389"/>
      <c r="CA189" s="389"/>
      <c r="CB189" s="389"/>
      <c r="CC189" s="389"/>
      <c r="CD189" s="389"/>
      <c r="CE189" s="389"/>
      <c r="CF189" s="389"/>
      <c r="CG189" s="389"/>
      <c r="CH189" s="389"/>
      <c r="CI189" s="389"/>
      <c r="CJ189" s="422"/>
      <c r="CK189" s="422"/>
      <c r="CL189" s="422"/>
      <c r="CM189" s="422"/>
      <c r="CN189" s="422"/>
      <c r="CO189" s="422"/>
      <c r="CP189" s="422"/>
      <c r="CQ189" s="432"/>
      <c r="CR189" s="431" t="str">
        <f t="shared" si="95"/>
        <v/>
      </c>
      <c r="CS189" s="35" t="str">
        <f t="shared" si="96"/>
        <v>Direct or WHSE.</v>
      </c>
      <c r="CT189" s="411"/>
      <c r="CW189" s="153" t="str">
        <f t="shared" si="75"/>
        <v/>
      </c>
      <c r="CX189" s="153" t="str">
        <f t="shared" si="75"/>
        <v/>
      </c>
      <c r="CY189" s="153" t="str">
        <f t="shared" si="97"/>
        <v/>
      </c>
    </row>
    <row r="190" spans="1:103" ht="19.5" customHeight="1">
      <c r="A190" s="10">
        <v>168</v>
      </c>
      <c r="B190" s="373"/>
      <c r="C190" s="373"/>
      <c r="D190" s="396"/>
      <c r="E190" s="375"/>
      <c r="F190" s="373"/>
      <c r="G190" s="373"/>
      <c r="H190" s="376"/>
      <c r="I190" s="377"/>
      <c r="J190" s="378"/>
      <c r="K190" s="379"/>
      <c r="L190" s="374"/>
      <c r="M190" s="380" t="str">
        <f t="shared" ca="1" si="76"/>
        <v/>
      </c>
      <c r="N190" s="373"/>
      <c r="O190" s="381"/>
      <c r="P190" s="381"/>
      <c r="Q190" s="382"/>
      <c r="R190" s="381"/>
      <c r="S190" s="383"/>
      <c r="T190" s="384" t="str">
        <f t="shared" si="77"/>
        <v/>
      </c>
      <c r="U190" s="385"/>
      <c r="V190" s="384" t="str">
        <f t="shared" si="78"/>
        <v/>
      </c>
      <c r="W190" s="386"/>
      <c r="X190" s="386" t="str">
        <f t="shared" si="79"/>
        <v/>
      </c>
      <c r="Y190" s="386" t="str">
        <f t="shared" si="84"/>
        <v/>
      </c>
      <c r="Z190" s="386" t="str">
        <f t="shared" si="85"/>
        <v/>
      </c>
      <c r="AA190" s="387"/>
      <c r="AB190" s="386" t="str">
        <f t="shared" si="86"/>
        <v/>
      </c>
      <c r="AC190" s="386" t="str">
        <f t="shared" si="87"/>
        <v/>
      </c>
      <c r="AD190" s="386" t="str">
        <f t="shared" si="88"/>
        <v/>
      </c>
      <c r="AE190" s="386" t="str">
        <f t="shared" si="89"/>
        <v/>
      </c>
      <c r="AF190" s="386" t="str">
        <f t="shared" si="90"/>
        <v/>
      </c>
      <c r="AG190" s="386" t="str">
        <f t="shared" si="91"/>
        <v/>
      </c>
      <c r="AH190" s="386" t="str">
        <f t="shared" si="92"/>
        <v/>
      </c>
      <c r="AI190" s="386" t="str">
        <f t="shared" si="80"/>
        <v/>
      </c>
      <c r="AJ190" s="386" t="str">
        <f t="shared" si="81"/>
        <v/>
      </c>
      <c r="AK190" s="386" t="str">
        <f t="shared" si="82"/>
        <v/>
      </c>
      <c r="AL190" s="388"/>
      <c r="AM190" s="388"/>
      <c r="AN190" s="388"/>
      <c r="AO190" s="388"/>
      <c r="AP190" s="402" t="str">
        <f t="shared" si="93"/>
        <v/>
      </c>
      <c r="AQ190" s="388"/>
      <c r="AR190" s="388"/>
      <c r="AS190" s="388"/>
      <c r="AT190" s="388"/>
      <c r="AU190" s="402" t="str">
        <f t="shared" si="94"/>
        <v/>
      </c>
      <c r="AV190" s="389"/>
      <c r="AW190" s="381"/>
      <c r="AX190" s="381"/>
      <c r="AY190" s="373"/>
      <c r="AZ190" s="390"/>
      <c r="BA190" s="390"/>
      <c r="BB190" s="391"/>
      <c r="BC190" s="392"/>
      <c r="BD190" s="393"/>
      <c r="BE190" s="393"/>
      <c r="BF190" s="393"/>
      <c r="BG190" s="394"/>
      <c r="BH190" s="395"/>
      <c r="BI190" s="374"/>
      <c r="BJ190" s="374"/>
      <c r="BK190" s="374"/>
      <c r="BL190" s="389"/>
      <c r="BM190" s="397"/>
      <c r="BN190" s="389"/>
      <c r="BO190" s="419" t="str">
        <f t="shared" si="83"/>
        <v/>
      </c>
      <c r="BP190" s="389"/>
      <c r="BQ190" s="397"/>
      <c r="BR190" s="419"/>
      <c r="BS190" s="419"/>
      <c r="BT190" s="419"/>
      <c r="BU190" s="432"/>
      <c r="BV190" s="419"/>
      <c r="BW190" s="419"/>
      <c r="BX190" s="419"/>
      <c r="BY190" s="389"/>
      <c r="BZ190" s="389"/>
      <c r="CA190" s="389"/>
      <c r="CB190" s="389"/>
      <c r="CC190" s="389"/>
      <c r="CD190" s="389"/>
      <c r="CE190" s="389"/>
      <c r="CF190" s="389"/>
      <c r="CG190" s="389"/>
      <c r="CH190" s="389"/>
      <c r="CI190" s="389"/>
      <c r="CJ190" s="422"/>
      <c r="CK190" s="422"/>
      <c r="CL190" s="422"/>
      <c r="CM190" s="422"/>
      <c r="CN190" s="422"/>
      <c r="CO190" s="422"/>
      <c r="CP190" s="422"/>
      <c r="CQ190" s="432"/>
      <c r="CR190" s="431" t="str">
        <f t="shared" si="95"/>
        <v/>
      </c>
      <c r="CS190" s="35" t="str">
        <f t="shared" si="96"/>
        <v>Direct or WHSE.</v>
      </c>
      <c r="CT190" s="411"/>
      <c r="CW190" s="153" t="str">
        <f t="shared" si="75"/>
        <v/>
      </c>
      <c r="CX190" s="153" t="str">
        <f t="shared" si="75"/>
        <v/>
      </c>
      <c r="CY190" s="153" t="str">
        <f t="shared" si="97"/>
        <v/>
      </c>
    </row>
    <row r="191" spans="1:103" ht="19.5" customHeight="1">
      <c r="A191" s="10">
        <v>169</v>
      </c>
      <c r="B191" s="373"/>
      <c r="C191" s="373"/>
      <c r="D191" s="396"/>
      <c r="E191" s="375"/>
      <c r="F191" s="373"/>
      <c r="G191" s="373"/>
      <c r="H191" s="376"/>
      <c r="I191" s="377"/>
      <c r="J191" s="378"/>
      <c r="K191" s="379"/>
      <c r="L191" s="374"/>
      <c r="M191" s="380" t="str">
        <f t="shared" ca="1" si="76"/>
        <v/>
      </c>
      <c r="N191" s="373"/>
      <c r="O191" s="381"/>
      <c r="P191" s="381"/>
      <c r="Q191" s="382"/>
      <c r="R191" s="381"/>
      <c r="S191" s="383"/>
      <c r="T191" s="384" t="str">
        <f t="shared" si="77"/>
        <v/>
      </c>
      <c r="U191" s="385"/>
      <c r="V191" s="384" t="str">
        <f t="shared" si="78"/>
        <v/>
      </c>
      <c r="W191" s="386"/>
      <c r="X191" s="386" t="str">
        <f t="shared" si="79"/>
        <v/>
      </c>
      <c r="Y191" s="386" t="str">
        <f t="shared" si="84"/>
        <v/>
      </c>
      <c r="Z191" s="386" t="str">
        <f t="shared" si="85"/>
        <v/>
      </c>
      <c r="AA191" s="387"/>
      <c r="AB191" s="386" t="str">
        <f t="shared" si="86"/>
        <v/>
      </c>
      <c r="AC191" s="386" t="str">
        <f t="shared" si="87"/>
        <v/>
      </c>
      <c r="AD191" s="386" t="str">
        <f t="shared" si="88"/>
        <v/>
      </c>
      <c r="AE191" s="386" t="str">
        <f t="shared" si="89"/>
        <v/>
      </c>
      <c r="AF191" s="386" t="str">
        <f t="shared" si="90"/>
        <v/>
      </c>
      <c r="AG191" s="386" t="str">
        <f t="shared" si="91"/>
        <v/>
      </c>
      <c r="AH191" s="386" t="str">
        <f t="shared" si="92"/>
        <v/>
      </c>
      <c r="AI191" s="386" t="str">
        <f t="shared" si="80"/>
        <v/>
      </c>
      <c r="AJ191" s="386" t="str">
        <f t="shared" si="81"/>
        <v/>
      </c>
      <c r="AK191" s="386" t="str">
        <f t="shared" si="82"/>
        <v/>
      </c>
      <c r="AL191" s="388"/>
      <c r="AM191" s="388"/>
      <c r="AN191" s="388"/>
      <c r="AO191" s="388"/>
      <c r="AP191" s="402" t="str">
        <f t="shared" si="93"/>
        <v/>
      </c>
      <c r="AQ191" s="388"/>
      <c r="AR191" s="388"/>
      <c r="AS191" s="388"/>
      <c r="AT191" s="388"/>
      <c r="AU191" s="402" t="str">
        <f t="shared" si="94"/>
        <v/>
      </c>
      <c r="AV191" s="389"/>
      <c r="AW191" s="381"/>
      <c r="AX191" s="381"/>
      <c r="AY191" s="373"/>
      <c r="AZ191" s="390"/>
      <c r="BA191" s="390"/>
      <c r="BB191" s="391"/>
      <c r="BC191" s="392"/>
      <c r="BD191" s="393"/>
      <c r="BE191" s="393"/>
      <c r="BF191" s="393"/>
      <c r="BG191" s="394"/>
      <c r="BH191" s="395"/>
      <c r="BI191" s="374"/>
      <c r="BJ191" s="374"/>
      <c r="BK191" s="374"/>
      <c r="BL191" s="389"/>
      <c r="BM191" s="397"/>
      <c r="BN191" s="389"/>
      <c r="BO191" s="419" t="str">
        <f t="shared" si="83"/>
        <v/>
      </c>
      <c r="BP191" s="389"/>
      <c r="BQ191" s="397"/>
      <c r="BR191" s="419"/>
      <c r="BS191" s="419"/>
      <c r="BT191" s="419"/>
      <c r="BU191" s="432"/>
      <c r="BV191" s="419"/>
      <c r="BW191" s="419"/>
      <c r="BX191" s="419"/>
      <c r="BY191" s="389"/>
      <c r="BZ191" s="389"/>
      <c r="CA191" s="389"/>
      <c r="CB191" s="389"/>
      <c r="CC191" s="389"/>
      <c r="CD191" s="389"/>
      <c r="CE191" s="389"/>
      <c r="CF191" s="389"/>
      <c r="CG191" s="389"/>
      <c r="CH191" s="389"/>
      <c r="CI191" s="389"/>
      <c r="CJ191" s="422"/>
      <c r="CK191" s="422"/>
      <c r="CL191" s="422"/>
      <c r="CM191" s="422"/>
      <c r="CN191" s="422"/>
      <c r="CO191" s="422"/>
      <c r="CP191" s="422"/>
      <c r="CQ191" s="432"/>
      <c r="CR191" s="431" t="str">
        <f t="shared" si="95"/>
        <v/>
      </c>
      <c r="CS191" s="35" t="str">
        <f t="shared" si="96"/>
        <v>Direct or WHSE.</v>
      </c>
      <c r="CT191" s="411"/>
      <c r="CW191" s="153" t="str">
        <f t="shared" si="75"/>
        <v/>
      </c>
      <c r="CX191" s="153" t="str">
        <f t="shared" si="75"/>
        <v/>
      </c>
      <c r="CY191" s="153" t="str">
        <f t="shared" si="97"/>
        <v/>
      </c>
    </row>
    <row r="192" spans="1:103" ht="19.5" customHeight="1">
      <c r="A192" s="10">
        <v>170</v>
      </c>
      <c r="B192" s="373"/>
      <c r="C192" s="373"/>
      <c r="D192" s="396"/>
      <c r="E192" s="375"/>
      <c r="F192" s="373"/>
      <c r="G192" s="373"/>
      <c r="H192" s="376"/>
      <c r="I192" s="377"/>
      <c r="J192" s="378"/>
      <c r="K192" s="379"/>
      <c r="L192" s="374"/>
      <c r="M192" s="380" t="str">
        <f t="shared" ca="1" si="76"/>
        <v/>
      </c>
      <c r="N192" s="373"/>
      <c r="O192" s="381"/>
      <c r="P192" s="381"/>
      <c r="Q192" s="382"/>
      <c r="R192" s="381"/>
      <c r="S192" s="383"/>
      <c r="T192" s="384" t="str">
        <f t="shared" si="77"/>
        <v/>
      </c>
      <c r="U192" s="385"/>
      <c r="V192" s="384" t="str">
        <f t="shared" si="78"/>
        <v/>
      </c>
      <c r="W192" s="386"/>
      <c r="X192" s="386" t="str">
        <f t="shared" si="79"/>
        <v/>
      </c>
      <c r="Y192" s="386" t="str">
        <f t="shared" si="84"/>
        <v/>
      </c>
      <c r="Z192" s="386" t="str">
        <f t="shared" si="85"/>
        <v/>
      </c>
      <c r="AA192" s="387"/>
      <c r="AB192" s="386" t="str">
        <f t="shared" si="86"/>
        <v/>
      </c>
      <c r="AC192" s="386" t="str">
        <f t="shared" si="87"/>
        <v/>
      </c>
      <c r="AD192" s="386" t="str">
        <f t="shared" si="88"/>
        <v/>
      </c>
      <c r="AE192" s="386" t="str">
        <f t="shared" si="89"/>
        <v/>
      </c>
      <c r="AF192" s="386" t="str">
        <f t="shared" si="90"/>
        <v/>
      </c>
      <c r="AG192" s="386" t="str">
        <f t="shared" si="91"/>
        <v/>
      </c>
      <c r="AH192" s="386" t="str">
        <f t="shared" si="92"/>
        <v/>
      </c>
      <c r="AI192" s="386" t="str">
        <f t="shared" si="80"/>
        <v/>
      </c>
      <c r="AJ192" s="386" t="str">
        <f t="shared" si="81"/>
        <v/>
      </c>
      <c r="AK192" s="386" t="str">
        <f t="shared" si="82"/>
        <v/>
      </c>
      <c r="AL192" s="388"/>
      <c r="AM192" s="388"/>
      <c r="AN192" s="388"/>
      <c r="AO192" s="388"/>
      <c r="AP192" s="402" t="str">
        <f t="shared" si="93"/>
        <v/>
      </c>
      <c r="AQ192" s="388"/>
      <c r="AR192" s="388"/>
      <c r="AS192" s="388"/>
      <c r="AT192" s="388"/>
      <c r="AU192" s="402" t="str">
        <f t="shared" si="94"/>
        <v/>
      </c>
      <c r="AV192" s="389"/>
      <c r="AW192" s="381"/>
      <c r="AX192" s="381"/>
      <c r="AY192" s="373"/>
      <c r="AZ192" s="390"/>
      <c r="BA192" s="390"/>
      <c r="BB192" s="391"/>
      <c r="BC192" s="392"/>
      <c r="BD192" s="393"/>
      <c r="BE192" s="393"/>
      <c r="BF192" s="393"/>
      <c r="BG192" s="394"/>
      <c r="BH192" s="395"/>
      <c r="BI192" s="374"/>
      <c r="BJ192" s="374"/>
      <c r="BK192" s="374"/>
      <c r="BL192" s="389"/>
      <c r="BM192" s="397"/>
      <c r="BN192" s="389"/>
      <c r="BO192" s="419" t="str">
        <f t="shared" si="83"/>
        <v/>
      </c>
      <c r="BP192" s="389"/>
      <c r="BQ192" s="397"/>
      <c r="BR192" s="419"/>
      <c r="BS192" s="419"/>
      <c r="BT192" s="419"/>
      <c r="BU192" s="432"/>
      <c r="BV192" s="419"/>
      <c r="BW192" s="419"/>
      <c r="BX192" s="419"/>
      <c r="BY192" s="389"/>
      <c r="BZ192" s="389"/>
      <c r="CA192" s="389"/>
      <c r="CB192" s="389"/>
      <c r="CC192" s="389"/>
      <c r="CD192" s="389"/>
      <c r="CE192" s="389"/>
      <c r="CF192" s="389"/>
      <c r="CG192" s="389"/>
      <c r="CH192" s="389"/>
      <c r="CI192" s="389"/>
      <c r="CJ192" s="422"/>
      <c r="CK192" s="422"/>
      <c r="CL192" s="422"/>
      <c r="CM192" s="422"/>
      <c r="CN192" s="422"/>
      <c r="CO192" s="422"/>
      <c r="CP192" s="422"/>
      <c r="CQ192" s="432"/>
      <c r="CR192" s="431" t="str">
        <f t="shared" si="95"/>
        <v/>
      </c>
      <c r="CS192" s="35" t="str">
        <f t="shared" si="96"/>
        <v>Direct or WHSE.</v>
      </c>
      <c r="CT192" s="411"/>
      <c r="CW192" s="153" t="str">
        <f t="shared" si="75"/>
        <v/>
      </c>
      <c r="CX192" s="153" t="str">
        <f t="shared" si="75"/>
        <v/>
      </c>
      <c r="CY192" s="153" t="str">
        <f t="shared" si="97"/>
        <v/>
      </c>
    </row>
    <row r="193" spans="1:103" ht="19.5" customHeight="1">
      <c r="A193" s="10">
        <v>171</v>
      </c>
      <c r="B193" s="373"/>
      <c r="C193" s="373"/>
      <c r="D193" s="396"/>
      <c r="E193" s="375"/>
      <c r="F193" s="373"/>
      <c r="G193" s="373"/>
      <c r="H193" s="376"/>
      <c r="I193" s="377"/>
      <c r="J193" s="378"/>
      <c r="K193" s="379"/>
      <c r="L193" s="374"/>
      <c r="M193" s="380" t="str">
        <f t="shared" ca="1" si="76"/>
        <v/>
      </c>
      <c r="N193" s="373"/>
      <c r="O193" s="381"/>
      <c r="P193" s="381"/>
      <c r="Q193" s="382"/>
      <c r="R193" s="381"/>
      <c r="S193" s="383"/>
      <c r="T193" s="384" t="str">
        <f t="shared" si="77"/>
        <v/>
      </c>
      <c r="U193" s="385"/>
      <c r="V193" s="384" t="str">
        <f t="shared" si="78"/>
        <v/>
      </c>
      <c r="W193" s="386"/>
      <c r="X193" s="386" t="str">
        <f t="shared" si="79"/>
        <v/>
      </c>
      <c r="Y193" s="386" t="str">
        <f t="shared" si="84"/>
        <v/>
      </c>
      <c r="Z193" s="386" t="str">
        <f t="shared" si="85"/>
        <v/>
      </c>
      <c r="AA193" s="387"/>
      <c r="AB193" s="386" t="str">
        <f t="shared" si="86"/>
        <v/>
      </c>
      <c r="AC193" s="386" t="str">
        <f t="shared" si="87"/>
        <v/>
      </c>
      <c r="AD193" s="386" t="str">
        <f t="shared" si="88"/>
        <v/>
      </c>
      <c r="AE193" s="386" t="str">
        <f t="shared" si="89"/>
        <v/>
      </c>
      <c r="AF193" s="386" t="str">
        <f t="shared" si="90"/>
        <v/>
      </c>
      <c r="AG193" s="386" t="str">
        <f t="shared" si="91"/>
        <v/>
      </c>
      <c r="AH193" s="386" t="str">
        <f t="shared" si="92"/>
        <v/>
      </c>
      <c r="AI193" s="386" t="str">
        <f t="shared" si="80"/>
        <v/>
      </c>
      <c r="AJ193" s="386" t="str">
        <f t="shared" si="81"/>
        <v/>
      </c>
      <c r="AK193" s="386" t="str">
        <f t="shared" si="82"/>
        <v/>
      </c>
      <c r="AL193" s="388"/>
      <c r="AM193" s="388"/>
      <c r="AN193" s="388"/>
      <c r="AO193" s="388"/>
      <c r="AP193" s="402" t="str">
        <f t="shared" si="93"/>
        <v/>
      </c>
      <c r="AQ193" s="388"/>
      <c r="AR193" s="388"/>
      <c r="AS193" s="388"/>
      <c r="AT193" s="388"/>
      <c r="AU193" s="402" t="str">
        <f t="shared" si="94"/>
        <v/>
      </c>
      <c r="AV193" s="389"/>
      <c r="AW193" s="381"/>
      <c r="AX193" s="381"/>
      <c r="AY193" s="373"/>
      <c r="AZ193" s="390"/>
      <c r="BA193" s="390"/>
      <c r="BB193" s="391"/>
      <c r="BC193" s="392"/>
      <c r="BD193" s="393"/>
      <c r="BE193" s="393"/>
      <c r="BF193" s="393"/>
      <c r="BG193" s="394"/>
      <c r="BH193" s="395"/>
      <c r="BI193" s="374"/>
      <c r="BJ193" s="374"/>
      <c r="BK193" s="374"/>
      <c r="BL193" s="389"/>
      <c r="BM193" s="397"/>
      <c r="BN193" s="389"/>
      <c r="BO193" s="419" t="str">
        <f t="shared" si="83"/>
        <v/>
      </c>
      <c r="BP193" s="389"/>
      <c r="BQ193" s="397"/>
      <c r="BR193" s="419"/>
      <c r="BS193" s="419"/>
      <c r="BT193" s="419"/>
      <c r="BU193" s="432"/>
      <c r="BV193" s="419"/>
      <c r="BW193" s="419"/>
      <c r="BX193" s="419"/>
      <c r="BY193" s="389"/>
      <c r="BZ193" s="389"/>
      <c r="CA193" s="389"/>
      <c r="CB193" s="389"/>
      <c r="CC193" s="389"/>
      <c r="CD193" s="389"/>
      <c r="CE193" s="389"/>
      <c r="CF193" s="389"/>
      <c r="CG193" s="389"/>
      <c r="CH193" s="389"/>
      <c r="CI193" s="389"/>
      <c r="CJ193" s="422"/>
      <c r="CK193" s="422"/>
      <c r="CL193" s="422"/>
      <c r="CM193" s="422"/>
      <c r="CN193" s="422"/>
      <c r="CO193" s="422"/>
      <c r="CP193" s="422"/>
      <c r="CQ193" s="432"/>
      <c r="CR193" s="431" t="str">
        <f t="shared" si="95"/>
        <v/>
      </c>
      <c r="CS193" s="35" t="str">
        <f t="shared" si="96"/>
        <v>Direct or WHSE.</v>
      </c>
      <c r="CT193" s="411"/>
      <c r="CW193" s="153" t="str">
        <f t="shared" si="75"/>
        <v/>
      </c>
      <c r="CX193" s="153" t="str">
        <f t="shared" si="75"/>
        <v/>
      </c>
      <c r="CY193" s="153" t="str">
        <f t="shared" si="97"/>
        <v/>
      </c>
    </row>
    <row r="194" spans="1:103" ht="19.5" customHeight="1">
      <c r="A194" s="10">
        <v>172</v>
      </c>
      <c r="B194" s="373"/>
      <c r="C194" s="373"/>
      <c r="D194" s="396"/>
      <c r="E194" s="375"/>
      <c r="F194" s="373"/>
      <c r="G194" s="373"/>
      <c r="H194" s="376"/>
      <c r="I194" s="377"/>
      <c r="J194" s="378"/>
      <c r="K194" s="379"/>
      <c r="L194" s="374"/>
      <c r="M194" s="380" t="str">
        <f t="shared" ca="1" si="76"/>
        <v/>
      </c>
      <c r="N194" s="373"/>
      <c r="O194" s="381"/>
      <c r="P194" s="381"/>
      <c r="Q194" s="382"/>
      <c r="R194" s="381"/>
      <c r="S194" s="383"/>
      <c r="T194" s="384" t="str">
        <f t="shared" si="77"/>
        <v/>
      </c>
      <c r="U194" s="385"/>
      <c r="V194" s="384" t="str">
        <f t="shared" si="78"/>
        <v/>
      </c>
      <c r="W194" s="386"/>
      <c r="X194" s="386" t="str">
        <f t="shared" si="79"/>
        <v/>
      </c>
      <c r="Y194" s="386" t="str">
        <f t="shared" si="84"/>
        <v/>
      </c>
      <c r="Z194" s="386" t="str">
        <f t="shared" si="85"/>
        <v/>
      </c>
      <c r="AA194" s="387"/>
      <c r="AB194" s="386" t="str">
        <f t="shared" si="86"/>
        <v/>
      </c>
      <c r="AC194" s="386" t="str">
        <f t="shared" si="87"/>
        <v/>
      </c>
      <c r="AD194" s="386" t="str">
        <f t="shared" si="88"/>
        <v/>
      </c>
      <c r="AE194" s="386" t="str">
        <f t="shared" si="89"/>
        <v/>
      </c>
      <c r="AF194" s="386" t="str">
        <f t="shared" si="90"/>
        <v/>
      </c>
      <c r="AG194" s="386" t="str">
        <f t="shared" si="91"/>
        <v/>
      </c>
      <c r="AH194" s="386" t="str">
        <f t="shared" si="92"/>
        <v/>
      </c>
      <c r="AI194" s="386" t="str">
        <f t="shared" si="80"/>
        <v/>
      </c>
      <c r="AJ194" s="386" t="str">
        <f t="shared" si="81"/>
        <v/>
      </c>
      <c r="AK194" s="386" t="str">
        <f t="shared" si="82"/>
        <v/>
      </c>
      <c r="AL194" s="388"/>
      <c r="AM194" s="388"/>
      <c r="AN194" s="388"/>
      <c r="AO194" s="388"/>
      <c r="AP194" s="402" t="str">
        <f t="shared" si="93"/>
        <v/>
      </c>
      <c r="AQ194" s="388"/>
      <c r="AR194" s="388"/>
      <c r="AS194" s="388"/>
      <c r="AT194" s="388"/>
      <c r="AU194" s="402" t="str">
        <f t="shared" si="94"/>
        <v/>
      </c>
      <c r="AV194" s="389"/>
      <c r="AW194" s="381"/>
      <c r="AX194" s="381"/>
      <c r="AY194" s="373"/>
      <c r="AZ194" s="390"/>
      <c r="BA194" s="390"/>
      <c r="BB194" s="391"/>
      <c r="BC194" s="392"/>
      <c r="BD194" s="393"/>
      <c r="BE194" s="393"/>
      <c r="BF194" s="393"/>
      <c r="BG194" s="394"/>
      <c r="BH194" s="395"/>
      <c r="BI194" s="374"/>
      <c r="BJ194" s="374"/>
      <c r="BK194" s="374"/>
      <c r="BL194" s="389"/>
      <c r="BM194" s="397"/>
      <c r="BN194" s="389"/>
      <c r="BO194" s="419" t="str">
        <f t="shared" si="83"/>
        <v/>
      </c>
      <c r="BP194" s="389"/>
      <c r="BQ194" s="397"/>
      <c r="BR194" s="419"/>
      <c r="BS194" s="419"/>
      <c r="BT194" s="419"/>
      <c r="BU194" s="432"/>
      <c r="BV194" s="419"/>
      <c r="BW194" s="419"/>
      <c r="BX194" s="419"/>
      <c r="BY194" s="389"/>
      <c r="BZ194" s="389"/>
      <c r="CA194" s="389"/>
      <c r="CB194" s="389"/>
      <c r="CC194" s="389"/>
      <c r="CD194" s="389"/>
      <c r="CE194" s="389"/>
      <c r="CF194" s="389"/>
      <c r="CG194" s="389"/>
      <c r="CH194" s="389"/>
      <c r="CI194" s="389"/>
      <c r="CJ194" s="422"/>
      <c r="CK194" s="422"/>
      <c r="CL194" s="422"/>
      <c r="CM194" s="422"/>
      <c r="CN194" s="422"/>
      <c r="CO194" s="422"/>
      <c r="CP194" s="422"/>
      <c r="CQ194" s="432"/>
      <c r="CR194" s="431" t="str">
        <f t="shared" si="95"/>
        <v/>
      </c>
      <c r="CS194" s="35" t="str">
        <f t="shared" si="96"/>
        <v>Direct or WHSE.</v>
      </c>
      <c r="CT194" s="411"/>
      <c r="CW194" s="153" t="str">
        <f t="shared" si="75"/>
        <v/>
      </c>
      <c r="CX194" s="153" t="str">
        <f t="shared" si="75"/>
        <v/>
      </c>
      <c r="CY194" s="153" t="str">
        <f t="shared" si="97"/>
        <v/>
      </c>
    </row>
    <row r="195" spans="1:103" ht="19.5" customHeight="1">
      <c r="A195" s="10">
        <v>173</v>
      </c>
      <c r="B195" s="373"/>
      <c r="C195" s="373"/>
      <c r="D195" s="396"/>
      <c r="E195" s="375"/>
      <c r="F195" s="373"/>
      <c r="G195" s="373"/>
      <c r="H195" s="376"/>
      <c r="I195" s="377"/>
      <c r="J195" s="378"/>
      <c r="K195" s="379"/>
      <c r="L195" s="374"/>
      <c r="M195" s="380" t="str">
        <f t="shared" ca="1" si="76"/>
        <v/>
      </c>
      <c r="N195" s="373"/>
      <c r="O195" s="381"/>
      <c r="P195" s="381"/>
      <c r="Q195" s="382"/>
      <c r="R195" s="381"/>
      <c r="S195" s="383"/>
      <c r="T195" s="384" t="str">
        <f t="shared" si="77"/>
        <v/>
      </c>
      <c r="U195" s="385"/>
      <c r="V195" s="384" t="str">
        <f t="shared" si="78"/>
        <v/>
      </c>
      <c r="W195" s="386"/>
      <c r="X195" s="386" t="str">
        <f t="shared" si="79"/>
        <v/>
      </c>
      <c r="Y195" s="386" t="str">
        <f t="shared" si="84"/>
        <v/>
      </c>
      <c r="Z195" s="386" t="str">
        <f t="shared" si="85"/>
        <v/>
      </c>
      <c r="AA195" s="387"/>
      <c r="AB195" s="386" t="str">
        <f t="shared" si="86"/>
        <v/>
      </c>
      <c r="AC195" s="386" t="str">
        <f t="shared" si="87"/>
        <v/>
      </c>
      <c r="AD195" s="386" t="str">
        <f t="shared" si="88"/>
        <v/>
      </c>
      <c r="AE195" s="386" t="str">
        <f t="shared" si="89"/>
        <v/>
      </c>
      <c r="AF195" s="386" t="str">
        <f t="shared" si="90"/>
        <v/>
      </c>
      <c r="AG195" s="386" t="str">
        <f t="shared" si="91"/>
        <v/>
      </c>
      <c r="AH195" s="386" t="str">
        <f t="shared" si="92"/>
        <v/>
      </c>
      <c r="AI195" s="386" t="str">
        <f t="shared" si="80"/>
        <v/>
      </c>
      <c r="AJ195" s="386" t="str">
        <f t="shared" si="81"/>
        <v/>
      </c>
      <c r="AK195" s="386" t="str">
        <f t="shared" si="82"/>
        <v/>
      </c>
      <c r="AL195" s="388"/>
      <c r="AM195" s="388"/>
      <c r="AN195" s="388"/>
      <c r="AO195" s="388"/>
      <c r="AP195" s="402" t="str">
        <f t="shared" si="93"/>
        <v/>
      </c>
      <c r="AQ195" s="388"/>
      <c r="AR195" s="388"/>
      <c r="AS195" s="388"/>
      <c r="AT195" s="388"/>
      <c r="AU195" s="402" t="str">
        <f t="shared" si="94"/>
        <v/>
      </c>
      <c r="AV195" s="389"/>
      <c r="AW195" s="381"/>
      <c r="AX195" s="381"/>
      <c r="AY195" s="373"/>
      <c r="AZ195" s="390"/>
      <c r="BA195" s="390"/>
      <c r="BB195" s="391"/>
      <c r="BC195" s="392"/>
      <c r="BD195" s="393"/>
      <c r="BE195" s="393"/>
      <c r="BF195" s="393"/>
      <c r="BG195" s="394"/>
      <c r="BH195" s="395"/>
      <c r="BI195" s="374"/>
      <c r="BJ195" s="374"/>
      <c r="BK195" s="374"/>
      <c r="BL195" s="389"/>
      <c r="BM195" s="397"/>
      <c r="BN195" s="389"/>
      <c r="BO195" s="419" t="str">
        <f t="shared" si="83"/>
        <v/>
      </c>
      <c r="BP195" s="389"/>
      <c r="BQ195" s="397"/>
      <c r="BR195" s="419"/>
      <c r="BS195" s="419"/>
      <c r="BT195" s="419"/>
      <c r="BU195" s="432"/>
      <c r="BV195" s="419"/>
      <c r="BW195" s="419"/>
      <c r="BX195" s="419"/>
      <c r="BY195" s="389"/>
      <c r="BZ195" s="389"/>
      <c r="CA195" s="389"/>
      <c r="CB195" s="389"/>
      <c r="CC195" s="389"/>
      <c r="CD195" s="389"/>
      <c r="CE195" s="389"/>
      <c r="CF195" s="389"/>
      <c r="CG195" s="389"/>
      <c r="CH195" s="389"/>
      <c r="CI195" s="389"/>
      <c r="CJ195" s="422"/>
      <c r="CK195" s="422"/>
      <c r="CL195" s="422"/>
      <c r="CM195" s="422"/>
      <c r="CN195" s="422"/>
      <c r="CO195" s="422"/>
      <c r="CP195" s="422"/>
      <c r="CQ195" s="432"/>
      <c r="CR195" s="431" t="str">
        <f t="shared" si="95"/>
        <v/>
      </c>
      <c r="CS195" s="35" t="str">
        <f t="shared" si="96"/>
        <v>Direct or WHSE.</v>
      </c>
      <c r="CT195" s="411"/>
      <c r="CW195" s="153" t="str">
        <f t="shared" si="75"/>
        <v/>
      </c>
      <c r="CX195" s="153" t="str">
        <f t="shared" si="75"/>
        <v/>
      </c>
      <c r="CY195" s="153" t="str">
        <f t="shared" si="97"/>
        <v/>
      </c>
    </row>
    <row r="196" spans="1:103" ht="19.5" customHeight="1">
      <c r="A196" s="10">
        <v>174</v>
      </c>
      <c r="B196" s="373"/>
      <c r="C196" s="373"/>
      <c r="D196" s="396"/>
      <c r="E196" s="375"/>
      <c r="F196" s="373"/>
      <c r="G196" s="373"/>
      <c r="H196" s="376"/>
      <c r="I196" s="377"/>
      <c r="J196" s="378"/>
      <c r="K196" s="379"/>
      <c r="L196" s="374"/>
      <c r="M196" s="380" t="str">
        <f t="shared" ca="1" si="76"/>
        <v/>
      </c>
      <c r="N196" s="373"/>
      <c r="O196" s="381"/>
      <c r="P196" s="381"/>
      <c r="Q196" s="382"/>
      <c r="R196" s="381"/>
      <c r="S196" s="383"/>
      <c r="T196" s="384" t="str">
        <f t="shared" si="77"/>
        <v/>
      </c>
      <c r="U196" s="385"/>
      <c r="V196" s="384" t="str">
        <f t="shared" si="78"/>
        <v/>
      </c>
      <c r="W196" s="386"/>
      <c r="X196" s="386" t="str">
        <f t="shared" si="79"/>
        <v/>
      </c>
      <c r="Y196" s="386" t="str">
        <f t="shared" si="84"/>
        <v/>
      </c>
      <c r="Z196" s="386" t="str">
        <f t="shared" si="85"/>
        <v/>
      </c>
      <c r="AA196" s="387"/>
      <c r="AB196" s="386" t="str">
        <f t="shared" si="86"/>
        <v/>
      </c>
      <c r="AC196" s="386" t="str">
        <f t="shared" si="87"/>
        <v/>
      </c>
      <c r="AD196" s="386" t="str">
        <f t="shared" si="88"/>
        <v/>
      </c>
      <c r="AE196" s="386" t="str">
        <f t="shared" si="89"/>
        <v/>
      </c>
      <c r="AF196" s="386" t="str">
        <f t="shared" si="90"/>
        <v/>
      </c>
      <c r="AG196" s="386" t="str">
        <f t="shared" si="91"/>
        <v/>
      </c>
      <c r="AH196" s="386" t="str">
        <f t="shared" si="92"/>
        <v/>
      </c>
      <c r="AI196" s="386" t="str">
        <f t="shared" si="80"/>
        <v/>
      </c>
      <c r="AJ196" s="386" t="str">
        <f t="shared" si="81"/>
        <v/>
      </c>
      <c r="AK196" s="386" t="str">
        <f t="shared" si="82"/>
        <v/>
      </c>
      <c r="AL196" s="388"/>
      <c r="AM196" s="388"/>
      <c r="AN196" s="388"/>
      <c r="AO196" s="388"/>
      <c r="AP196" s="402" t="str">
        <f t="shared" si="93"/>
        <v/>
      </c>
      <c r="AQ196" s="388"/>
      <c r="AR196" s="388"/>
      <c r="AS196" s="388"/>
      <c r="AT196" s="388"/>
      <c r="AU196" s="402" t="str">
        <f t="shared" si="94"/>
        <v/>
      </c>
      <c r="AV196" s="389"/>
      <c r="AW196" s="381"/>
      <c r="AX196" s="381"/>
      <c r="AY196" s="373"/>
      <c r="AZ196" s="390"/>
      <c r="BA196" s="390"/>
      <c r="BB196" s="391"/>
      <c r="BC196" s="392"/>
      <c r="BD196" s="393"/>
      <c r="BE196" s="393"/>
      <c r="BF196" s="393"/>
      <c r="BG196" s="394"/>
      <c r="BH196" s="395"/>
      <c r="BI196" s="374"/>
      <c r="BJ196" s="374"/>
      <c r="BK196" s="374"/>
      <c r="BL196" s="389"/>
      <c r="BM196" s="397"/>
      <c r="BN196" s="389"/>
      <c r="BO196" s="419" t="str">
        <f t="shared" si="83"/>
        <v/>
      </c>
      <c r="BP196" s="389"/>
      <c r="BQ196" s="397"/>
      <c r="BR196" s="419"/>
      <c r="BS196" s="419"/>
      <c r="BT196" s="419"/>
      <c r="BU196" s="432"/>
      <c r="BV196" s="419"/>
      <c r="BW196" s="419"/>
      <c r="BX196" s="419"/>
      <c r="BY196" s="389"/>
      <c r="BZ196" s="389"/>
      <c r="CA196" s="389"/>
      <c r="CB196" s="389"/>
      <c r="CC196" s="389"/>
      <c r="CD196" s="389"/>
      <c r="CE196" s="389"/>
      <c r="CF196" s="389"/>
      <c r="CG196" s="389"/>
      <c r="CH196" s="389"/>
      <c r="CI196" s="389"/>
      <c r="CJ196" s="422"/>
      <c r="CK196" s="422"/>
      <c r="CL196" s="422"/>
      <c r="CM196" s="422"/>
      <c r="CN196" s="422"/>
      <c r="CO196" s="422"/>
      <c r="CP196" s="422"/>
      <c r="CQ196" s="432"/>
      <c r="CR196" s="431" t="str">
        <f t="shared" si="95"/>
        <v/>
      </c>
      <c r="CS196" s="35" t="str">
        <f t="shared" si="96"/>
        <v>Direct or WHSE.</v>
      </c>
      <c r="CT196" s="411"/>
      <c r="CW196" s="153" t="str">
        <f t="shared" si="75"/>
        <v/>
      </c>
      <c r="CX196" s="153" t="str">
        <f t="shared" si="75"/>
        <v/>
      </c>
      <c r="CY196" s="153" t="str">
        <f t="shared" si="97"/>
        <v/>
      </c>
    </row>
    <row r="197" spans="1:103" ht="19.5" customHeight="1">
      <c r="A197" s="10">
        <v>175</v>
      </c>
      <c r="B197" s="373"/>
      <c r="C197" s="373"/>
      <c r="D197" s="396"/>
      <c r="E197" s="375"/>
      <c r="F197" s="373"/>
      <c r="G197" s="373"/>
      <c r="H197" s="376"/>
      <c r="I197" s="377"/>
      <c r="J197" s="378"/>
      <c r="K197" s="379"/>
      <c r="L197" s="374"/>
      <c r="M197" s="380" t="str">
        <f t="shared" ca="1" si="76"/>
        <v/>
      </c>
      <c r="N197" s="373"/>
      <c r="O197" s="381"/>
      <c r="P197" s="381"/>
      <c r="Q197" s="382"/>
      <c r="R197" s="381"/>
      <c r="S197" s="383"/>
      <c r="T197" s="384" t="str">
        <f t="shared" si="77"/>
        <v/>
      </c>
      <c r="U197" s="385"/>
      <c r="V197" s="384" t="str">
        <f t="shared" si="78"/>
        <v/>
      </c>
      <c r="W197" s="386"/>
      <c r="X197" s="386" t="str">
        <f t="shared" si="79"/>
        <v/>
      </c>
      <c r="Y197" s="386" t="str">
        <f t="shared" si="84"/>
        <v/>
      </c>
      <c r="Z197" s="386" t="str">
        <f t="shared" si="85"/>
        <v/>
      </c>
      <c r="AA197" s="387"/>
      <c r="AB197" s="386" t="str">
        <f t="shared" si="86"/>
        <v/>
      </c>
      <c r="AC197" s="386" t="str">
        <f t="shared" si="87"/>
        <v/>
      </c>
      <c r="AD197" s="386" t="str">
        <f t="shared" si="88"/>
        <v/>
      </c>
      <c r="AE197" s="386" t="str">
        <f t="shared" si="89"/>
        <v/>
      </c>
      <c r="AF197" s="386" t="str">
        <f t="shared" si="90"/>
        <v/>
      </c>
      <c r="AG197" s="386" t="str">
        <f t="shared" si="91"/>
        <v/>
      </c>
      <c r="AH197" s="386" t="str">
        <f t="shared" si="92"/>
        <v/>
      </c>
      <c r="AI197" s="386" t="str">
        <f t="shared" si="80"/>
        <v/>
      </c>
      <c r="AJ197" s="386" t="str">
        <f t="shared" si="81"/>
        <v/>
      </c>
      <c r="AK197" s="386" t="str">
        <f t="shared" si="82"/>
        <v/>
      </c>
      <c r="AL197" s="388"/>
      <c r="AM197" s="388"/>
      <c r="AN197" s="388"/>
      <c r="AO197" s="388"/>
      <c r="AP197" s="402" t="str">
        <f t="shared" si="93"/>
        <v/>
      </c>
      <c r="AQ197" s="388"/>
      <c r="AR197" s="388"/>
      <c r="AS197" s="388"/>
      <c r="AT197" s="388"/>
      <c r="AU197" s="402" t="str">
        <f t="shared" si="94"/>
        <v/>
      </c>
      <c r="AV197" s="389"/>
      <c r="AW197" s="381"/>
      <c r="AX197" s="381"/>
      <c r="AY197" s="373"/>
      <c r="AZ197" s="390"/>
      <c r="BA197" s="390"/>
      <c r="BB197" s="391"/>
      <c r="BC197" s="392"/>
      <c r="BD197" s="393"/>
      <c r="BE197" s="393"/>
      <c r="BF197" s="393"/>
      <c r="BG197" s="394"/>
      <c r="BH197" s="395"/>
      <c r="BI197" s="374"/>
      <c r="BJ197" s="374"/>
      <c r="BK197" s="374"/>
      <c r="BL197" s="389"/>
      <c r="BM197" s="397"/>
      <c r="BN197" s="389"/>
      <c r="BO197" s="419" t="str">
        <f t="shared" si="83"/>
        <v/>
      </c>
      <c r="BP197" s="389"/>
      <c r="BQ197" s="397"/>
      <c r="BR197" s="419"/>
      <c r="BS197" s="419"/>
      <c r="BT197" s="419"/>
      <c r="BU197" s="432"/>
      <c r="BV197" s="419"/>
      <c r="BW197" s="419"/>
      <c r="BX197" s="419"/>
      <c r="BY197" s="389"/>
      <c r="BZ197" s="389"/>
      <c r="CA197" s="389"/>
      <c r="CB197" s="389"/>
      <c r="CC197" s="389"/>
      <c r="CD197" s="389"/>
      <c r="CE197" s="389"/>
      <c r="CF197" s="389"/>
      <c r="CG197" s="389"/>
      <c r="CH197" s="389"/>
      <c r="CI197" s="389"/>
      <c r="CJ197" s="422"/>
      <c r="CK197" s="422"/>
      <c r="CL197" s="422"/>
      <c r="CM197" s="422"/>
      <c r="CN197" s="422"/>
      <c r="CO197" s="422"/>
      <c r="CP197" s="422"/>
      <c r="CQ197" s="432"/>
      <c r="CR197" s="431" t="str">
        <f t="shared" si="95"/>
        <v/>
      </c>
      <c r="CS197" s="35" t="str">
        <f t="shared" si="96"/>
        <v>Direct or WHSE.</v>
      </c>
      <c r="CT197" s="411"/>
      <c r="CW197" s="153" t="str">
        <f t="shared" si="75"/>
        <v/>
      </c>
      <c r="CX197" s="153" t="str">
        <f t="shared" si="75"/>
        <v/>
      </c>
      <c r="CY197" s="153" t="str">
        <f t="shared" si="97"/>
        <v/>
      </c>
    </row>
    <row r="198" spans="1:103" ht="19.5" customHeight="1">
      <c r="A198" s="10">
        <v>176</v>
      </c>
      <c r="B198" s="373"/>
      <c r="C198" s="373"/>
      <c r="D198" s="396"/>
      <c r="E198" s="375"/>
      <c r="F198" s="373"/>
      <c r="G198" s="373"/>
      <c r="H198" s="376"/>
      <c r="I198" s="377"/>
      <c r="J198" s="378"/>
      <c r="K198" s="379"/>
      <c r="L198" s="374"/>
      <c r="M198" s="380" t="str">
        <f t="shared" ca="1" si="76"/>
        <v/>
      </c>
      <c r="N198" s="373"/>
      <c r="O198" s="381"/>
      <c r="P198" s="381"/>
      <c r="Q198" s="382"/>
      <c r="R198" s="381"/>
      <c r="S198" s="383"/>
      <c r="T198" s="384" t="str">
        <f t="shared" si="77"/>
        <v/>
      </c>
      <c r="U198" s="385"/>
      <c r="V198" s="384" t="str">
        <f t="shared" si="78"/>
        <v/>
      </c>
      <c r="W198" s="386"/>
      <c r="X198" s="386" t="str">
        <f t="shared" si="79"/>
        <v/>
      </c>
      <c r="Y198" s="386" t="str">
        <f t="shared" si="84"/>
        <v/>
      </c>
      <c r="Z198" s="386" t="str">
        <f t="shared" si="85"/>
        <v/>
      </c>
      <c r="AA198" s="387"/>
      <c r="AB198" s="386" t="str">
        <f t="shared" si="86"/>
        <v/>
      </c>
      <c r="AC198" s="386" t="str">
        <f t="shared" si="87"/>
        <v/>
      </c>
      <c r="AD198" s="386" t="str">
        <f t="shared" si="88"/>
        <v/>
      </c>
      <c r="AE198" s="386" t="str">
        <f t="shared" si="89"/>
        <v/>
      </c>
      <c r="AF198" s="386" t="str">
        <f t="shared" si="90"/>
        <v/>
      </c>
      <c r="AG198" s="386" t="str">
        <f t="shared" si="91"/>
        <v/>
      </c>
      <c r="AH198" s="386" t="str">
        <f t="shared" si="92"/>
        <v/>
      </c>
      <c r="AI198" s="386" t="str">
        <f t="shared" si="80"/>
        <v/>
      </c>
      <c r="AJ198" s="386" t="str">
        <f t="shared" si="81"/>
        <v/>
      </c>
      <c r="AK198" s="386" t="str">
        <f t="shared" si="82"/>
        <v/>
      </c>
      <c r="AL198" s="388"/>
      <c r="AM198" s="388"/>
      <c r="AN198" s="388"/>
      <c r="AO198" s="388"/>
      <c r="AP198" s="402" t="str">
        <f t="shared" si="93"/>
        <v/>
      </c>
      <c r="AQ198" s="388"/>
      <c r="AR198" s="388"/>
      <c r="AS198" s="388"/>
      <c r="AT198" s="388"/>
      <c r="AU198" s="402" t="str">
        <f t="shared" si="94"/>
        <v/>
      </c>
      <c r="AV198" s="389"/>
      <c r="AW198" s="381"/>
      <c r="AX198" s="381"/>
      <c r="AY198" s="373"/>
      <c r="AZ198" s="390"/>
      <c r="BA198" s="390"/>
      <c r="BB198" s="391"/>
      <c r="BC198" s="392"/>
      <c r="BD198" s="393"/>
      <c r="BE198" s="393"/>
      <c r="BF198" s="393"/>
      <c r="BG198" s="394"/>
      <c r="BH198" s="395"/>
      <c r="BI198" s="374"/>
      <c r="BJ198" s="374"/>
      <c r="BK198" s="374"/>
      <c r="BL198" s="389"/>
      <c r="BM198" s="397"/>
      <c r="BN198" s="389"/>
      <c r="BO198" s="419" t="str">
        <f t="shared" si="83"/>
        <v/>
      </c>
      <c r="BP198" s="389"/>
      <c r="BQ198" s="397"/>
      <c r="BR198" s="419"/>
      <c r="BS198" s="419"/>
      <c r="BT198" s="419"/>
      <c r="BU198" s="432"/>
      <c r="BV198" s="419"/>
      <c r="BW198" s="419"/>
      <c r="BX198" s="419"/>
      <c r="BY198" s="389"/>
      <c r="BZ198" s="389"/>
      <c r="CA198" s="389"/>
      <c r="CB198" s="389"/>
      <c r="CC198" s="389"/>
      <c r="CD198" s="389"/>
      <c r="CE198" s="389"/>
      <c r="CF198" s="389"/>
      <c r="CG198" s="389"/>
      <c r="CH198" s="389"/>
      <c r="CI198" s="389"/>
      <c r="CJ198" s="422"/>
      <c r="CK198" s="422"/>
      <c r="CL198" s="422"/>
      <c r="CM198" s="422"/>
      <c r="CN198" s="422"/>
      <c r="CO198" s="422"/>
      <c r="CP198" s="422"/>
      <c r="CQ198" s="432"/>
      <c r="CR198" s="431" t="str">
        <f t="shared" si="95"/>
        <v/>
      </c>
      <c r="CS198" s="35" t="str">
        <f t="shared" si="96"/>
        <v>Direct or WHSE.</v>
      </c>
      <c r="CT198" s="411"/>
      <c r="CW198" s="153" t="str">
        <f t="shared" si="75"/>
        <v/>
      </c>
      <c r="CX198" s="153" t="str">
        <f t="shared" si="75"/>
        <v/>
      </c>
      <c r="CY198" s="153" t="str">
        <f t="shared" si="97"/>
        <v/>
      </c>
    </row>
    <row r="199" spans="1:103" ht="19.5" customHeight="1">
      <c r="A199" s="10">
        <v>177</v>
      </c>
      <c r="B199" s="373"/>
      <c r="C199" s="373"/>
      <c r="D199" s="396"/>
      <c r="E199" s="375"/>
      <c r="F199" s="373"/>
      <c r="G199" s="373"/>
      <c r="H199" s="376"/>
      <c r="I199" s="377"/>
      <c r="J199" s="378"/>
      <c r="K199" s="379"/>
      <c r="L199" s="374"/>
      <c r="M199" s="380" t="str">
        <f t="shared" ca="1" si="76"/>
        <v/>
      </c>
      <c r="N199" s="373"/>
      <c r="O199" s="381"/>
      <c r="P199" s="381"/>
      <c r="Q199" s="382"/>
      <c r="R199" s="381"/>
      <c r="S199" s="383"/>
      <c r="T199" s="384" t="str">
        <f t="shared" si="77"/>
        <v/>
      </c>
      <c r="U199" s="385"/>
      <c r="V199" s="384" t="str">
        <f t="shared" si="78"/>
        <v/>
      </c>
      <c r="W199" s="386"/>
      <c r="X199" s="386" t="str">
        <f t="shared" si="79"/>
        <v/>
      </c>
      <c r="Y199" s="386" t="str">
        <f t="shared" si="84"/>
        <v/>
      </c>
      <c r="Z199" s="386" t="str">
        <f t="shared" si="85"/>
        <v/>
      </c>
      <c r="AA199" s="387"/>
      <c r="AB199" s="386" t="str">
        <f t="shared" si="86"/>
        <v/>
      </c>
      <c r="AC199" s="386" t="str">
        <f t="shared" si="87"/>
        <v/>
      </c>
      <c r="AD199" s="386" t="str">
        <f t="shared" si="88"/>
        <v/>
      </c>
      <c r="AE199" s="386" t="str">
        <f t="shared" si="89"/>
        <v/>
      </c>
      <c r="AF199" s="386" t="str">
        <f t="shared" si="90"/>
        <v/>
      </c>
      <c r="AG199" s="386" t="str">
        <f t="shared" si="91"/>
        <v/>
      </c>
      <c r="AH199" s="386" t="str">
        <f t="shared" si="92"/>
        <v/>
      </c>
      <c r="AI199" s="386" t="str">
        <f t="shared" si="80"/>
        <v/>
      </c>
      <c r="AJ199" s="386" t="str">
        <f t="shared" si="81"/>
        <v/>
      </c>
      <c r="AK199" s="386" t="str">
        <f t="shared" si="82"/>
        <v/>
      </c>
      <c r="AL199" s="388"/>
      <c r="AM199" s="388"/>
      <c r="AN199" s="388"/>
      <c r="AO199" s="388"/>
      <c r="AP199" s="402" t="str">
        <f t="shared" si="93"/>
        <v/>
      </c>
      <c r="AQ199" s="388"/>
      <c r="AR199" s="388"/>
      <c r="AS199" s="388"/>
      <c r="AT199" s="388"/>
      <c r="AU199" s="402" t="str">
        <f t="shared" si="94"/>
        <v/>
      </c>
      <c r="AV199" s="389"/>
      <c r="AW199" s="381"/>
      <c r="AX199" s="381"/>
      <c r="AY199" s="373"/>
      <c r="AZ199" s="390"/>
      <c r="BA199" s="390"/>
      <c r="BB199" s="391"/>
      <c r="BC199" s="392"/>
      <c r="BD199" s="393"/>
      <c r="BE199" s="393"/>
      <c r="BF199" s="393"/>
      <c r="BG199" s="394"/>
      <c r="BH199" s="395"/>
      <c r="BI199" s="374"/>
      <c r="BJ199" s="374"/>
      <c r="BK199" s="374"/>
      <c r="BL199" s="389"/>
      <c r="BM199" s="397"/>
      <c r="BN199" s="389"/>
      <c r="BO199" s="419" t="str">
        <f t="shared" si="83"/>
        <v/>
      </c>
      <c r="BP199" s="389"/>
      <c r="BQ199" s="397"/>
      <c r="BR199" s="419"/>
      <c r="BS199" s="419"/>
      <c r="BT199" s="419"/>
      <c r="BU199" s="432"/>
      <c r="BV199" s="419"/>
      <c r="BW199" s="419"/>
      <c r="BX199" s="419"/>
      <c r="BY199" s="389"/>
      <c r="BZ199" s="389"/>
      <c r="CA199" s="389"/>
      <c r="CB199" s="389"/>
      <c r="CC199" s="389"/>
      <c r="CD199" s="389"/>
      <c r="CE199" s="389"/>
      <c r="CF199" s="389"/>
      <c r="CG199" s="389"/>
      <c r="CH199" s="389"/>
      <c r="CI199" s="389"/>
      <c r="CJ199" s="422"/>
      <c r="CK199" s="422"/>
      <c r="CL199" s="422"/>
      <c r="CM199" s="422"/>
      <c r="CN199" s="422"/>
      <c r="CO199" s="422"/>
      <c r="CP199" s="422"/>
      <c r="CQ199" s="432"/>
      <c r="CR199" s="431" t="str">
        <f t="shared" si="95"/>
        <v/>
      </c>
      <c r="CS199" s="35" t="str">
        <f t="shared" si="96"/>
        <v>Direct or WHSE.</v>
      </c>
      <c r="CT199" s="411"/>
      <c r="CW199" s="153" t="str">
        <f t="shared" si="75"/>
        <v/>
      </c>
      <c r="CX199" s="153" t="str">
        <f t="shared" si="75"/>
        <v/>
      </c>
      <c r="CY199" s="153" t="str">
        <f t="shared" si="97"/>
        <v/>
      </c>
    </row>
    <row r="200" spans="1:103" ht="19.5" customHeight="1">
      <c r="A200" s="10">
        <v>178</v>
      </c>
      <c r="B200" s="373"/>
      <c r="C200" s="373"/>
      <c r="D200" s="396"/>
      <c r="E200" s="375"/>
      <c r="F200" s="373"/>
      <c r="G200" s="373"/>
      <c r="H200" s="376"/>
      <c r="I200" s="377"/>
      <c r="J200" s="378"/>
      <c r="K200" s="379"/>
      <c r="L200" s="374"/>
      <c r="M200" s="380" t="str">
        <f t="shared" ca="1" si="76"/>
        <v/>
      </c>
      <c r="N200" s="373"/>
      <c r="O200" s="381"/>
      <c r="P200" s="381"/>
      <c r="Q200" s="382"/>
      <c r="R200" s="381"/>
      <c r="S200" s="383"/>
      <c r="T200" s="384" t="str">
        <f t="shared" si="77"/>
        <v/>
      </c>
      <c r="U200" s="385"/>
      <c r="V200" s="384" t="str">
        <f t="shared" si="78"/>
        <v/>
      </c>
      <c r="W200" s="386"/>
      <c r="X200" s="386" t="str">
        <f t="shared" si="79"/>
        <v/>
      </c>
      <c r="Y200" s="386" t="str">
        <f t="shared" si="84"/>
        <v/>
      </c>
      <c r="Z200" s="386" t="str">
        <f t="shared" si="85"/>
        <v/>
      </c>
      <c r="AA200" s="387"/>
      <c r="AB200" s="386" t="str">
        <f t="shared" si="86"/>
        <v/>
      </c>
      <c r="AC200" s="386" t="str">
        <f t="shared" si="87"/>
        <v/>
      </c>
      <c r="AD200" s="386" t="str">
        <f t="shared" si="88"/>
        <v/>
      </c>
      <c r="AE200" s="386" t="str">
        <f t="shared" si="89"/>
        <v/>
      </c>
      <c r="AF200" s="386" t="str">
        <f t="shared" si="90"/>
        <v/>
      </c>
      <c r="AG200" s="386" t="str">
        <f t="shared" si="91"/>
        <v/>
      </c>
      <c r="AH200" s="386" t="str">
        <f t="shared" si="92"/>
        <v/>
      </c>
      <c r="AI200" s="386" t="str">
        <f t="shared" si="80"/>
        <v/>
      </c>
      <c r="AJ200" s="386" t="str">
        <f t="shared" si="81"/>
        <v/>
      </c>
      <c r="AK200" s="386" t="str">
        <f t="shared" si="82"/>
        <v/>
      </c>
      <c r="AL200" s="388"/>
      <c r="AM200" s="388"/>
      <c r="AN200" s="388"/>
      <c r="AO200" s="388"/>
      <c r="AP200" s="402" t="str">
        <f t="shared" si="93"/>
        <v/>
      </c>
      <c r="AQ200" s="388"/>
      <c r="AR200" s="388"/>
      <c r="AS200" s="388"/>
      <c r="AT200" s="388"/>
      <c r="AU200" s="402" t="str">
        <f t="shared" si="94"/>
        <v/>
      </c>
      <c r="AV200" s="389"/>
      <c r="AW200" s="381"/>
      <c r="AX200" s="381"/>
      <c r="AY200" s="373"/>
      <c r="AZ200" s="390"/>
      <c r="BA200" s="390"/>
      <c r="BB200" s="391"/>
      <c r="BC200" s="392"/>
      <c r="BD200" s="393"/>
      <c r="BE200" s="393"/>
      <c r="BF200" s="393"/>
      <c r="BG200" s="394"/>
      <c r="BH200" s="395"/>
      <c r="BI200" s="374"/>
      <c r="BJ200" s="374"/>
      <c r="BK200" s="374"/>
      <c r="BL200" s="389"/>
      <c r="BM200" s="397"/>
      <c r="BN200" s="389"/>
      <c r="BO200" s="419" t="str">
        <f t="shared" si="83"/>
        <v/>
      </c>
      <c r="BP200" s="389"/>
      <c r="BQ200" s="397"/>
      <c r="BR200" s="419"/>
      <c r="BS200" s="419"/>
      <c r="BT200" s="419"/>
      <c r="BU200" s="432"/>
      <c r="BV200" s="419"/>
      <c r="BW200" s="419"/>
      <c r="BX200" s="419"/>
      <c r="BY200" s="389"/>
      <c r="BZ200" s="389"/>
      <c r="CA200" s="389"/>
      <c r="CB200" s="389"/>
      <c r="CC200" s="389"/>
      <c r="CD200" s="389"/>
      <c r="CE200" s="389"/>
      <c r="CF200" s="389"/>
      <c r="CG200" s="389"/>
      <c r="CH200" s="389"/>
      <c r="CI200" s="389"/>
      <c r="CJ200" s="422"/>
      <c r="CK200" s="422"/>
      <c r="CL200" s="422"/>
      <c r="CM200" s="422"/>
      <c r="CN200" s="422"/>
      <c r="CO200" s="422"/>
      <c r="CP200" s="422"/>
      <c r="CQ200" s="432"/>
      <c r="CR200" s="431" t="str">
        <f t="shared" si="95"/>
        <v/>
      </c>
      <c r="CS200" s="35" t="str">
        <f t="shared" si="96"/>
        <v>Direct or WHSE.</v>
      </c>
      <c r="CT200" s="411"/>
      <c r="CW200" s="153" t="str">
        <f t="shared" si="75"/>
        <v/>
      </c>
      <c r="CX200" s="153" t="str">
        <f t="shared" si="75"/>
        <v/>
      </c>
      <c r="CY200" s="153" t="str">
        <f t="shared" si="97"/>
        <v/>
      </c>
    </row>
    <row r="201" spans="1:103" ht="19.5" customHeight="1">
      <c r="A201" s="10">
        <v>179</v>
      </c>
      <c r="B201" s="373"/>
      <c r="C201" s="373"/>
      <c r="D201" s="396"/>
      <c r="E201" s="375"/>
      <c r="F201" s="373"/>
      <c r="G201" s="373"/>
      <c r="H201" s="376"/>
      <c r="I201" s="377"/>
      <c r="J201" s="378"/>
      <c r="K201" s="379"/>
      <c r="L201" s="374"/>
      <c r="M201" s="380" t="str">
        <f t="shared" ca="1" si="76"/>
        <v/>
      </c>
      <c r="N201" s="373"/>
      <c r="O201" s="381"/>
      <c r="P201" s="381"/>
      <c r="Q201" s="382"/>
      <c r="R201" s="381"/>
      <c r="S201" s="383"/>
      <c r="T201" s="384" t="str">
        <f t="shared" si="77"/>
        <v/>
      </c>
      <c r="U201" s="385"/>
      <c r="V201" s="384" t="str">
        <f t="shared" si="78"/>
        <v/>
      </c>
      <c r="W201" s="386"/>
      <c r="X201" s="386" t="str">
        <f t="shared" si="79"/>
        <v/>
      </c>
      <c r="Y201" s="386" t="str">
        <f t="shared" si="84"/>
        <v/>
      </c>
      <c r="Z201" s="386" t="str">
        <f t="shared" si="85"/>
        <v/>
      </c>
      <c r="AA201" s="387"/>
      <c r="AB201" s="386" t="str">
        <f t="shared" si="86"/>
        <v/>
      </c>
      <c r="AC201" s="386" t="str">
        <f t="shared" si="87"/>
        <v/>
      </c>
      <c r="AD201" s="386" t="str">
        <f t="shared" si="88"/>
        <v/>
      </c>
      <c r="AE201" s="386" t="str">
        <f t="shared" si="89"/>
        <v/>
      </c>
      <c r="AF201" s="386" t="str">
        <f t="shared" si="90"/>
        <v/>
      </c>
      <c r="AG201" s="386" t="str">
        <f t="shared" si="91"/>
        <v/>
      </c>
      <c r="AH201" s="386" t="str">
        <f t="shared" si="92"/>
        <v/>
      </c>
      <c r="AI201" s="386" t="str">
        <f t="shared" si="80"/>
        <v/>
      </c>
      <c r="AJ201" s="386" t="str">
        <f t="shared" si="81"/>
        <v/>
      </c>
      <c r="AK201" s="386" t="str">
        <f t="shared" si="82"/>
        <v/>
      </c>
      <c r="AL201" s="388"/>
      <c r="AM201" s="388"/>
      <c r="AN201" s="388"/>
      <c r="AO201" s="388"/>
      <c r="AP201" s="402" t="str">
        <f t="shared" si="93"/>
        <v/>
      </c>
      <c r="AQ201" s="388"/>
      <c r="AR201" s="388"/>
      <c r="AS201" s="388"/>
      <c r="AT201" s="388"/>
      <c r="AU201" s="402" t="str">
        <f t="shared" si="94"/>
        <v/>
      </c>
      <c r="AV201" s="389"/>
      <c r="AW201" s="381"/>
      <c r="AX201" s="381"/>
      <c r="AY201" s="373"/>
      <c r="AZ201" s="390"/>
      <c r="BA201" s="390"/>
      <c r="BB201" s="391"/>
      <c r="BC201" s="392"/>
      <c r="BD201" s="393"/>
      <c r="BE201" s="393"/>
      <c r="BF201" s="393"/>
      <c r="BG201" s="394"/>
      <c r="BH201" s="395"/>
      <c r="BI201" s="374"/>
      <c r="BJ201" s="374"/>
      <c r="BK201" s="374"/>
      <c r="BL201" s="389"/>
      <c r="BM201" s="397"/>
      <c r="BN201" s="389"/>
      <c r="BO201" s="419" t="str">
        <f t="shared" si="83"/>
        <v/>
      </c>
      <c r="BP201" s="389"/>
      <c r="BQ201" s="397"/>
      <c r="BR201" s="419"/>
      <c r="BS201" s="419"/>
      <c r="BT201" s="419"/>
      <c r="BU201" s="432"/>
      <c r="BV201" s="419"/>
      <c r="BW201" s="419"/>
      <c r="BX201" s="419"/>
      <c r="BY201" s="389"/>
      <c r="BZ201" s="389"/>
      <c r="CA201" s="389"/>
      <c r="CB201" s="389"/>
      <c r="CC201" s="389"/>
      <c r="CD201" s="389"/>
      <c r="CE201" s="389"/>
      <c r="CF201" s="389"/>
      <c r="CG201" s="389"/>
      <c r="CH201" s="389"/>
      <c r="CI201" s="389"/>
      <c r="CJ201" s="422"/>
      <c r="CK201" s="422"/>
      <c r="CL201" s="422"/>
      <c r="CM201" s="422"/>
      <c r="CN201" s="422"/>
      <c r="CO201" s="422"/>
      <c r="CP201" s="422"/>
      <c r="CQ201" s="432"/>
      <c r="CR201" s="431" t="str">
        <f t="shared" si="95"/>
        <v/>
      </c>
      <c r="CS201" s="35" t="str">
        <f t="shared" si="96"/>
        <v>Direct or WHSE.</v>
      </c>
      <c r="CT201" s="411"/>
      <c r="CW201" s="153" t="str">
        <f t="shared" si="75"/>
        <v/>
      </c>
      <c r="CX201" s="153" t="str">
        <f t="shared" si="75"/>
        <v/>
      </c>
      <c r="CY201" s="153" t="str">
        <f t="shared" si="97"/>
        <v/>
      </c>
    </row>
    <row r="202" spans="1:103" ht="19.5" customHeight="1">
      <c r="A202" s="10">
        <v>180</v>
      </c>
      <c r="B202" s="373"/>
      <c r="C202" s="373"/>
      <c r="D202" s="396"/>
      <c r="E202" s="375"/>
      <c r="F202" s="373"/>
      <c r="G202" s="373"/>
      <c r="H202" s="376"/>
      <c r="I202" s="377"/>
      <c r="J202" s="378"/>
      <c r="K202" s="379"/>
      <c r="L202" s="374"/>
      <c r="M202" s="380" t="str">
        <f t="shared" ca="1" si="76"/>
        <v/>
      </c>
      <c r="N202" s="373"/>
      <c r="O202" s="381"/>
      <c r="P202" s="381"/>
      <c r="Q202" s="382"/>
      <c r="R202" s="381"/>
      <c r="S202" s="383"/>
      <c r="T202" s="384" t="str">
        <f t="shared" si="77"/>
        <v/>
      </c>
      <c r="U202" s="385"/>
      <c r="V202" s="384" t="str">
        <f t="shared" si="78"/>
        <v/>
      </c>
      <c r="W202" s="386"/>
      <c r="X202" s="386" t="str">
        <f t="shared" si="79"/>
        <v/>
      </c>
      <c r="Y202" s="386" t="str">
        <f t="shared" si="84"/>
        <v/>
      </c>
      <c r="Z202" s="386" t="str">
        <f t="shared" si="85"/>
        <v/>
      </c>
      <c r="AA202" s="387"/>
      <c r="AB202" s="386" t="str">
        <f t="shared" si="86"/>
        <v/>
      </c>
      <c r="AC202" s="386" t="str">
        <f t="shared" si="87"/>
        <v/>
      </c>
      <c r="AD202" s="386" t="str">
        <f t="shared" si="88"/>
        <v/>
      </c>
      <c r="AE202" s="386" t="str">
        <f t="shared" si="89"/>
        <v/>
      </c>
      <c r="AF202" s="386" t="str">
        <f t="shared" si="90"/>
        <v/>
      </c>
      <c r="AG202" s="386" t="str">
        <f t="shared" si="91"/>
        <v/>
      </c>
      <c r="AH202" s="386" t="str">
        <f t="shared" si="92"/>
        <v/>
      </c>
      <c r="AI202" s="386" t="str">
        <f t="shared" si="80"/>
        <v/>
      </c>
      <c r="AJ202" s="386" t="str">
        <f t="shared" si="81"/>
        <v/>
      </c>
      <c r="AK202" s="386" t="str">
        <f t="shared" si="82"/>
        <v/>
      </c>
      <c r="AL202" s="388"/>
      <c r="AM202" s="388"/>
      <c r="AN202" s="388"/>
      <c r="AO202" s="388"/>
      <c r="AP202" s="402" t="str">
        <f t="shared" si="93"/>
        <v/>
      </c>
      <c r="AQ202" s="388"/>
      <c r="AR202" s="388"/>
      <c r="AS202" s="388"/>
      <c r="AT202" s="388"/>
      <c r="AU202" s="402" t="str">
        <f t="shared" si="94"/>
        <v/>
      </c>
      <c r="AV202" s="389"/>
      <c r="AW202" s="381"/>
      <c r="AX202" s="381"/>
      <c r="AY202" s="373"/>
      <c r="AZ202" s="390"/>
      <c r="BA202" s="390"/>
      <c r="BB202" s="391"/>
      <c r="BC202" s="392"/>
      <c r="BD202" s="393"/>
      <c r="BE202" s="393"/>
      <c r="BF202" s="393"/>
      <c r="BG202" s="394"/>
      <c r="BH202" s="395"/>
      <c r="BI202" s="374"/>
      <c r="BJ202" s="374"/>
      <c r="BK202" s="374"/>
      <c r="BL202" s="389"/>
      <c r="BM202" s="397"/>
      <c r="BN202" s="389"/>
      <c r="BO202" s="419" t="str">
        <f t="shared" si="83"/>
        <v/>
      </c>
      <c r="BP202" s="389"/>
      <c r="BQ202" s="397"/>
      <c r="BR202" s="419"/>
      <c r="BS202" s="419"/>
      <c r="BT202" s="419"/>
      <c r="BU202" s="432"/>
      <c r="BV202" s="419"/>
      <c r="BW202" s="419"/>
      <c r="BX202" s="419"/>
      <c r="BY202" s="389"/>
      <c r="BZ202" s="389"/>
      <c r="CA202" s="389"/>
      <c r="CB202" s="389"/>
      <c r="CC202" s="389"/>
      <c r="CD202" s="389"/>
      <c r="CE202" s="389"/>
      <c r="CF202" s="389"/>
      <c r="CG202" s="389"/>
      <c r="CH202" s="389"/>
      <c r="CI202" s="389"/>
      <c r="CJ202" s="422"/>
      <c r="CK202" s="422"/>
      <c r="CL202" s="422"/>
      <c r="CM202" s="422"/>
      <c r="CN202" s="422"/>
      <c r="CO202" s="422"/>
      <c r="CP202" s="422"/>
      <c r="CQ202" s="432"/>
      <c r="CR202" s="431" t="str">
        <f t="shared" si="95"/>
        <v/>
      </c>
      <c r="CS202" s="35" t="str">
        <f t="shared" si="96"/>
        <v>Direct or WHSE.</v>
      </c>
      <c r="CT202" s="411"/>
      <c r="CW202" s="153" t="str">
        <f t="shared" si="75"/>
        <v/>
      </c>
      <c r="CX202" s="153" t="str">
        <f t="shared" si="75"/>
        <v/>
      </c>
      <c r="CY202" s="153" t="str">
        <f t="shared" si="97"/>
        <v/>
      </c>
    </row>
    <row r="203" spans="1:103" ht="19.5" customHeight="1">
      <c r="A203" s="10">
        <v>181</v>
      </c>
      <c r="B203" s="373"/>
      <c r="C203" s="373"/>
      <c r="D203" s="396"/>
      <c r="E203" s="375"/>
      <c r="F203" s="373"/>
      <c r="G203" s="373"/>
      <c r="H203" s="376"/>
      <c r="I203" s="377"/>
      <c r="J203" s="378"/>
      <c r="K203" s="379"/>
      <c r="L203" s="374"/>
      <c r="M203" s="380" t="str">
        <f t="shared" ca="1" si="76"/>
        <v/>
      </c>
      <c r="N203" s="373"/>
      <c r="O203" s="381"/>
      <c r="P203" s="381"/>
      <c r="Q203" s="382"/>
      <c r="R203" s="381"/>
      <c r="S203" s="383"/>
      <c r="T203" s="384" t="str">
        <f t="shared" si="77"/>
        <v/>
      </c>
      <c r="U203" s="385"/>
      <c r="V203" s="384" t="str">
        <f t="shared" si="78"/>
        <v/>
      </c>
      <c r="W203" s="386"/>
      <c r="X203" s="386" t="str">
        <f t="shared" si="79"/>
        <v/>
      </c>
      <c r="Y203" s="386" t="str">
        <f t="shared" si="84"/>
        <v/>
      </c>
      <c r="Z203" s="386" t="str">
        <f t="shared" si="85"/>
        <v/>
      </c>
      <c r="AA203" s="387"/>
      <c r="AB203" s="386" t="str">
        <f t="shared" si="86"/>
        <v/>
      </c>
      <c r="AC203" s="386" t="str">
        <f t="shared" si="87"/>
        <v/>
      </c>
      <c r="AD203" s="386" t="str">
        <f t="shared" si="88"/>
        <v/>
      </c>
      <c r="AE203" s="386" t="str">
        <f t="shared" si="89"/>
        <v/>
      </c>
      <c r="AF203" s="386" t="str">
        <f t="shared" si="90"/>
        <v/>
      </c>
      <c r="AG203" s="386" t="str">
        <f t="shared" si="91"/>
        <v/>
      </c>
      <c r="AH203" s="386" t="str">
        <f t="shared" si="92"/>
        <v/>
      </c>
      <c r="AI203" s="386" t="str">
        <f t="shared" si="80"/>
        <v/>
      </c>
      <c r="AJ203" s="386" t="str">
        <f t="shared" si="81"/>
        <v/>
      </c>
      <c r="AK203" s="386" t="str">
        <f t="shared" si="82"/>
        <v/>
      </c>
      <c r="AL203" s="388"/>
      <c r="AM203" s="388"/>
      <c r="AN203" s="388"/>
      <c r="AO203" s="388"/>
      <c r="AP203" s="402" t="str">
        <f t="shared" si="93"/>
        <v/>
      </c>
      <c r="AQ203" s="388"/>
      <c r="AR203" s="388"/>
      <c r="AS203" s="388"/>
      <c r="AT203" s="388"/>
      <c r="AU203" s="402" t="str">
        <f t="shared" si="94"/>
        <v/>
      </c>
      <c r="AV203" s="389"/>
      <c r="AW203" s="381"/>
      <c r="AX203" s="381"/>
      <c r="AY203" s="373"/>
      <c r="AZ203" s="390"/>
      <c r="BA203" s="390"/>
      <c r="BB203" s="391"/>
      <c r="BC203" s="392"/>
      <c r="BD203" s="393"/>
      <c r="BE203" s="393"/>
      <c r="BF203" s="393"/>
      <c r="BG203" s="394"/>
      <c r="BH203" s="395"/>
      <c r="BI203" s="374"/>
      <c r="BJ203" s="374"/>
      <c r="BK203" s="374"/>
      <c r="BL203" s="389"/>
      <c r="BM203" s="397"/>
      <c r="BN203" s="389"/>
      <c r="BO203" s="419" t="str">
        <f t="shared" si="83"/>
        <v/>
      </c>
      <c r="BP203" s="389"/>
      <c r="BQ203" s="397"/>
      <c r="BR203" s="419"/>
      <c r="BS203" s="419"/>
      <c r="BT203" s="419"/>
      <c r="BU203" s="432"/>
      <c r="BV203" s="419"/>
      <c r="BW203" s="419"/>
      <c r="BX203" s="419"/>
      <c r="BY203" s="389"/>
      <c r="BZ203" s="389"/>
      <c r="CA203" s="389"/>
      <c r="CB203" s="389"/>
      <c r="CC203" s="389"/>
      <c r="CD203" s="389"/>
      <c r="CE203" s="389"/>
      <c r="CF203" s="389"/>
      <c r="CG203" s="389"/>
      <c r="CH203" s="389"/>
      <c r="CI203" s="389"/>
      <c r="CJ203" s="422"/>
      <c r="CK203" s="422"/>
      <c r="CL203" s="422"/>
      <c r="CM203" s="422"/>
      <c r="CN203" s="422"/>
      <c r="CO203" s="422"/>
      <c r="CP203" s="422"/>
      <c r="CQ203" s="432"/>
      <c r="CR203" s="431" t="str">
        <f t="shared" si="95"/>
        <v/>
      </c>
      <c r="CS203" s="35" t="str">
        <f t="shared" si="96"/>
        <v>Direct or WHSE.</v>
      </c>
      <c r="CT203" s="411"/>
      <c r="CW203" s="153" t="str">
        <f t="shared" si="75"/>
        <v/>
      </c>
      <c r="CX203" s="153" t="str">
        <f t="shared" si="75"/>
        <v/>
      </c>
      <c r="CY203" s="153" t="str">
        <f t="shared" si="97"/>
        <v/>
      </c>
    </row>
    <row r="204" spans="1:103" ht="19.5" customHeight="1">
      <c r="A204" s="10">
        <v>182</v>
      </c>
      <c r="B204" s="373"/>
      <c r="C204" s="373"/>
      <c r="D204" s="396"/>
      <c r="E204" s="375"/>
      <c r="F204" s="373"/>
      <c r="G204" s="373"/>
      <c r="H204" s="376"/>
      <c r="I204" s="377"/>
      <c r="J204" s="378"/>
      <c r="K204" s="379"/>
      <c r="L204" s="374"/>
      <c r="M204" s="380" t="str">
        <f t="shared" ca="1" si="76"/>
        <v/>
      </c>
      <c r="N204" s="373"/>
      <c r="O204" s="381"/>
      <c r="P204" s="381"/>
      <c r="Q204" s="382"/>
      <c r="R204" s="381"/>
      <c r="S204" s="383"/>
      <c r="T204" s="384" t="str">
        <f t="shared" si="77"/>
        <v/>
      </c>
      <c r="U204" s="385"/>
      <c r="V204" s="384" t="str">
        <f t="shared" si="78"/>
        <v/>
      </c>
      <c r="W204" s="386"/>
      <c r="X204" s="386" t="str">
        <f t="shared" si="79"/>
        <v/>
      </c>
      <c r="Y204" s="386" t="str">
        <f t="shared" si="84"/>
        <v/>
      </c>
      <c r="Z204" s="386" t="str">
        <f t="shared" si="85"/>
        <v/>
      </c>
      <c r="AA204" s="387"/>
      <c r="AB204" s="386" t="str">
        <f t="shared" si="86"/>
        <v/>
      </c>
      <c r="AC204" s="386" t="str">
        <f t="shared" si="87"/>
        <v/>
      </c>
      <c r="AD204" s="386" t="str">
        <f t="shared" si="88"/>
        <v/>
      </c>
      <c r="AE204" s="386" t="str">
        <f t="shared" si="89"/>
        <v/>
      </c>
      <c r="AF204" s="386" t="str">
        <f t="shared" si="90"/>
        <v/>
      </c>
      <c r="AG204" s="386" t="str">
        <f t="shared" si="91"/>
        <v/>
      </c>
      <c r="AH204" s="386" t="str">
        <f t="shared" si="92"/>
        <v/>
      </c>
      <c r="AI204" s="386" t="str">
        <f t="shared" si="80"/>
        <v/>
      </c>
      <c r="AJ204" s="386" t="str">
        <f t="shared" si="81"/>
        <v/>
      </c>
      <c r="AK204" s="386" t="str">
        <f t="shared" si="82"/>
        <v/>
      </c>
      <c r="AL204" s="388"/>
      <c r="AM204" s="388"/>
      <c r="AN204" s="388"/>
      <c r="AO204" s="388"/>
      <c r="AP204" s="402" t="str">
        <f t="shared" si="93"/>
        <v/>
      </c>
      <c r="AQ204" s="388"/>
      <c r="AR204" s="388"/>
      <c r="AS204" s="388"/>
      <c r="AT204" s="388"/>
      <c r="AU204" s="402" t="str">
        <f t="shared" si="94"/>
        <v/>
      </c>
      <c r="AV204" s="389"/>
      <c r="AW204" s="381"/>
      <c r="AX204" s="381"/>
      <c r="AY204" s="373"/>
      <c r="AZ204" s="390"/>
      <c r="BA204" s="390"/>
      <c r="BB204" s="391"/>
      <c r="BC204" s="392"/>
      <c r="BD204" s="393"/>
      <c r="BE204" s="393"/>
      <c r="BF204" s="393"/>
      <c r="BG204" s="394"/>
      <c r="BH204" s="395"/>
      <c r="BI204" s="374"/>
      <c r="BJ204" s="374"/>
      <c r="BK204" s="374"/>
      <c r="BL204" s="389"/>
      <c r="BM204" s="397"/>
      <c r="BN204" s="389"/>
      <c r="BO204" s="419" t="str">
        <f t="shared" si="83"/>
        <v/>
      </c>
      <c r="BP204" s="389"/>
      <c r="BQ204" s="397"/>
      <c r="BR204" s="419"/>
      <c r="BS204" s="419"/>
      <c r="BT204" s="419"/>
      <c r="BU204" s="432"/>
      <c r="BV204" s="419"/>
      <c r="BW204" s="419"/>
      <c r="BX204" s="419"/>
      <c r="BY204" s="389"/>
      <c r="BZ204" s="389"/>
      <c r="CA204" s="389"/>
      <c r="CB204" s="389"/>
      <c r="CC204" s="389"/>
      <c r="CD204" s="389"/>
      <c r="CE204" s="389"/>
      <c r="CF204" s="389"/>
      <c r="CG204" s="389"/>
      <c r="CH204" s="389"/>
      <c r="CI204" s="389"/>
      <c r="CJ204" s="422"/>
      <c r="CK204" s="422"/>
      <c r="CL204" s="422"/>
      <c r="CM204" s="422"/>
      <c r="CN204" s="422"/>
      <c r="CO204" s="422"/>
      <c r="CP204" s="422"/>
      <c r="CQ204" s="432"/>
      <c r="CR204" s="431" t="str">
        <f t="shared" si="95"/>
        <v/>
      </c>
      <c r="CS204" s="35" t="str">
        <f t="shared" si="96"/>
        <v>Direct or WHSE.</v>
      </c>
      <c r="CT204" s="411"/>
      <c r="CW204" s="153" t="str">
        <f t="shared" si="75"/>
        <v/>
      </c>
      <c r="CX204" s="153" t="str">
        <f t="shared" si="75"/>
        <v/>
      </c>
      <c r="CY204" s="153" t="str">
        <f t="shared" si="97"/>
        <v/>
      </c>
    </row>
    <row r="205" spans="1:103" ht="19.5" customHeight="1">
      <c r="A205" s="10">
        <v>183</v>
      </c>
      <c r="B205" s="373"/>
      <c r="C205" s="373"/>
      <c r="D205" s="396"/>
      <c r="E205" s="375"/>
      <c r="F205" s="373"/>
      <c r="G205" s="373"/>
      <c r="H205" s="376"/>
      <c r="I205" s="377"/>
      <c r="J205" s="378"/>
      <c r="K205" s="379"/>
      <c r="L205" s="374"/>
      <c r="M205" s="380" t="str">
        <f t="shared" ca="1" si="76"/>
        <v/>
      </c>
      <c r="N205" s="373"/>
      <c r="O205" s="381"/>
      <c r="P205" s="381"/>
      <c r="Q205" s="382"/>
      <c r="R205" s="381"/>
      <c r="S205" s="383"/>
      <c r="T205" s="384" t="str">
        <f t="shared" si="77"/>
        <v/>
      </c>
      <c r="U205" s="385"/>
      <c r="V205" s="384" t="str">
        <f t="shared" si="78"/>
        <v/>
      </c>
      <c r="W205" s="386"/>
      <c r="X205" s="386" t="str">
        <f t="shared" si="79"/>
        <v/>
      </c>
      <c r="Y205" s="386" t="str">
        <f t="shared" si="84"/>
        <v/>
      </c>
      <c r="Z205" s="386" t="str">
        <f t="shared" si="85"/>
        <v/>
      </c>
      <c r="AA205" s="387"/>
      <c r="AB205" s="386" t="str">
        <f t="shared" si="86"/>
        <v/>
      </c>
      <c r="AC205" s="386" t="str">
        <f t="shared" si="87"/>
        <v/>
      </c>
      <c r="AD205" s="386" t="str">
        <f t="shared" si="88"/>
        <v/>
      </c>
      <c r="AE205" s="386" t="str">
        <f t="shared" si="89"/>
        <v/>
      </c>
      <c r="AF205" s="386" t="str">
        <f t="shared" si="90"/>
        <v/>
      </c>
      <c r="AG205" s="386" t="str">
        <f t="shared" si="91"/>
        <v/>
      </c>
      <c r="AH205" s="386" t="str">
        <f t="shared" si="92"/>
        <v/>
      </c>
      <c r="AI205" s="386" t="str">
        <f t="shared" si="80"/>
        <v/>
      </c>
      <c r="AJ205" s="386" t="str">
        <f t="shared" si="81"/>
        <v/>
      </c>
      <c r="AK205" s="386" t="str">
        <f t="shared" si="82"/>
        <v/>
      </c>
      <c r="AL205" s="388"/>
      <c r="AM205" s="388"/>
      <c r="AN205" s="388"/>
      <c r="AO205" s="388"/>
      <c r="AP205" s="402" t="str">
        <f t="shared" si="93"/>
        <v/>
      </c>
      <c r="AQ205" s="388"/>
      <c r="AR205" s="388"/>
      <c r="AS205" s="388"/>
      <c r="AT205" s="388"/>
      <c r="AU205" s="402" t="str">
        <f t="shared" si="94"/>
        <v/>
      </c>
      <c r="AV205" s="389"/>
      <c r="AW205" s="381"/>
      <c r="AX205" s="381"/>
      <c r="AY205" s="373"/>
      <c r="AZ205" s="390"/>
      <c r="BA205" s="390"/>
      <c r="BB205" s="391"/>
      <c r="BC205" s="392"/>
      <c r="BD205" s="393"/>
      <c r="BE205" s="393"/>
      <c r="BF205" s="393"/>
      <c r="BG205" s="394"/>
      <c r="BH205" s="395"/>
      <c r="BI205" s="374"/>
      <c r="BJ205" s="374"/>
      <c r="BK205" s="374"/>
      <c r="BL205" s="389"/>
      <c r="BM205" s="397"/>
      <c r="BN205" s="389"/>
      <c r="BO205" s="419" t="str">
        <f t="shared" si="83"/>
        <v/>
      </c>
      <c r="BP205" s="389"/>
      <c r="BQ205" s="397"/>
      <c r="BR205" s="419"/>
      <c r="BS205" s="419"/>
      <c r="BT205" s="419"/>
      <c r="BU205" s="432"/>
      <c r="BV205" s="419"/>
      <c r="BW205" s="419"/>
      <c r="BX205" s="419"/>
      <c r="BY205" s="389"/>
      <c r="BZ205" s="389"/>
      <c r="CA205" s="389"/>
      <c r="CB205" s="389"/>
      <c r="CC205" s="389"/>
      <c r="CD205" s="389"/>
      <c r="CE205" s="389"/>
      <c r="CF205" s="389"/>
      <c r="CG205" s="389"/>
      <c r="CH205" s="389"/>
      <c r="CI205" s="389"/>
      <c r="CJ205" s="422"/>
      <c r="CK205" s="422"/>
      <c r="CL205" s="422"/>
      <c r="CM205" s="422"/>
      <c r="CN205" s="422"/>
      <c r="CO205" s="422"/>
      <c r="CP205" s="422"/>
      <c r="CQ205" s="432"/>
      <c r="CR205" s="431" t="str">
        <f t="shared" si="95"/>
        <v/>
      </c>
      <c r="CS205" s="35" t="str">
        <f t="shared" si="96"/>
        <v>Direct or WHSE.</v>
      </c>
      <c r="CT205" s="411"/>
      <c r="CW205" s="153" t="str">
        <f t="shared" si="75"/>
        <v/>
      </c>
      <c r="CX205" s="153" t="str">
        <f t="shared" si="75"/>
        <v/>
      </c>
      <c r="CY205" s="153" t="str">
        <f t="shared" si="97"/>
        <v/>
      </c>
    </row>
    <row r="206" spans="1:103" ht="19.5" customHeight="1">
      <c r="A206" s="10">
        <v>184</v>
      </c>
      <c r="B206" s="373"/>
      <c r="C206" s="373"/>
      <c r="D206" s="396"/>
      <c r="E206" s="375"/>
      <c r="F206" s="373"/>
      <c r="G206" s="373"/>
      <c r="H206" s="376"/>
      <c r="I206" s="377"/>
      <c r="J206" s="378"/>
      <c r="K206" s="379"/>
      <c r="L206" s="374"/>
      <c r="M206" s="380" t="str">
        <f t="shared" ca="1" si="76"/>
        <v/>
      </c>
      <c r="N206" s="373"/>
      <c r="O206" s="381"/>
      <c r="P206" s="381"/>
      <c r="Q206" s="382"/>
      <c r="R206" s="381"/>
      <c r="S206" s="383"/>
      <c r="T206" s="384" t="str">
        <f t="shared" si="77"/>
        <v/>
      </c>
      <c r="U206" s="385"/>
      <c r="V206" s="384" t="str">
        <f t="shared" si="78"/>
        <v/>
      </c>
      <c r="W206" s="386"/>
      <c r="X206" s="386" t="str">
        <f t="shared" si="79"/>
        <v/>
      </c>
      <c r="Y206" s="386" t="str">
        <f t="shared" si="84"/>
        <v/>
      </c>
      <c r="Z206" s="386" t="str">
        <f t="shared" si="85"/>
        <v/>
      </c>
      <c r="AA206" s="387"/>
      <c r="AB206" s="386" t="str">
        <f t="shared" si="86"/>
        <v/>
      </c>
      <c r="AC206" s="386" t="str">
        <f t="shared" si="87"/>
        <v/>
      </c>
      <c r="AD206" s="386" t="str">
        <f t="shared" si="88"/>
        <v/>
      </c>
      <c r="AE206" s="386" t="str">
        <f t="shared" si="89"/>
        <v/>
      </c>
      <c r="AF206" s="386" t="str">
        <f t="shared" si="90"/>
        <v/>
      </c>
      <c r="AG206" s="386" t="str">
        <f t="shared" si="91"/>
        <v/>
      </c>
      <c r="AH206" s="386" t="str">
        <f t="shared" si="92"/>
        <v/>
      </c>
      <c r="AI206" s="386" t="str">
        <f t="shared" si="80"/>
        <v/>
      </c>
      <c r="AJ206" s="386" t="str">
        <f t="shared" si="81"/>
        <v/>
      </c>
      <c r="AK206" s="386" t="str">
        <f t="shared" si="82"/>
        <v/>
      </c>
      <c r="AL206" s="388"/>
      <c r="AM206" s="388"/>
      <c r="AN206" s="388"/>
      <c r="AO206" s="388"/>
      <c r="AP206" s="402" t="str">
        <f t="shared" si="93"/>
        <v/>
      </c>
      <c r="AQ206" s="388"/>
      <c r="AR206" s="388"/>
      <c r="AS206" s="388"/>
      <c r="AT206" s="388"/>
      <c r="AU206" s="402" t="str">
        <f t="shared" si="94"/>
        <v/>
      </c>
      <c r="AV206" s="389"/>
      <c r="AW206" s="381"/>
      <c r="AX206" s="381"/>
      <c r="AY206" s="373"/>
      <c r="AZ206" s="390"/>
      <c r="BA206" s="390"/>
      <c r="BB206" s="391"/>
      <c r="BC206" s="392"/>
      <c r="BD206" s="393"/>
      <c r="BE206" s="393"/>
      <c r="BF206" s="393"/>
      <c r="BG206" s="394"/>
      <c r="BH206" s="395"/>
      <c r="BI206" s="374"/>
      <c r="BJ206" s="374"/>
      <c r="BK206" s="374"/>
      <c r="BL206" s="389"/>
      <c r="BM206" s="397"/>
      <c r="BN206" s="389"/>
      <c r="BO206" s="419" t="str">
        <f t="shared" si="83"/>
        <v/>
      </c>
      <c r="BP206" s="389"/>
      <c r="BQ206" s="397"/>
      <c r="BR206" s="419"/>
      <c r="BS206" s="419"/>
      <c r="BT206" s="419"/>
      <c r="BU206" s="432"/>
      <c r="BV206" s="419"/>
      <c r="BW206" s="419"/>
      <c r="BX206" s="419"/>
      <c r="BY206" s="389"/>
      <c r="BZ206" s="389"/>
      <c r="CA206" s="389"/>
      <c r="CB206" s="389"/>
      <c r="CC206" s="389"/>
      <c r="CD206" s="389"/>
      <c r="CE206" s="389"/>
      <c r="CF206" s="389"/>
      <c r="CG206" s="389"/>
      <c r="CH206" s="389"/>
      <c r="CI206" s="389"/>
      <c r="CJ206" s="422"/>
      <c r="CK206" s="422"/>
      <c r="CL206" s="422"/>
      <c r="CM206" s="422"/>
      <c r="CN206" s="422"/>
      <c r="CO206" s="422"/>
      <c r="CP206" s="422"/>
      <c r="CQ206" s="432"/>
      <c r="CR206" s="431" t="str">
        <f t="shared" si="95"/>
        <v/>
      </c>
      <c r="CS206" s="35" t="str">
        <f t="shared" si="96"/>
        <v>Direct or WHSE.</v>
      </c>
      <c r="CT206" s="411"/>
      <c r="CW206" s="153" t="str">
        <f t="shared" si="75"/>
        <v/>
      </c>
      <c r="CX206" s="153" t="str">
        <f t="shared" si="75"/>
        <v/>
      </c>
      <c r="CY206" s="153" t="str">
        <f t="shared" si="97"/>
        <v/>
      </c>
    </row>
    <row r="207" spans="1:103" ht="19.5" customHeight="1">
      <c r="A207" s="10">
        <v>185</v>
      </c>
      <c r="B207" s="373"/>
      <c r="C207" s="373"/>
      <c r="D207" s="396"/>
      <c r="E207" s="375"/>
      <c r="F207" s="373"/>
      <c r="G207" s="373"/>
      <c r="H207" s="376"/>
      <c r="I207" s="377"/>
      <c r="J207" s="378"/>
      <c r="K207" s="379"/>
      <c r="L207" s="374"/>
      <c r="M207" s="380" t="str">
        <f t="shared" ca="1" si="76"/>
        <v/>
      </c>
      <c r="N207" s="373"/>
      <c r="O207" s="381"/>
      <c r="P207" s="381"/>
      <c r="Q207" s="382"/>
      <c r="R207" s="381"/>
      <c r="S207" s="383"/>
      <c r="T207" s="384" t="str">
        <f t="shared" si="77"/>
        <v/>
      </c>
      <c r="U207" s="385"/>
      <c r="V207" s="384" t="str">
        <f t="shared" si="78"/>
        <v/>
      </c>
      <c r="W207" s="386"/>
      <c r="X207" s="386" t="str">
        <f t="shared" si="79"/>
        <v/>
      </c>
      <c r="Y207" s="386" t="str">
        <f t="shared" si="84"/>
        <v/>
      </c>
      <c r="Z207" s="386" t="str">
        <f t="shared" si="85"/>
        <v/>
      </c>
      <c r="AA207" s="387"/>
      <c r="AB207" s="386" t="str">
        <f t="shared" si="86"/>
        <v/>
      </c>
      <c r="AC207" s="386" t="str">
        <f t="shared" si="87"/>
        <v/>
      </c>
      <c r="AD207" s="386" t="str">
        <f t="shared" si="88"/>
        <v/>
      </c>
      <c r="AE207" s="386" t="str">
        <f t="shared" si="89"/>
        <v/>
      </c>
      <c r="AF207" s="386" t="str">
        <f t="shared" si="90"/>
        <v/>
      </c>
      <c r="AG207" s="386" t="str">
        <f t="shared" si="91"/>
        <v/>
      </c>
      <c r="AH207" s="386" t="str">
        <f t="shared" si="92"/>
        <v/>
      </c>
      <c r="AI207" s="386" t="str">
        <f t="shared" si="80"/>
        <v/>
      </c>
      <c r="AJ207" s="386" t="str">
        <f t="shared" si="81"/>
        <v/>
      </c>
      <c r="AK207" s="386" t="str">
        <f t="shared" si="82"/>
        <v/>
      </c>
      <c r="AL207" s="388"/>
      <c r="AM207" s="388"/>
      <c r="AN207" s="388"/>
      <c r="AO207" s="388"/>
      <c r="AP207" s="402" t="str">
        <f t="shared" si="93"/>
        <v/>
      </c>
      <c r="AQ207" s="388"/>
      <c r="AR207" s="388"/>
      <c r="AS207" s="388"/>
      <c r="AT207" s="388"/>
      <c r="AU207" s="402" t="str">
        <f t="shared" si="94"/>
        <v/>
      </c>
      <c r="AV207" s="389"/>
      <c r="AW207" s="381"/>
      <c r="AX207" s="381"/>
      <c r="AY207" s="373"/>
      <c r="AZ207" s="390"/>
      <c r="BA207" s="390"/>
      <c r="BB207" s="391"/>
      <c r="BC207" s="392"/>
      <c r="BD207" s="393"/>
      <c r="BE207" s="393"/>
      <c r="BF207" s="393"/>
      <c r="BG207" s="394"/>
      <c r="BH207" s="395"/>
      <c r="BI207" s="374"/>
      <c r="BJ207" s="374"/>
      <c r="BK207" s="374"/>
      <c r="BL207" s="389"/>
      <c r="BM207" s="397"/>
      <c r="BN207" s="389"/>
      <c r="BO207" s="419" t="str">
        <f t="shared" si="83"/>
        <v/>
      </c>
      <c r="BP207" s="389"/>
      <c r="BQ207" s="397"/>
      <c r="BR207" s="419"/>
      <c r="BS207" s="419"/>
      <c r="BT207" s="419"/>
      <c r="BU207" s="432"/>
      <c r="BV207" s="419"/>
      <c r="BW207" s="419"/>
      <c r="BX207" s="419"/>
      <c r="BY207" s="389"/>
      <c r="BZ207" s="389"/>
      <c r="CA207" s="389"/>
      <c r="CB207" s="389"/>
      <c r="CC207" s="389"/>
      <c r="CD207" s="389"/>
      <c r="CE207" s="389"/>
      <c r="CF207" s="389"/>
      <c r="CG207" s="389"/>
      <c r="CH207" s="389"/>
      <c r="CI207" s="389"/>
      <c r="CJ207" s="422"/>
      <c r="CK207" s="422"/>
      <c r="CL207" s="422"/>
      <c r="CM207" s="422"/>
      <c r="CN207" s="422"/>
      <c r="CO207" s="422"/>
      <c r="CP207" s="422"/>
      <c r="CQ207" s="432"/>
      <c r="CR207" s="431" t="str">
        <f t="shared" si="95"/>
        <v/>
      </c>
      <c r="CS207" s="35" t="str">
        <f t="shared" si="96"/>
        <v>Direct or WHSE.</v>
      </c>
      <c r="CT207" s="411"/>
      <c r="CW207" s="153" t="str">
        <f t="shared" si="75"/>
        <v/>
      </c>
      <c r="CX207" s="153" t="str">
        <f t="shared" si="75"/>
        <v/>
      </c>
      <c r="CY207" s="153" t="str">
        <f t="shared" si="97"/>
        <v/>
      </c>
    </row>
    <row r="208" spans="1:103" ht="19.5" customHeight="1">
      <c r="A208" s="10">
        <v>186</v>
      </c>
      <c r="B208" s="373"/>
      <c r="C208" s="373"/>
      <c r="D208" s="396"/>
      <c r="E208" s="375"/>
      <c r="F208" s="373"/>
      <c r="G208" s="373"/>
      <c r="H208" s="376"/>
      <c r="I208" s="377"/>
      <c r="J208" s="378"/>
      <c r="K208" s="379"/>
      <c r="L208" s="374"/>
      <c r="M208" s="380" t="str">
        <f t="shared" ca="1" si="76"/>
        <v/>
      </c>
      <c r="N208" s="373"/>
      <c r="O208" s="381"/>
      <c r="P208" s="381"/>
      <c r="Q208" s="382"/>
      <c r="R208" s="381"/>
      <c r="S208" s="383"/>
      <c r="T208" s="384" t="str">
        <f t="shared" si="77"/>
        <v/>
      </c>
      <c r="U208" s="385"/>
      <c r="V208" s="384" t="str">
        <f t="shared" si="78"/>
        <v/>
      </c>
      <c r="W208" s="386"/>
      <c r="X208" s="386" t="str">
        <f t="shared" si="79"/>
        <v/>
      </c>
      <c r="Y208" s="386" t="str">
        <f t="shared" si="84"/>
        <v/>
      </c>
      <c r="Z208" s="386" t="str">
        <f t="shared" si="85"/>
        <v/>
      </c>
      <c r="AA208" s="387"/>
      <c r="AB208" s="386" t="str">
        <f t="shared" si="86"/>
        <v/>
      </c>
      <c r="AC208" s="386" t="str">
        <f t="shared" si="87"/>
        <v/>
      </c>
      <c r="AD208" s="386" t="str">
        <f t="shared" si="88"/>
        <v/>
      </c>
      <c r="AE208" s="386" t="str">
        <f t="shared" si="89"/>
        <v/>
      </c>
      <c r="AF208" s="386" t="str">
        <f t="shared" si="90"/>
        <v/>
      </c>
      <c r="AG208" s="386" t="str">
        <f t="shared" si="91"/>
        <v/>
      </c>
      <c r="AH208" s="386" t="str">
        <f t="shared" si="92"/>
        <v/>
      </c>
      <c r="AI208" s="386" t="str">
        <f t="shared" si="80"/>
        <v/>
      </c>
      <c r="AJ208" s="386" t="str">
        <f t="shared" si="81"/>
        <v/>
      </c>
      <c r="AK208" s="386" t="str">
        <f t="shared" si="82"/>
        <v/>
      </c>
      <c r="AL208" s="388"/>
      <c r="AM208" s="388"/>
      <c r="AN208" s="388"/>
      <c r="AO208" s="388"/>
      <c r="AP208" s="402" t="str">
        <f t="shared" si="93"/>
        <v/>
      </c>
      <c r="AQ208" s="388"/>
      <c r="AR208" s="388"/>
      <c r="AS208" s="388"/>
      <c r="AT208" s="388"/>
      <c r="AU208" s="402" t="str">
        <f t="shared" si="94"/>
        <v/>
      </c>
      <c r="AV208" s="389"/>
      <c r="AW208" s="381"/>
      <c r="AX208" s="381"/>
      <c r="AY208" s="373"/>
      <c r="AZ208" s="390"/>
      <c r="BA208" s="390"/>
      <c r="BB208" s="391"/>
      <c r="BC208" s="392"/>
      <c r="BD208" s="393"/>
      <c r="BE208" s="393"/>
      <c r="BF208" s="393"/>
      <c r="BG208" s="394"/>
      <c r="BH208" s="395"/>
      <c r="BI208" s="374"/>
      <c r="BJ208" s="374"/>
      <c r="BK208" s="374"/>
      <c r="BL208" s="389"/>
      <c r="BM208" s="397"/>
      <c r="BN208" s="389"/>
      <c r="BO208" s="419" t="str">
        <f t="shared" si="83"/>
        <v/>
      </c>
      <c r="BP208" s="389"/>
      <c r="BQ208" s="397"/>
      <c r="BR208" s="419"/>
      <c r="BS208" s="419"/>
      <c r="BT208" s="419"/>
      <c r="BU208" s="432"/>
      <c r="BV208" s="419"/>
      <c r="BW208" s="419"/>
      <c r="BX208" s="419"/>
      <c r="BY208" s="389"/>
      <c r="BZ208" s="389"/>
      <c r="CA208" s="389"/>
      <c r="CB208" s="389"/>
      <c r="CC208" s="389"/>
      <c r="CD208" s="389"/>
      <c r="CE208" s="389"/>
      <c r="CF208" s="389"/>
      <c r="CG208" s="389"/>
      <c r="CH208" s="389"/>
      <c r="CI208" s="389"/>
      <c r="CJ208" s="422"/>
      <c r="CK208" s="422"/>
      <c r="CL208" s="422"/>
      <c r="CM208" s="422"/>
      <c r="CN208" s="422"/>
      <c r="CO208" s="422"/>
      <c r="CP208" s="422"/>
      <c r="CQ208" s="432"/>
      <c r="CR208" s="431" t="str">
        <f t="shared" si="95"/>
        <v/>
      </c>
      <c r="CS208" s="35" t="str">
        <f t="shared" si="96"/>
        <v>Direct or WHSE.</v>
      </c>
      <c r="CT208" s="411"/>
      <c r="CW208" s="153" t="str">
        <f t="shared" si="75"/>
        <v/>
      </c>
      <c r="CX208" s="153" t="str">
        <f t="shared" si="75"/>
        <v/>
      </c>
      <c r="CY208" s="153" t="str">
        <f t="shared" si="97"/>
        <v/>
      </c>
    </row>
    <row r="209" spans="1:103" ht="19.5" customHeight="1">
      <c r="A209" s="10">
        <v>187</v>
      </c>
      <c r="B209" s="373"/>
      <c r="C209" s="373"/>
      <c r="D209" s="396"/>
      <c r="E209" s="375"/>
      <c r="F209" s="373"/>
      <c r="G209" s="373"/>
      <c r="H209" s="376"/>
      <c r="I209" s="377"/>
      <c r="J209" s="378"/>
      <c r="K209" s="379"/>
      <c r="L209" s="374"/>
      <c r="M209" s="380" t="str">
        <f t="shared" ca="1" si="76"/>
        <v/>
      </c>
      <c r="N209" s="373"/>
      <c r="O209" s="381"/>
      <c r="P209" s="381"/>
      <c r="Q209" s="382"/>
      <c r="R209" s="381"/>
      <c r="S209" s="383"/>
      <c r="T209" s="384" t="str">
        <f t="shared" si="77"/>
        <v/>
      </c>
      <c r="U209" s="385"/>
      <c r="V209" s="384" t="str">
        <f t="shared" si="78"/>
        <v/>
      </c>
      <c r="W209" s="386"/>
      <c r="X209" s="386" t="str">
        <f t="shared" si="79"/>
        <v/>
      </c>
      <c r="Y209" s="386" t="str">
        <f t="shared" si="84"/>
        <v/>
      </c>
      <c r="Z209" s="386" t="str">
        <f t="shared" si="85"/>
        <v/>
      </c>
      <c r="AA209" s="387"/>
      <c r="AB209" s="386" t="str">
        <f t="shared" si="86"/>
        <v/>
      </c>
      <c r="AC209" s="386" t="str">
        <f t="shared" si="87"/>
        <v/>
      </c>
      <c r="AD209" s="386" t="str">
        <f t="shared" si="88"/>
        <v/>
      </c>
      <c r="AE209" s="386" t="str">
        <f t="shared" si="89"/>
        <v/>
      </c>
      <c r="AF209" s="386" t="str">
        <f t="shared" si="90"/>
        <v/>
      </c>
      <c r="AG209" s="386" t="str">
        <f t="shared" si="91"/>
        <v/>
      </c>
      <c r="AH209" s="386" t="str">
        <f t="shared" si="92"/>
        <v/>
      </c>
      <c r="AI209" s="386" t="str">
        <f t="shared" si="80"/>
        <v/>
      </c>
      <c r="AJ209" s="386" t="str">
        <f t="shared" si="81"/>
        <v/>
      </c>
      <c r="AK209" s="386" t="str">
        <f t="shared" si="82"/>
        <v/>
      </c>
      <c r="AL209" s="388"/>
      <c r="AM209" s="388"/>
      <c r="AN209" s="388"/>
      <c r="AO209" s="388"/>
      <c r="AP209" s="402" t="str">
        <f t="shared" si="93"/>
        <v/>
      </c>
      <c r="AQ209" s="388"/>
      <c r="AR209" s="388"/>
      <c r="AS209" s="388"/>
      <c r="AT209" s="388"/>
      <c r="AU209" s="402" t="str">
        <f t="shared" si="94"/>
        <v/>
      </c>
      <c r="AV209" s="389"/>
      <c r="AW209" s="381"/>
      <c r="AX209" s="381"/>
      <c r="AY209" s="373"/>
      <c r="AZ209" s="390"/>
      <c r="BA209" s="390"/>
      <c r="BB209" s="391"/>
      <c r="BC209" s="392"/>
      <c r="BD209" s="393"/>
      <c r="BE209" s="393"/>
      <c r="BF209" s="393"/>
      <c r="BG209" s="394"/>
      <c r="BH209" s="395"/>
      <c r="BI209" s="374"/>
      <c r="BJ209" s="374"/>
      <c r="BK209" s="374"/>
      <c r="BL209" s="389"/>
      <c r="BM209" s="397"/>
      <c r="BN209" s="389"/>
      <c r="BO209" s="419" t="str">
        <f t="shared" si="83"/>
        <v/>
      </c>
      <c r="BP209" s="389"/>
      <c r="BQ209" s="397"/>
      <c r="BR209" s="419"/>
      <c r="BS209" s="419"/>
      <c r="BT209" s="419"/>
      <c r="BU209" s="432"/>
      <c r="BV209" s="419"/>
      <c r="BW209" s="419"/>
      <c r="BX209" s="419"/>
      <c r="BY209" s="389"/>
      <c r="BZ209" s="389"/>
      <c r="CA209" s="389"/>
      <c r="CB209" s="389"/>
      <c r="CC209" s="389"/>
      <c r="CD209" s="389"/>
      <c r="CE209" s="389"/>
      <c r="CF209" s="389"/>
      <c r="CG209" s="389"/>
      <c r="CH209" s="389"/>
      <c r="CI209" s="389"/>
      <c r="CJ209" s="422"/>
      <c r="CK209" s="422"/>
      <c r="CL209" s="422"/>
      <c r="CM209" s="422"/>
      <c r="CN209" s="422"/>
      <c r="CO209" s="422"/>
      <c r="CP209" s="422"/>
      <c r="CQ209" s="432"/>
      <c r="CR209" s="431" t="str">
        <f t="shared" si="95"/>
        <v/>
      </c>
      <c r="CS209" s="35" t="str">
        <f t="shared" si="96"/>
        <v>Direct or WHSE.</v>
      </c>
      <c r="CT209" s="411"/>
      <c r="CW209" s="153" t="str">
        <f t="shared" si="75"/>
        <v/>
      </c>
      <c r="CX209" s="153" t="str">
        <f t="shared" si="75"/>
        <v/>
      </c>
      <c r="CY209" s="153" t="str">
        <f t="shared" si="97"/>
        <v/>
      </c>
    </row>
    <row r="210" spans="1:103" ht="19.5" customHeight="1">
      <c r="A210" s="10">
        <v>188</v>
      </c>
      <c r="B210" s="373"/>
      <c r="C210" s="373"/>
      <c r="D210" s="396"/>
      <c r="E210" s="375"/>
      <c r="F210" s="373"/>
      <c r="G210" s="373"/>
      <c r="H210" s="376"/>
      <c r="I210" s="377"/>
      <c r="J210" s="378"/>
      <c r="K210" s="379"/>
      <c r="L210" s="374"/>
      <c r="M210" s="380" t="str">
        <f t="shared" ca="1" si="76"/>
        <v/>
      </c>
      <c r="N210" s="373"/>
      <c r="O210" s="381"/>
      <c r="P210" s="381"/>
      <c r="Q210" s="382"/>
      <c r="R210" s="381"/>
      <c r="S210" s="383"/>
      <c r="T210" s="384" t="str">
        <f t="shared" si="77"/>
        <v/>
      </c>
      <c r="U210" s="385"/>
      <c r="V210" s="384" t="str">
        <f t="shared" si="78"/>
        <v/>
      </c>
      <c r="W210" s="386"/>
      <c r="X210" s="386" t="str">
        <f t="shared" si="79"/>
        <v/>
      </c>
      <c r="Y210" s="386" t="str">
        <f t="shared" si="84"/>
        <v/>
      </c>
      <c r="Z210" s="386" t="str">
        <f t="shared" si="85"/>
        <v/>
      </c>
      <c r="AA210" s="387"/>
      <c r="AB210" s="386" t="str">
        <f t="shared" si="86"/>
        <v/>
      </c>
      <c r="AC210" s="386" t="str">
        <f t="shared" si="87"/>
        <v/>
      </c>
      <c r="AD210" s="386" t="str">
        <f t="shared" si="88"/>
        <v/>
      </c>
      <c r="AE210" s="386" t="str">
        <f t="shared" si="89"/>
        <v/>
      </c>
      <c r="AF210" s="386" t="str">
        <f t="shared" si="90"/>
        <v/>
      </c>
      <c r="AG210" s="386" t="str">
        <f t="shared" si="91"/>
        <v/>
      </c>
      <c r="AH210" s="386" t="str">
        <f t="shared" si="92"/>
        <v/>
      </c>
      <c r="AI210" s="386" t="str">
        <f t="shared" si="80"/>
        <v/>
      </c>
      <c r="AJ210" s="386" t="str">
        <f t="shared" si="81"/>
        <v/>
      </c>
      <c r="AK210" s="386" t="str">
        <f t="shared" si="82"/>
        <v/>
      </c>
      <c r="AL210" s="388"/>
      <c r="AM210" s="388"/>
      <c r="AN210" s="388"/>
      <c r="AO210" s="388"/>
      <c r="AP210" s="402" t="str">
        <f t="shared" si="93"/>
        <v/>
      </c>
      <c r="AQ210" s="388"/>
      <c r="AR210" s="388"/>
      <c r="AS210" s="388"/>
      <c r="AT210" s="388"/>
      <c r="AU210" s="402" t="str">
        <f t="shared" si="94"/>
        <v/>
      </c>
      <c r="AV210" s="389"/>
      <c r="AW210" s="381"/>
      <c r="AX210" s="381"/>
      <c r="AY210" s="373"/>
      <c r="AZ210" s="390"/>
      <c r="BA210" s="390"/>
      <c r="BB210" s="391"/>
      <c r="BC210" s="392"/>
      <c r="BD210" s="393"/>
      <c r="BE210" s="393"/>
      <c r="BF210" s="393"/>
      <c r="BG210" s="394"/>
      <c r="BH210" s="395"/>
      <c r="BI210" s="374"/>
      <c r="BJ210" s="374"/>
      <c r="BK210" s="374"/>
      <c r="BL210" s="389"/>
      <c r="BM210" s="397"/>
      <c r="BN210" s="389"/>
      <c r="BO210" s="419" t="str">
        <f t="shared" si="83"/>
        <v/>
      </c>
      <c r="BP210" s="389"/>
      <c r="BQ210" s="397"/>
      <c r="BR210" s="419"/>
      <c r="BS210" s="419"/>
      <c r="BT210" s="419"/>
      <c r="BU210" s="432"/>
      <c r="BV210" s="419"/>
      <c r="BW210" s="419"/>
      <c r="BX210" s="419"/>
      <c r="BY210" s="389"/>
      <c r="BZ210" s="389"/>
      <c r="CA210" s="389"/>
      <c r="CB210" s="389"/>
      <c r="CC210" s="389"/>
      <c r="CD210" s="389"/>
      <c r="CE210" s="389"/>
      <c r="CF210" s="389"/>
      <c r="CG210" s="389"/>
      <c r="CH210" s="389"/>
      <c r="CI210" s="389"/>
      <c r="CJ210" s="422"/>
      <c r="CK210" s="422"/>
      <c r="CL210" s="422"/>
      <c r="CM210" s="422"/>
      <c r="CN210" s="422"/>
      <c r="CO210" s="422"/>
      <c r="CP210" s="422"/>
      <c r="CQ210" s="432"/>
      <c r="CR210" s="431" t="str">
        <f t="shared" si="95"/>
        <v/>
      </c>
      <c r="CS210" s="35" t="str">
        <f t="shared" si="96"/>
        <v>Direct or WHSE.</v>
      </c>
      <c r="CT210" s="411"/>
      <c r="CW210" s="153" t="str">
        <f t="shared" si="75"/>
        <v/>
      </c>
      <c r="CX210" s="153" t="str">
        <f t="shared" si="75"/>
        <v/>
      </c>
      <c r="CY210" s="153" t="str">
        <f t="shared" si="97"/>
        <v/>
      </c>
    </row>
    <row r="211" spans="1:103" ht="19.5" customHeight="1">
      <c r="A211" s="10">
        <v>189</v>
      </c>
      <c r="B211" s="373"/>
      <c r="C211" s="373"/>
      <c r="D211" s="396"/>
      <c r="E211" s="375"/>
      <c r="F211" s="373"/>
      <c r="G211" s="373"/>
      <c r="H211" s="376"/>
      <c r="I211" s="377"/>
      <c r="J211" s="378"/>
      <c r="K211" s="379"/>
      <c r="L211" s="374"/>
      <c r="M211" s="380" t="str">
        <f t="shared" ca="1" si="76"/>
        <v/>
      </c>
      <c r="N211" s="373"/>
      <c r="O211" s="381"/>
      <c r="P211" s="381"/>
      <c r="Q211" s="382"/>
      <c r="R211" s="381"/>
      <c r="S211" s="383"/>
      <c r="T211" s="384" t="str">
        <f t="shared" si="77"/>
        <v/>
      </c>
      <c r="U211" s="385"/>
      <c r="V211" s="384" t="str">
        <f t="shared" si="78"/>
        <v/>
      </c>
      <c r="W211" s="386"/>
      <c r="X211" s="386" t="str">
        <f t="shared" si="79"/>
        <v/>
      </c>
      <c r="Y211" s="386" t="str">
        <f t="shared" si="84"/>
        <v/>
      </c>
      <c r="Z211" s="386" t="str">
        <f t="shared" si="85"/>
        <v/>
      </c>
      <c r="AA211" s="387"/>
      <c r="AB211" s="386" t="str">
        <f t="shared" si="86"/>
        <v/>
      </c>
      <c r="AC211" s="386" t="str">
        <f t="shared" si="87"/>
        <v/>
      </c>
      <c r="AD211" s="386" t="str">
        <f t="shared" si="88"/>
        <v/>
      </c>
      <c r="AE211" s="386" t="str">
        <f t="shared" si="89"/>
        <v/>
      </c>
      <c r="AF211" s="386" t="str">
        <f t="shared" si="90"/>
        <v/>
      </c>
      <c r="AG211" s="386" t="str">
        <f t="shared" si="91"/>
        <v/>
      </c>
      <c r="AH211" s="386" t="str">
        <f t="shared" si="92"/>
        <v/>
      </c>
      <c r="AI211" s="386" t="str">
        <f t="shared" si="80"/>
        <v/>
      </c>
      <c r="AJ211" s="386" t="str">
        <f t="shared" si="81"/>
        <v/>
      </c>
      <c r="AK211" s="386" t="str">
        <f t="shared" si="82"/>
        <v/>
      </c>
      <c r="AL211" s="388"/>
      <c r="AM211" s="388"/>
      <c r="AN211" s="388"/>
      <c r="AO211" s="388"/>
      <c r="AP211" s="402" t="str">
        <f t="shared" si="93"/>
        <v/>
      </c>
      <c r="AQ211" s="388"/>
      <c r="AR211" s="388"/>
      <c r="AS211" s="388"/>
      <c r="AT211" s="388"/>
      <c r="AU211" s="402" t="str">
        <f t="shared" si="94"/>
        <v/>
      </c>
      <c r="AV211" s="389"/>
      <c r="AW211" s="381"/>
      <c r="AX211" s="381"/>
      <c r="AY211" s="373"/>
      <c r="AZ211" s="390"/>
      <c r="BA211" s="390"/>
      <c r="BB211" s="391"/>
      <c r="BC211" s="392"/>
      <c r="BD211" s="393"/>
      <c r="BE211" s="393"/>
      <c r="BF211" s="393"/>
      <c r="BG211" s="394"/>
      <c r="BH211" s="395"/>
      <c r="BI211" s="374"/>
      <c r="BJ211" s="374"/>
      <c r="BK211" s="374"/>
      <c r="BL211" s="389"/>
      <c r="BM211" s="397"/>
      <c r="BN211" s="389"/>
      <c r="BO211" s="419" t="str">
        <f t="shared" si="83"/>
        <v/>
      </c>
      <c r="BP211" s="389"/>
      <c r="BQ211" s="397"/>
      <c r="BR211" s="419"/>
      <c r="BS211" s="419"/>
      <c r="BT211" s="419"/>
      <c r="BU211" s="432"/>
      <c r="BV211" s="419"/>
      <c r="BW211" s="419"/>
      <c r="BX211" s="419"/>
      <c r="BY211" s="389"/>
      <c r="BZ211" s="389"/>
      <c r="CA211" s="389"/>
      <c r="CB211" s="389"/>
      <c r="CC211" s="389"/>
      <c r="CD211" s="389"/>
      <c r="CE211" s="389"/>
      <c r="CF211" s="389"/>
      <c r="CG211" s="389"/>
      <c r="CH211" s="389"/>
      <c r="CI211" s="389"/>
      <c r="CJ211" s="422"/>
      <c r="CK211" s="422"/>
      <c r="CL211" s="422"/>
      <c r="CM211" s="422"/>
      <c r="CN211" s="422"/>
      <c r="CO211" s="422"/>
      <c r="CP211" s="422"/>
      <c r="CQ211" s="432"/>
      <c r="CR211" s="431" t="str">
        <f t="shared" si="95"/>
        <v/>
      </c>
      <c r="CS211" s="35" t="str">
        <f t="shared" si="96"/>
        <v>Direct or WHSE.</v>
      </c>
      <c r="CT211" s="411"/>
      <c r="CW211" s="153" t="str">
        <f t="shared" si="75"/>
        <v/>
      </c>
      <c r="CX211" s="153" t="str">
        <f t="shared" si="75"/>
        <v/>
      </c>
      <c r="CY211" s="153" t="str">
        <f t="shared" si="97"/>
        <v/>
      </c>
    </row>
    <row r="212" spans="1:103" ht="19.5" customHeight="1">
      <c r="A212" s="10">
        <v>190</v>
      </c>
      <c r="B212" s="373"/>
      <c r="C212" s="373"/>
      <c r="D212" s="396"/>
      <c r="E212" s="375"/>
      <c r="F212" s="373"/>
      <c r="G212" s="373"/>
      <c r="H212" s="376"/>
      <c r="I212" s="377"/>
      <c r="J212" s="378"/>
      <c r="K212" s="379"/>
      <c r="L212" s="374"/>
      <c r="M212" s="380" t="str">
        <f t="shared" ca="1" si="76"/>
        <v/>
      </c>
      <c r="N212" s="373"/>
      <c r="O212" s="381"/>
      <c r="P212" s="381"/>
      <c r="Q212" s="382"/>
      <c r="R212" s="381"/>
      <c r="S212" s="383"/>
      <c r="T212" s="384" t="str">
        <f t="shared" si="77"/>
        <v/>
      </c>
      <c r="U212" s="385"/>
      <c r="V212" s="384" t="str">
        <f t="shared" si="78"/>
        <v/>
      </c>
      <c r="W212" s="386"/>
      <c r="X212" s="386" t="str">
        <f t="shared" si="79"/>
        <v/>
      </c>
      <c r="Y212" s="386" t="str">
        <f t="shared" si="84"/>
        <v/>
      </c>
      <c r="Z212" s="386" t="str">
        <f t="shared" si="85"/>
        <v/>
      </c>
      <c r="AA212" s="387"/>
      <c r="AB212" s="386" t="str">
        <f t="shared" si="86"/>
        <v/>
      </c>
      <c r="AC212" s="386" t="str">
        <f t="shared" si="87"/>
        <v/>
      </c>
      <c r="AD212" s="386" t="str">
        <f t="shared" si="88"/>
        <v/>
      </c>
      <c r="AE212" s="386" t="str">
        <f t="shared" si="89"/>
        <v/>
      </c>
      <c r="AF212" s="386" t="str">
        <f t="shared" si="90"/>
        <v/>
      </c>
      <c r="AG212" s="386" t="str">
        <f t="shared" si="91"/>
        <v/>
      </c>
      <c r="AH212" s="386" t="str">
        <f t="shared" si="92"/>
        <v/>
      </c>
      <c r="AI212" s="386" t="str">
        <f t="shared" si="80"/>
        <v/>
      </c>
      <c r="AJ212" s="386" t="str">
        <f t="shared" si="81"/>
        <v/>
      </c>
      <c r="AK212" s="386" t="str">
        <f t="shared" si="82"/>
        <v/>
      </c>
      <c r="AL212" s="388"/>
      <c r="AM212" s="388"/>
      <c r="AN212" s="388"/>
      <c r="AO212" s="388"/>
      <c r="AP212" s="402" t="str">
        <f t="shared" si="93"/>
        <v/>
      </c>
      <c r="AQ212" s="388"/>
      <c r="AR212" s="388"/>
      <c r="AS212" s="388"/>
      <c r="AT212" s="388"/>
      <c r="AU212" s="402" t="str">
        <f t="shared" si="94"/>
        <v/>
      </c>
      <c r="AV212" s="389"/>
      <c r="AW212" s="381"/>
      <c r="AX212" s="381"/>
      <c r="AY212" s="373"/>
      <c r="AZ212" s="390"/>
      <c r="BA212" s="390"/>
      <c r="BB212" s="391"/>
      <c r="BC212" s="392"/>
      <c r="BD212" s="393"/>
      <c r="BE212" s="393"/>
      <c r="BF212" s="393"/>
      <c r="BG212" s="394"/>
      <c r="BH212" s="395"/>
      <c r="BI212" s="374"/>
      <c r="BJ212" s="374"/>
      <c r="BK212" s="374"/>
      <c r="BL212" s="389"/>
      <c r="BM212" s="397"/>
      <c r="BN212" s="389"/>
      <c r="BO212" s="419" t="str">
        <f t="shared" si="83"/>
        <v/>
      </c>
      <c r="BP212" s="389"/>
      <c r="BQ212" s="397"/>
      <c r="BR212" s="419"/>
      <c r="BS212" s="419"/>
      <c r="BT212" s="419"/>
      <c r="BU212" s="432"/>
      <c r="BV212" s="419"/>
      <c r="BW212" s="419"/>
      <c r="BX212" s="419"/>
      <c r="BY212" s="389"/>
      <c r="BZ212" s="389"/>
      <c r="CA212" s="389"/>
      <c r="CB212" s="389"/>
      <c r="CC212" s="389"/>
      <c r="CD212" s="389"/>
      <c r="CE212" s="389"/>
      <c r="CF212" s="389"/>
      <c r="CG212" s="389"/>
      <c r="CH212" s="389"/>
      <c r="CI212" s="389"/>
      <c r="CJ212" s="422"/>
      <c r="CK212" s="422"/>
      <c r="CL212" s="422"/>
      <c r="CM212" s="422"/>
      <c r="CN212" s="422"/>
      <c r="CO212" s="422"/>
      <c r="CP212" s="422"/>
      <c r="CQ212" s="432"/>
      <c r="CR212" s="431" t="str">
        <f t="shared" si="95"/>
        <v/>
      </c>
      <c r="CS212" s="35" t="str">
        <f t="shared" si="96"/>
        <v>Direct or WHSE.</v>
      </c>
      <c r="CT212" s="411"/>
      <c r="CW212" s="153" t="str">
        <f t="shared" si="75"/>
        <v/>
      </c>
      <c r="CX212" s="153" t="str">
        <f t="shared" si="75"/>
        <v/>
      </c>
      <c r="CY212" s="153" t="str">
        <f t="shared" si="97"/>
        <v/>
      </c>
    </row>
    <row r="213" spans="1:103" ht="19.5" customHeight="1">
      <c r="A213" s="10">
        <v>191</v>
      </c>
      <c r="B213" s="373"/>
      <c r="C213" s="373"/>
      <c r="D213" s="396"/>
      <c r="E213" s="375"/>
      <c r="F213" s="373"/>
      <c r="G213" s="373"/>
      <c r="H213" s="376"/>
      <c r="I213" s="377"/>
      <c r="J213" s="378"/>
      <c r="K213" s="379"/>
      <c r="L213" s="374"/>
      <c r="M213" s="380" t="str">
        <f t="shared" ca="1" si="76"/>
        <v/>
      </c>
      <c r="N213" s="373"/>
      <c r="O213" s="381"/>
      <c r="P213" s="381"/>
      <c r="Q213" s="382"/>
      <c r="R213" s="381"/>
      <c r="S213" s="383"/>
      <c r="T213" s="384" t="str">
        <f t="shared" si="77"/>
        <v/>
      </c>
      <c r="U213" s="385"/>
      <c r="V213" s="384" t="str">
        <f t="shared" si="78"/>
        <v/>
      </c>
      <c r="W213" s="386"/>
      <c r="X213" s="386" t="str">
        <f t="shared" si="79"/>
        <v/>
      </c>
      <c r="Y213" s="386" t="str">
        <f t="shared" si="84"/>
        <v/>
      </c>
      <c r="Z213" s="386" t="str">
        <f t="shared" si="85"/>
        <v/>
      </c>
      <c r="AA213" s="387"/>
      <c r="AB213" s="386" t="str">
        <f t="shared" si="86"/>
        <v/>
      </c>
      <c r="AC213" s="386" t="str">
        <f t="shared" si="87"/>
        <v/>
      </c>
      <c r="AD213" s="386" t="str">
        <f t="shared" si="88"/>
        <v/>
      </c>
      <c r="AE213" s="386" t="str">
        <f t="shared" si="89"/>
        <v/>
      </c>
      <c r="AF213" s="386" t="str">
        <f t="shared" si="90"/>
        <v/>
      </c>
      <c r="AG213" s="386" t="str">
        <f t="shared" si="91"/>
        <v/>
      </c>
      <c r="AH213" s="386" t="str">
        <f t="shared" si="92"/>
        <v/>
      </c>
      <c r="AI213" s="386" t="str">
        <f t="shared" si="80"/>
        <v/>
      </c>
      <c r="AJ213" s="386" t="str">
        <f t="shared" si="81"/>
        <v/>
      </c>
      <c r="AK213" s="386" t="str">
        <f t="shared" si="82"/>
        <v/>
      </c>
      <c r="AL213" s="388"/>
      <c r="AM213" s="388"/>
      <c r="AN213" s="388"/>
      <c r="AO213" s="388"/>
      <c r="AP213" s="402" t="str">
        <f t="shared" si="93"/>
        <v/>
      </c>
      <c r="AQ213" s="388"/>
      <c r="AR213" s="388"/>
      <c r="AS213" s="388"/>
      <c r="AT213" s="388"/>
      <c r="AU213" s="402" t="str">
        <f t="shared" si="94"/>
        <v/>
      </c>
      <c r="AV213" s="389"/>
      <c r="AW213" s="381"/>
      <c r="AX213" s="381"/>
      <c r="AY213" s="373"/>
      <c r="AZ213" s="390"/>
      <c r="BA213" s="390"/>
      <c r="BB213" s="391"/>
      <c r="BC213" s="392"/>
      <c r="BD213" s="393"/>
      <c r="BE213" s="393"/>
      <c r="BF213" s="393"/>
      <c r="BG213" s="394"/>
      <c r="BH213" s="395"/>
      <c r="BI213" s="374"/>
      <c r="BJ213" s="374"/>
      <c r="BK213" s="374"/>
      <c r="BL213" s="389"/>
      <c r="BM213" s="397"/>
      <c r="BN213" s="389"/>
      <c r="BO213" s="419" t="str">
        <f t="shared" si="83"/>
        <v/>
      </c>
      <c r="BP213" s="389"/>
      <c r="BQ213" s="397"/>
      <c r="BR213" s="419"/>
      <c r="BS213" s="419"/>
      <c r="BT213" s="419"/>
      <c r="BU213" s="432"/>
      <c r="BV213" s="419"/>
      <c r="BW213" s="419"/>
      <c r="BX213" s="419"/>
      <c r="BY213" s="389"/>
      <c r="BZ213" s="389"/>
      <c r="CA213" s="389"/>
      <c r="CB213" s="389"/>
      <c r="CC213" s="389"/>
      <c r="CD213" s="389"/>
      <c r="CE213" s="389"/>
      <c r="CF213" s="389"/>
      <c r="CG213" s="389"/>
      <c r="CH213" s="389"/>
      <c r="CI213" s="389"/>
      <c r="CJ213" s="422"/>
      <c r="CK213" s="422"/>
      <c r="CL213" s="422"/>
      <c r="CM213" s="422"/>
      <c r="CN213" s="422"/>
      <c r="CO213" s="422"/>
      <c r="CP213" s="422"/>
      <c r="CQ213" s="432"/>
      <c r="CR213" s="431" t="str">
        <f t="shared" si="95"/>
        <v/>
      </c>
      <c r="CS213" s="35" t="str">
        <f t="shared" si="96"/>
        <v>Direct or WHSE.</v>
      </c>
      <c r="CT213" s="411"/>
      <c r="CW213" s="153" t="str">
        <f t="shared" si="75"/>
        <v/>
      </c>
      <c r="CX213" s="153" t="str">
        <f t="shared" si="75"/>
        <v/>
      </c>
      <c r="CY213" s="153" t="str">
        <f t="shared" si="97"/>
        <v/>
      </c>
    </row>
    <row r="214" spans="1:103" ht="19.5" customHeight="1">
      <c r="A214" s="10">
        <v>192</v>
      </c>
      <c r="B214" s="373"/>
      <c r="C214" s="373"/>
      <c r="D214" s="396"/>
      <c r="E214" s="375"/>
      <c r="F214" s="373"/>
      <c r="G214" s="373"/>
      <c r="H214" s="376"/>
      <c r="I214" s="377"/>
      <c r="J214" s="378"/>
      <c r="K214" s="379"/>
      <c r="L214" s="374"/>
      <c r="M214" s="380" t="str">
        <f t="shared" ca="1" si="76"/>
        <v/>
      </c>
      <c r="N214" s="373"/>
      <c r="O214" s="381"/>
      <c r="P214" s="381"/>
      <c r="Q214" s="382"/>
      <c r="R214" s="381"/>
      <c r="S214" s="383"/>
      <c r="T214" s="384" t="str">
        <f t="shared" si="77"/>
        <v/>
      </c>
      <c r="U214" s="385"/>
      <c r="V214" s="384" t="str">
        <f t="shared" si="78"/>
        <v/>
      </c>
      <c r="W214" s="386"/>
      <c r="X214" s="386" t="str">
        <f t="shared" si="79"/>
        <v/>
      </c>
      <c r="Y214" s="386" t="str">
        <f t="shared" si="84"/>
        <v/>
      </c>
      <c r="Z214" s="386" t="str">
        <f t="shared" si="85"/>
        <v/>
      </c>
      <c r="AA214" s="387"/>
      <c r="AB214" s="386" t="str">
        <f t="shared" si="86"/>
        <v/>
      </c>
      <c r="AC214" s="386" t="str">
        <f t="shared" si="87"/>
        <v/>
      </c>
      <c r="AD214" s="386" t="str">
        <f t="shared" si="88"/>
        <v/>
      </c>
      <c r="AE214" s="386" t="str">
        <f t="shared" si="89"/>
        <v/>
      </c>
      <c r="AF214" s="386" t="str">
        <f t="shared" si="90"/>
        <v/>
      </c>
      <c r="AG214" s="386" t="str">
        <f t="shared" si="91"/>
        <v/>
      </c>
      <c r="AH214" s="386" t="str">
        <f t="shared" si="92"/>
        <v/>
      </c>
      <c r="AI214" s="386" t="str">
        <f t="shared" si="80"/>
        <v/>
      </c>
      <c r="AJ214" s="386" t="str">
        <f t="shared" si="81"/>
        <v/>
      </c>
      <c r="AK214" s="386" t="str">
        <f t="shared" si="82"/>
        <v/>
      </c>
      <c r="AL214" s="388"/>
      <c r="AM214" s="388"/>
      <c r="AN214" s="388"/>
      <c r="AO214" s="388"/>
      <c r="AP214" s="402" t="str">
        <f t="shared" si="93"/>
        <v/>
      </c>
      <c r="AQ214" s="388"/>
      <c r="AR214" s="388"/>
      <c r="AS214" s="388"/>
      <c r="AT214" s="388"/>
      <c r="AU214" s="402" t="str">
        <f t="shared" si="94"/>
        <v/>
      </c>
      <c r="AV214" s="389"/>
      <c r="AW214" s="381"/>
      <c r="AX214" s="381"/>
      <c r="AY214" s="373"/>
      <c r="AZ214" s="390"/>
      <c r="BA214" s="390"/>
      <c r="BB214" s="391"/>
      <c r="BC214" s="392"/>
      <c r="BD214" s="393"/>
      <c r="BE214" s="393"/>
      <c r="BF214" s="393"/>
      <c r="BG214" s="394"/>
      <c r="BH214" s="395"/>
      <c r="BI214" s="374"/>
      <c r="BJ214" s="374"/>
      <c r="BK214" s="374"/>
      <c r="BL214" s="389"/>
      <c r="BM214" s="397"/>
      <c r="BN214" s="389"/>
      <c r="BO214" s="419" t="str">
        <f t="shared" si="83"/>
        <v/>
      </c>
      <c r="BP214" s="389"/>
      <c r="BQ214" s="397"/>
      <c r="BR214" s="419"/>
      <c r="BS214" s="419"/>
      <c r="BT214" s="419"/>
      <c r="BU214" s="432"/>
      <c r="BV214" s="419"/>
      <c r="BW214" s="419"/>
      <c r="BX214" s="419"/>
      <c r="BY214" s="389"/>
      <c r="BZ214" s="389"/>
      <c r="CA214" s="389"/>
      <c r="CB214" s="389"/>
      <c r="CC214" s="389"/>
      <c r="CD214" s="389"/>
      <c r="CE214" s="389"/>
      <c r="CF214" s="389"/>
      <c r="CG214" s="389"/>
      <c r="CH214" s="389"/>
      <c r="CI214" s="389"/>
      <c r="CJ214" s="422"/>
      <c r="CK214" s="422"/>
      <c r="CL214" s="422"/>
      <c r="CM214" s="422"/>
      <c r="CN214" s="422"/>
      <c r="CO214" s="422"/>
      <c r="CP214" s="422"/>
      <c r="CQ214" s="432"/>
      <c r="CR214" s="431" t="str">
        <f t="shared" si="95"/>
        <v/>
      </c>
      <c r="CS214" s="35" t="str">
        <f t="shared" si="96"/>
        <v>Direct or WHSE.</v>
      </c>
      <c r="CT214" s="411"/>
      <c r="CW214" s="153" t="str">
        <f t="shared" si="75"/>
        <v/>
      </c>
      <c r="CX214" s="153" t="str">
        <f t="shared" si="75"/>
        <v/>
      </c>
      <c r="CY214" s="153" t="str">
        <f t="shared" si="97"/>
        <v/>
      </c>
    </row>
    <row r="215" spans="1:103" ht="19.5" customHeight="1">
      <c r="A215" s="10">
        <v>193</v>
      </c>
      <c r="B215" s="373"/>
      <c r="C215" s="373"/>
      <c r="D215" s="396"/>
      <c r="E215" s="375"/>
      <c r="F215" s="373"/>
      <c r="G215" s="373"/>
      <c r="H215" s="376"/>
      <c r="I215" s="377"/>
      <c r="J215" s="378"/>
      <c r="K215" s="379"/>
      <c r="L215" s="374"/>
      <c r="M215" s="380" t="str">
        <f t="shared" ca="1" si="76"/>
        <v/>
      </c>
      <c r="N215" s="373"/>
      <c r="O215" s="381"/>
      <c r="P215" s="381"/>
      <c r="Q215" s="382"/>
      <c r="R215" s="381"/>
      <c r="S215" s="383"/>
      <c r="T215" s="384" t="str">
        <f t="shared" si="77"/>
        <v/>
      </c>
      <c r="U215" s="385"/>
      <c r="V215" s="384" t="str">
        <f t="shared" si="78"/>
        <v/>
      </c>
      <c r="W215" s="386"/>
      <c r="X215" s="386" t="str">
        <f t="shared" si="79"/>
        <v/>
      </c>
      <c r="Y215" s="386" t="str">
        <f t="shared" si="84"/>
        <v/>
      </c>
      <c r="Z215" s="386" t="str">
        <f t="shared" si="85"/>
        <v/>
      </c>
      <c r="AA215" s="387"/>
      <c r="AB215" s="386" t="str">
        <f t="shared" si="86"/>
        <v/>
      </c>
      <c r="AC215" s="386" t="str">
        <f t="shared" si="87"/>
        <v/>
      </c>
      <c r="AD215" s="386" t="str">
        <f t="shared" si="88"/>
        <v/>
      </c>
      <c r="AE215" s="386" t="str">
        <f t="shared" si="89"/>
        <v/>
      </c>
      <c r="AF215" s="386" t="str">
        <f t="shared" si="90"/>
        <v/>
      </c>
      <c r="AG215" s="386" t="str">
        <f t="shared" si="91"/>
        <v/>
      </c>
      <c r="AH215" s="386" t="str">
        <f t="shared" si="92"/>
        <v/>
      </c>
      <c r="AI215" s="386" t="str">
        <f t="shared" si="80"/>
        <v/>
      </c>
      <c r="AJ215" s="386" t="str">
        <f t="shared" si="81"/>
        <v/>
      </c>
      <c r="AK215" s="386" t="str">
        <f t="shared" si="82"/>
        <v/>
      </c>
      <c r="AL215" s="388"/>
      <c r="AM215" s="388"/>
      <c r="AN215" s="388"/>
      <c r="AO215" s="388"/>
      <c r="AP215" s="402" t="str">
        <f t="shared" si="93"/>
        <v/>
      </c>
      <c r="AQ215" s="388"/>
      <c r="AR215" s="388"/>
      <c r="AS215" s="388"/>
      <c r="AT215" s="388"/>
      <c r="AU215" s="402" t="str">
        <f t="shared" si="94"/>
        <v/>
      </c>
      <c r="AV215" s="389"/>
      <c r="AW215" s="381"/>
      <c r="AX215" s="381"/>
      <c r="AY215" s="373"/>
      <c r="AZ215" s="390"/>
      <c r="BA215" s="390"/>
      <c r="BB215" s="391"/>
      <c r="BC215" s="392"/>
      <c r="BD215" s="393"/>
      <c r="BE215" s="393"/>
      <c r="BF215" s="393"/>
      <c r="BG215" s="394"/>
      <c r="BH215" s="395"/>
      <c r="BI215" s="374"/>
      <c r="BJ215" s="374"/>
      <c r="BK215" s="374"/>
      <c r="BL215" s="389"/>
      <c r="BM215" s="397"/>
      <c r="BN215" s="389"/>
      <c r="BO215" s="419" t="str">
        <f t="shared" si="83"/>
        <v/>
      </c>
      <c r="BP215" s="389"/>
      <c r="BQ215" s="397"/>
      <c r="BR215" s="419"/>
      <c r="BS215" s="419"/>
      <c r="BT215" s="419"/>
      <c r="BU215" s="432"/>
      <c r="BV215" s="419"/>
      <c r="BW215" s="419"/>
      <c r="BX215" s="419"/>
      <c r="BY215" s="389"/>
      <c r="BZ215" s="389"/>
      <c r="CA215" s="389"/>
      <c r="CB215" s="389"/>
      <c r="CC215" s="389"/>
      <c r="CD215" s="389"/>
      <c r="CE215" s="389"/>
      <c r="CF215" s="389"/>
      <c r="CG215" s="389"/>
      <c r="CH215" s="389"/>
      <c r="CI215" s="389"/>
      <c r="CJ215" s="422"/>
      <c r="CK215" s="422"/>
      <c r="CL215" s="422"/>
      <c r="CM215" s="422"/>
      <c r="CN215" s="422"/>
      <c r="CO215" s="422"/>
      <c r="CP215" s="422"/>
      <c r="CQ215" s="432"/>
      <c r="CR215" s="431" t="str">
        <f t="shared" si="95"/>
        <v/>
      </c>
      <c r="CS215" s="35" t="str">
        <f t="shared" si="96"/>
        <v>Direct or WHSE.</v>
      </c>
      <c r="CT215" s="411"/>
      <c r="CW215" s="153" t="str">
        <f t="shared" ref="CW215:CX272" si="98">IF(W215="","",MOD(W215,1))</f>
        <v/>
      </c>
      <c r="CX215" s="153" t="str">
        <f t="shared" si="98"/>
        <v/>
      </c>
      <c r="CY215" s="153" t="str">
        <f t="shared" si="97"/>
        <v/>
      </c>
    </row>
    <row r="216" spans="1:103" ht="19.5" customHeight="1">
      <c r="A216" s="10">
        <v>194</v>
      </c>
      <c r="B216" s="373"/>
      <c r="C216" s="373"/>
      <c r="D216" s="396"/>
      <c r="E216" s="375"/>
      <c r="F216" s="373"/>
      <c r="G216" s="373"/>
      <c r="H216" s="376"/>
      <c r="I216" s="377"/>
      <c r="J216" s="378"/>
      <c r="K216" s="379"/>
      <c r="L216" s="374"/>
      <c r="M216" s="380" t="str">
        <f t="shared" ca="1" si="76"/>
        <v/>
      </c>
      <c r="N216" s="373"/>
      <c r="O216" s="381"/>
      <c r="P216" s="381"/>
      <c r="Q216" s="382"/>
      <c r="R216" s="381"/>
      <c r="S216" s="383"/>
      <c r="T216" s="384" t="str">
        <f t="shared" si="77"/>
        <v/>
      </c>
      <c r="U216" s="385"/>
      <c r="V216" s="384" t="str">
        <f t="shared" si="78"/>
        <v/>
      </c>
      <c r="W216" s="386"/>
      <c r="X216" s="386" t="str">
        <f t="shared" si="79"/>
        <v/>
      </c>
      <c r="Y216" s="386" t="str">
        <f t="shared" si="84"/>
        <v/>
      </c>
      <c r="Z216" s="386" t="str">
        <f t="shared" si="85"/>
        <v/>
      </c>
      <c r="AA216" s="387"/>
      <c r="AB216" s="386" t="str">
        <f t="shared" si="86"/>
        <v/>
      </c>
      <c r="AC216" s="386" t="str">
        <f t="shared" si="87"/>
        <v/>
      </c>
      <c r="AD216" s="386" t="str">
        <f t="shared" si="88"/>
        <v/>
      </c>
      <c r="AE216" s="386" t="str">
        <f t="shared" si="89"/>
        <v/>
      </c>
      <c r="AF216" s="386" t="str">
        <f t="shared" si="90"/>
        <v/>
      </c>
      <c r="AG216" s="386" t="str">
        <f t="shared" si="91"/>
        <v/>
      </c>
      <c r="AH216" s="386" t="str">
        <f t="shared" si="92"/>
        <v/>
      </c>
      <c r="AI216" s="386" t="str">
        <f t="shared" si="80"/>
        <v/>
      </c>
      <c r="AJ216" s="386" t="str">
        <f t="shared" si="81"/>
        <v/>
      </c>
      <c r="AK216" s="386" t="str">
        <f t="shared" si="82"/>
        <v/>
      </c>
      <c r="AL216" s="388"/>
      <c r="AM216" s="388"/>
      <c r="AN216" s="388"/>
      <c r="AO216" s="388"/>
      <c r="AP216" s="402" t="str">
        <f t="shared" si="93"/>
        <v/>
      </c>
      <c r="AQ216" s="388"/>
      <c r="AR216" s="388"/>
      <c r="AS216" s="388"/>
      <c r="AT216" s="388"/>
      <c r="AU216" s="402" t="str">
        <f t="shared" si="94"/>
        <v/>
      </c>
      <c r="AV216" s="389"/>
      <c r="AW216" s="381"/>
      <c r="AX216" s="381"/>
      <c r="AY216" s="373"/>
      <c r="AZ216" s="390"/>
      <c r="BA216" s="390"/>
      <c r="BB216" s="391"/>
      <c r="BC216" s="392"/>
      <c r="BD216" s="393"/>
      <c r="BE216" s="393"/>
      <c r="BF216" s="393"/>
      <c r="BG216" s="394"/>
      <c r="BH216" s="395"/>
      <c r="BI216" s="374"/>
      <c r="BJ216" s="374"/>
      <c r="BK216" s="374"/>
      <c r="BL216" s="389"/>
      <c r="BM216" s="397"/>
      <c r="BN216" s="389"/>
      <c r="BO216" s="419" t="str">
        <f t="shared" si="83"/>
        <v/>
      </c>
      <c r="BP216" s="389"/>
      <c r="BQ216" s="397"/>
      <c r="BR216" s="419"/>
      <c r="BS216" s="419"/>
      <c r="BT216" s="419"/>
      <c r="BU216" s="432"/>
      <c r="BV216" s="419"/>
      <c r="BW216" s="419"/>
      <c r="BX216" s="419"/>
      <c r="BY216" s="389"/>
      <c r="BZ216" s="389"/>
      <c r="CA216" s="389"/>
      <c r="CB216" s="389"/>
      <c r="CC216" s="389"/>
      <c r="CD216" s="389"/>
      <c r="CE216" s="389"/>
      <c r="CF216" s="389"/>
      <c r="CG216" s="389"/>
      <c r="CH216" s="389"/>
      <c r="CI216" s="389"/>
      <c r="CJ216" s="422"/>
      <c r="CK216" s="422"/>
      <c r="CL216" s="422"/>
      <c r="CM216" s="422"/>
      <c r="CN216" s="422"/>
      <c r="CO216" s="422"/>
      <c r="CP216" s="422"/>
      <c r="CQ216" s="432"/>
      <c r="CR216" s="431" t="str">
        <f t="shared" si="95"/>
        <v/>
      </c>
      <c r="CS216" s="35" t="str">
        <f t="shared" si="96"/>
        <v>Direct or WHSE.</v>
      </c>
      <c r="CT216" s="411"/>
      <c r="CW216" s="153" t="str">
        <f t="shared" si="98"/>
        <v/>
      </c>
      <c r="CX216" s="153" t="str">
        <f t="shared" si="98"/>
        <v/>
      </c>
      <c r="CY216" s="153" t="str">
        <f t="shared" si="97"/>
        <v/>
      </c>
    </row>
    <row r="217" spans="1:103" ht="19.5" customHeight="1">
      <c r="A217" s="10">
        <v>195</v>
      </c>
      <c r="B217" s="373"/>
      <c r="C217" s="373"/>
      <c r="D217" s="396"/>
      <c r="E217" s="375"/>
      <c r="F217" s="373"/>
      <c r="G217" s="373"/>
      <c r="H217" s="376"/>
      <c r="I217" s="377"/>
      <c r="J217" s="378"/>
      <c r="K217" s="379"/>
      <c r="L217" s="374"/>
      <c r="M217" s="380" t="str">
        <f t="shared" ref="M217:M272" ca="1" si="99">IF(L217="","",TODAY()+L217+14)</f>
        <v/>
      </c>
      <c r="N217" s="373"/>
      <c r="O217" s="381"/>
      <c r="P217" s="381"/>
      <c r="Q217" s="382"/>
      <c r="R217" s="381"/>
      <c r="S217" s="383"/>
      <c r="T217" s="384" t="str">
        <f t="shared" ref="T217:T272" si="100">IF(S217="","",IF(AND(IF($N$5="C",1,0),IF(C217&lt;&gt;"C",1,0))=1,S217+$U$8,S217))</f>
        <v/>
      </c>
      <c r="U217" s="385"/>
      <c r="V217" s="384" t="str">
        <f t="shared" ref="V217:V272" si="101">IF(U217="","",IF(AND(IF($N$5="C",1,0),IF(C217&lt;&gt;"C",1,0))=1,U217+$U$8,U217))</f>
        <v/>
      </c>
      <c r="W217" s="386"/>
      <c r="X217" s="386" t="str">
        <f t="shared" ref="X217:X272" si="102">IF(W217="","",W217)</f>
        <v/>
      </c>
      <c r="Y217" s="386" t="str">
        <f t="shared" si="84"/>
        <v/>
      </c>
      <c r="Z217" s="386" t="str">
        <f t="shared" si="85"/>
        <v/>
      </c>
      <c r="AA217" s="387"/>
      <c r="AB217" s="386" t="str">
        <f t="shared" si="86"/>
        <v/>
      </c>
      <c r="AC217" s="386" t="str">
        <f t="shared" si="87"/>
        <v/>
      </c>
      <c r="AD217" s="386" t="str">
        <f t="shared" si="88"/>
        <v/>
      </c>
      <c r="AE217" s="386" t="str">
        <f t="shared" si="89"/>
        <v/>
      </c>
      <c r="AF217" s="386" t="str">
        <f t="shared" si="90"/>
        <v/>
      </c>
      <c r="AG217" s="386" t="str">
        <f t="shared" si="91"/>
        <v/>
      </c>
      <c r="AH217" s="386" t="str">
        <f t="shared" si="92"/>
        <v/>
      </c>
      <c r="AI217" s="386" t="str">
        <f t="shared" ref="AI217:AI272" si="103">IF(W217="","",W217)</f>
        <v/>
      </c>
      <c r="AJ217" s="386" t="str">
        <f t="shared" ref="AJ217:AJ272" si="104">IF(W217="","",W217)</f>
        <v/>
      </c>
      <c r="AK217" s="386" t="str">
        <f t="shared" ref="AK217:AK272" si="105">IF(Z217="","",Z217)</f>
        <v/>
      </c>
      <c r="AL217" s="388"/>
      <c r="AM217" s="388"/>
      <c r="AN217" s="388"/>
      <c r="AO217" s="388"/>
      <c r="AP217" s="402" t="str">
        <f t="shared" si="93"/>
        <v/>
      </c>
      <c r="AQ217" s="388"/>
      <c r="AR217" s="388"/>
      <c r="AS217" s="388"/>
      <c r="AT217" s="388"/>
      <c r="AU217" s="402" t="str">
        <f t="shared" si="94"/>
        <v/>
      </c>
      <c r="AV217" s="389"/>
      <c r="AW217" s="381"/>
      <c r="AX217" s="381"/>
      <c r="AY217" s="373"/>
      <c r="AZ217" s="390"/>
      <c r="BA217" s="390"/>
      <c r="BB217" s="391"/>
      <c r="BC217" s="392"/>
      <c r="BD217" s="393"/>
      <c r="BE217" s="393"/>
      <c r="BF217" s="393"/>
      <c r="BG217" s="394"/>
      <c r="BH217" s="395"/>
      <c r="BI217" s="374"/>
      <c r="BJ217" s="374"/>
      <c r="BK217" s="374"/>
      <c r="BL217" s="389"/>
      <c r="BM217" s="397"/>
      <c r="BN217" s="389"/>
      <c r="BO217" s="419" t="str">
        <f t="shared" ref="BO217:BO272" si="106">IF(I217="","",I217)</f>
        <v/>
      </c>
      <c r="BP217" s="389"/>
      <c r="BQ217" s="397"/>
      <c r="BR217" s="419"/>
      <c r="BS217" s="419"/>
      <c r="BT217" s="419"/>
      <c r="BU217" s="432"/>
      <c r="BV217" s="419"/>
      <c r="BW217" s="419"/>
      <c r="BX217" s="419"/>
      <c r="BY217" s="389"/>
      <c r="BZ217" s="389"/>
      <c r="CA217" s="389"/>
      <c r="CB217" s="389"/>
      <c r="CC217" s="389"/>
      <c r="CD217" s="389"/>
      <c r="CE217" s="389"/>
      <c r="CF217" s="389"/>
      <c r="CG217" s="389"/>
      <c r="CH217" s="389"/>
      <c r="CI217" s="389"/>
      <c r="CJ217" s="422"/>
      <c r="CK217" s="422"/>
      <c r="CL217" s="422"/>
      <c r="CM217" s="422"/>
      <c r="CN217" s="422"/>
      <c r="CO217" s="422"/>
      <c r="CP217" s="422"/>
      <c r="CQ217" s="432"/>
      <c r="CR217" s="431" t="str">
        <f t="shared" si="95"/>
        <v/>
      </c>
      <c r="CS217" s="35" t="str">
        <f t="shared" si="96"/>
        <v>Direct or WHSE.</v>
      </c>
      <c r="CT217" s="411"/>
      <c r="CW217" s="153" t="str">
        <f t="shared" si="98"/>
        <v/>
      </c>
      <c r="CX217" s="153" t="str">
        <f t="shared" si="98"/>
        <v/>
      </c>
      <c r="CY217" s="153" t="str">
        <f t="shared" si="97"/>
        <v/>
      </c>
    </row>
    <row r="218" spans="1:103" ht="19.5" customHeight="1">
      <c r="A218" s="10">
        <v>196</v>
      </c>
      <c r="B218" s="373"/>
      <c r="C218" s="373"/>
      <c r="D218" s="396"/>
      <c r="E218" s="375"/>
      <c r="F218" s="373"/>
      <c r="G218" s="373"/>
      <c r="H218" s="376"/>
      <c r="I218" s="377"/>
      <c r="J218" s="378"/>
      <c r="K218" s="379"/>
      <c r="L218" s="374"/>
      <c r="M218" s="380" t="str">
        <f t="shared" ca="1" si="99"/>
        <v/>
      </c>
      <c r="N218" s="373"/>
      <c r="O218" s="381"/>
      <c r="P218" s="381"/>
      <c r="Q218" s="382"/>
      <c r="R218" s="381"/>
      <c r="S218" s="383"/>
      <c r="T218" s="384" t="str">
        <f t="shared" si="100"/>
        <v/>
      </c>
      <c r="U218" s="385"/>
      <c r="V218" s="384" t="str">
        <f t="shared" si="101"/>
        <v/>
      </c>
      <c r="W218" s="386"/>
      <c r="X218" s="386" t="str">
        <f t="shared" si="102"/>
        <v/>
      </c>
      <c r="Y218" s="386" t="str">
        <f t="shared" si="84"/>
        <v/>
      </c>
      <c r="Z218" s="386" t="str">
        <f t="shared" si="85"/>
        <v/>
      </c>
      <c r="AA218" s="387"/>
      <c r="AB218" s="386" t="str">
        <f t="shared" si="86"/>
        <v/>
      </c>
      <c r="AC218" s="386" t="str">
        <f t="shared" si="87"/>
        <v/>
      </c>
      <c r="AD218" s="386" t="str">
        <f t="shared" si="88"/>
        <v/>
      </c>
      <c r="AE218" s="386" t="str">
        <f t="shared" si="89"/>
        <v/>
      </c>
      <c r="AF218" s="386" t="str">
        <f t="shared" si="90"/>
        <v/>
      </c>
      <c r="AG218" s="386" t="str">
        <f t="shared" si="91"/>
        <v/>
      </c>
      <c r="AH218" s="386" t="str">
        <f t="shared" si="92"/>
        <v/>
      </c>
      <c r="AI218" s="386" t="str">
        <f t="shared" si="103"/>
        <v/>
      </c>
      <c r="AJ218" s="386" t="str">
        <f t="shared" si="104"/>
        <v/>
      </c>
      <c r="AK218" s="386" t="str">
        <f t="shared" si="105"/>
        <v/>
      </c>
      <c r="AL218" s="388"/>
      <c r="AM218" s="388"/>
      <c r="AN218" s="388"/>
      <c r="AO218" s="388"/>
      <c r="AP218" s="402" t="str">
        <f t="shared" si="93"/>
        <v/>
      </c>
      <c r="AQ218" s="388"/>
      <c r="AR218" s="388"/>
      <c r="AS218" s="388"/>
      <c r="AT218" s="388"/>
      <c r="AU218" s="402" t="str">
        <f t="shared" si="94"/>
        <v/>
      </c>
      <c r="AV218" s="389"/>
      <c r="AW218" s="381"/>
      <c r="AX218" s="381"/>
      <c r="AY218" s="373"/>
      <c r="AZ218" s="390"/>
      <c r="BA218" s="390"/>
      <c r="BB218" s="391"/>
      <c r="BC218" s="392"/>
      <c r="BD218" s="393"/>
      <c r="BE218" s="393"/>
      <c r="BF218" s="393"/>
      <c r="BG218" s="394"/>
      <c r="BH218" s="395"/>
      <c r="BI218" s="374"/>
      <c r="BJ218" s="374"/>
      <c r="BK218" s="374"/>
      <c r="BL218" s="389"/>
      <c r="BM218" s="397"/>
      <c r="BN218" s="389"/>
      <c r="BO218" s="419" t="str">
        <f t="shared" si="106"/>
        <v/>
      </c>
      <c r="BP218" s="389"/>
      <c r="BQ218" s="397"/>
      <c r="BR218" s="419"/>
      <c r="BS218" s="419"/>
      <c r="BT218" s="419"/>
      <c r="BU218" s="432"/>
      <c r="BV218" s="419"/>
      <c r="BW218" s="419"/>
      <c r="BX218" s="419"/>
      <c r="BY218" s="389"/>
      <c r="BZ218" s="389"/>
      <c r="CA218" s="389"/>
      <c r="CB218" s="389"/>
      <c r="CC218" s="389"/>
      <c r="CD218" s="389"/>
      <c r="CE218" s="389"/>
      <c r="CF218" s="389"/>
      <c r="CG218" s="389"/>
      <c r="CH218" s="389"/>
      <c r="CI218" s="389"/>
      <c r="CJ218" s="422"/>
      <c r="CK218" s="422"/>
      <c r="CL218" s="422"/>
      <c r="CM218" s="422"/>
      <c r="CN218" s="422"/>
      <c r="CO218" s="422"/>
      <c r="CP218" s="422"/>
      <c r="CQ218" s="432"/>
      <c r="CR218" s="431" t="str">
        <f t="shared" si="95"/>
        <v/>
      </c>
      <c r="CS218" s="35" t="str">
        <f t="shared" si="96"/>
        <v>Direct or WHSE.</v>
      </c>
      <c r="CT218" s="411"/>
      <c r="CW218" s="153" t="str">
        <f t="shared" si="98"/>
        <v/>
      </c>
      <c r="CX218" s="153" t="str">
        <f t="shared" si="98"/>
        <v/>
      </c>
      <c r="CY218" s="153" t="str">
        <f t="shared" si="97"/>
        <v/>
      </c>
    </row>
    <row r="219" spans="1:103" ht="19.5" customHeight="1">
      <c r="A219" s="10">
        <v>197</v>
      </c>
      <c r="B219" s="373"/>
      <c r="C219" s="373"/>
      <c r="D219" s="396"/>
      <c r="E219" s="375"/>
      <c r="F219" s="373"/>
      <c r="G219" s="373"/>
      <c r="H219" s="376"/>
      <c r="I219" s="377"/>
      <c r="J219" s="378"/>
      <c r="K219" s="379"/>
      <c r="L219" s="374"/>
      <c r="M219" s="380" t="str">
        <f t="shared" ca="1" si="99"/>
        <v/>
      </c>
      <c r="N219" s="373"/>
      <c r="O219" s="381"/>
      <c r="P219" s="381"/>
      <c r="Q219" s="382"/>
      <c r="R219" s="381"/>
      <c r="S219" s="383"/>
      <c r="T219" s="384" t="str">
        <f t="shared" si="100"/>
        <v/>
      </c>
      <c r="U219" s="385"/>
      <c r="V219" s="384" t="str">
        <f t="shared" si="101"/>
        <v/>
      </c>
      <c r="W219" s="386"/>
      <c r="X219" s="386" t="str">
        <f t="shared" si="102"/>
        <v/>
      </c>
      <c r="Y219" s="386" t="str">
        <f t="shared" si="84"/>
        <v/>
      </c>
      <c r="Z219" s="386" t="str">
        <f t="shared" si="85"/>
        <v/>
      </c>
      <c r="AA219" s="387"/>
      <c r="AB219" s="386" t="str">
        <f t="shared" si="86"/>
        <v/>
      </c>
      <c r="AC219" s="386" t="str">
        <f t="shared" si="87"/>
        <v/>
      </c>
      <c r="AD219" s="386" t="str">
        <f t="shared" si="88"/>
        <v/>
      </c>
      <c r="AE219" s="386" t="str">
        <f t="shared" si="89"/>
        <v/>
      </c>
      <c r="AF219" s="386" t="str">
        <f t="shared" si="90"/>
        <v/>
      </c>
      <c r="AG219" s="386" t="str">
        <f t="shared" si="91"/>
        <v/>
      </c>
      <c r="AH219" s="386" t="str">
        <f t="shared" si="92"/>
        <v/>
      </c>
      <c r="AI219" s="386" t="str">
        <f t="shared" si="103"/>
        <v/>
      </c>
      <c r="AJ219" s="386" t="str">
        <f t="shared" si="104"/>
        <v/>
      </c>
      <c r="AK219" s="386" t="str">
        <f t="shared" si="105"/>
        <v/>
      </c>
      <c r="AL219" s="388"/>
      <c r="AM219" s="388"/>
      <c r="AN219" s="388"/>
      <c r="AO219" s="388"/>
      <c r="AP219" s="402" t="str">
        <f t="shared" si="93"/>
        <v/>
      </c>
      <c r="AQ219" s="388"/>
      <c r="AR219" s="388"/>
      <c r="AS219" s="388"/>
      <c r="AT219" s="388"/>
      <c r="AU219" s="402" t="str">
        <f t="shared" si="94"/>
        <v/>
      </c>
      <c r="AV219" s="389"/>
      <c r="AW219" s="381"/>
      <c r="AX219" s="381"/>
      <c r="AY219" s="373"/>
      <c r="AZ219" s="390"/>
      <c r="BA219" s="390"/>
      <c r="BB219" s="391"/>
      <c r="BC219" s="392"/>
      <c r="BD219" s="393"/>
      <c r="BE219" s="393"/>
      <c r="BF219" s="393"/>
      <c r="BG219" s="394"/>
      <c r="BH219" s="395"/>
      <c r="BI219" s="374"/>
      <c r="BJ219" s="374"/>
      <c r="BK219" s="374"/>
      <c r="BL219" s="389"/>
      <c r="BM219" s="397"/>
      <c r="BN219" s="389"/>
      <c r="BO219" s="419" t="str">
        <f t="shared" si="106"/>
        <v/>
      </c>
      <c r="BP219" s="389"/>
      <c r="BQ219" s="397"/>
      <c r="BR219" s="419"/>
      <c r="BS219" s="419"/>
      <c r="BT219" s="419"/>
      <c r="BU219" s="432"/>
      <c r="BV219" s="419"/>
      <c r="BW219" s="419"/>
      <c r="BX219" s="419"/>
      <c r="BY219" s="389"/>
      <c r="BZ219" s="389"/>
      <c r="CA219" s="389"/>
      <c r="CB219" s="389"/>
      <c r="CC219" s="389"/>
      <c r="CD219" s="389"/>
      <c r="CE219" s="389"/>
      <c r="CF219" s="389"/>
      <c r="CG219" s="389"/>
      <c r="CH219" s="389"/>
      <c r="CI219" s="389"/>
      <c r="CJ219" s="422"/>
      <c r="CK219" s="422"/>
      <c r="CL219" s="422"/>
      <c r="CM219" s="422"/>
      <c r="CN219" s="422"/>
      <c r="CO219" s="422"/>
      <c r="CP219" s="422"/>
      <c r="CQ219" s="432"/>
      <c r="CR219" s="431" t="str">
        <f t="shared" si="95"/>
        <v/>
      </c>
      <c r="CS219" s="35" t="str">
        <f t="shared" si="96"/>
        <v>Direct or WHSE.</v>
      </c>
      <c r="CT219" s="411"/>
      <c r="CW219" s="153" t="str">
        <f t="shared" si="98"/>
        <v/>
      </c>
      <c r="CX219" s="153" t="str">
        <f t="shared" si="98"/>
        <v/>
      </c>
      <c r="CY219" s="153" t="str">
        <f t="shared" si="97"/>
        <v/>
      </c>
    </row>
    <row r="220" spans="1:103" ht="19.5" customHeight="1">
      <c r="A220" s="10">
        <v>198</v>
      </c>
      <c r="B220" s="373"/>
      <c r="C220" s="373"/>
      <c r="D220" s="396"/>
      <c r="E220" s="375"/>
      <c r="F220" s="373"/>
      <c r="G220" s="373"/>
      <c r="H220" s="376"/>
      <c r="I220" s="377"/>
      <c r="J220" s="378"/>
      <c r="K220" s="379"/>
      <c r="L220" s="374"/>
      <c r="M220" s="380" t="str">
        <f t="shared" ca="1" si="99"/>
        <v/>
      </c>
      <c r="N220" s="373"/>
      <c r="O220" s="381"/>
      <c r="P220" s="381"/>
      <c r="Q220" s="382"/>
      <c r="R220" s="381"/>
      <c r="S220" s="383"/>
      <c r="T220" s="384" t="str">
        <f t="shared" si="100"/>
        <v/>
      </c>
      <c r="U220" s="385"/>
      <c r="V220" s="384" t="str">
        <f t="shared" si="101"/>
        <v/>
      </c>
      <c r="W220" s="386"/>
      <c r="X220" s="386" t="str">
        <f t="shared" si="102"/>
        <v/>
      </c>
      <c r="Y220" s="386" t="str">
        <f t="shared" si="84"/>
        <v/>
      </c>
      <c r="Z220" s="386" t="str">
        <f t="shared" si="85"/>
        <v/>
      </c>
      <c r="AA220" s="387"/>
      <c r="AB220" s="386" t="str">
        <f t="shared" si="86"/>
        <v/>
      </c>
      <c r="AC220" s="386" t="str">
        <f t="shared" si="87"/>
        <v/>
      </c>
      <c r="AD220" s="386" t="str">
        <f t="shared" si="88"/>
        <v/>
      </c>
      <c r="AE220" s="386" t="str">
        <f t="shared" si="89"/>
        <v/>
      </c>
      <c r="AF220" s="386" t="str">
        <f t="shared" si="90"/>
        <v/>
      </c>
      <c r="AG220" s="386" t="str">
        <f t="shared" si="91"/>
        <v/>
      </c>
      <c r="AH220" s="386" t="str">
        <f t="shared" si="92"/>
        <v/>
      </c>
      <c r="AI220" s="386" t="str">
        <f t="shared" si="103"/>
        <v/>
      </c>
      <c r="AJ220" s="386" t="str">
        <f t="shared" si="104"/>
        <v/>
      </c>
      <c r="AK220" s="386" t="str">
        <f t="shared" si="105"/>
        <v/>
      </c>
      <c r="AL220" s="388"/>
      <c r="AM220" s="388"/>
      <c r="AN220" s="388"/>
      <c r="AO220" s="388"/>
      <c r="AP220" s="402" t="str">
        <f t="shared" si="93"/>
        <v/>
      </c>
      <c r="AQ220" s="388"/>
      <c r="AR220" s="388"/>
      <c r="AS220" s="388"/>
      <c r="AT220" s="388"/>
      <c r="AU220" s="402" t="str">
        <f t="shared" si="94"/>
        <v/>
      </c>
      <c r="AV220" s="389"/>
      <c r="AW220" s="381"/>
      <c r="AX220" s="381"/>
      <c r="AY220" s="373"/>
      <c r="AZ220" s="390"/>
      <c r="BA220" s="390"/>
      <c r="BB220" s="391"/>
      <c r="BC220" s="392"/>
      <c r="BD220" s="393"/>
      <c r="BE220" s="393"/>
      <c r="BF220" s="393"/>
      <c r="BG220" s="394"/>
      <c r="BH220" s="395"/>
      <c r="BI220" s="374"/>
      <c r="BJ220" s="374"/>
      <c r="BK220" s="374"/>
      <c r="BL220" s="389"/>
      <c r="BM220" s="397"/>
      <c r="BN220" s="389"/>
      <c r="BO220" s="419" t="str">
        <f t="shared" si="106"/>
        <v/>
      </c>
      <c r="BP220" s="389"/>
      <c r="BQ220" s="397"/>
      <c r="BR220" s="419"/>
      <c r="BS220" s="419"/>
      <c r="BT220" s="419"/>
      <c r="BU220" s="432"/>
      <c r="BV220" s="419"/>
      <c r="BW220" s="419"/>
      <c r="BX220" s="419"/>
      <c r="BY220" s="389"/>
      <c r="BZ220" s="389"/>
      <c r="CA220" s="389"/>
      <c r="CB220" s="389"/>
      <c r="CC220" s="389"/>
      <c r="CD220" s="389"/>
      <c r="CE220" s="389"/>
      <c r="CF220" s="389"/>
      <c r="CG220" s="389"/>
      <c r="CH220" s="389"/>
      <c r="CI220" s="389"/>
      <c r="CJ220" s="422"/>
      <c r="CK220" s="422"/>
      <c r="CL220" s="422"/>
      <c r="CM220" s="422"/>
      <c r="CN220" s="422"/>
      <c r="CO220" s="422"/>
      <c r="CP220" s="422"/>
      <c r="CQ220" s="432"/>
      <c r="CR220" s="431" t="str">
        <f t="shared" si="95"/>
        <v/>
      </c>
      <c r="CS220" s="35" t="str">
        <f t="shared" si="96"/>
        <v>Direct or WHSE.</v>
      </c>
      <c r="CT220" s="411"/>
      <c r="CW220" s="153" t="str">
        <f t="shared" si="98"/>
        <v/>
      </c>
      <c r="CX220" s="153" t="str">
        <f t="shared" si="98"/>
        <v/>
      </c>
      <c r="CY220" s="153" t="str">
        <f t="shared" si="97"/>
        <v/>
      </c>
    </row>
    <row r="221" spans="1:103" ht="19.5" customHeight="1">
      <c r="A221" s="10">
        <v>199</v>
      </c>
      <c r="B221" s="373"/>
      <c r="C221" s="373"/>
      <c r="D221" s="396"/>
      <c r="E221" s="375"/>
      <c r="F221" s="373"/>
      <c r="G221" s="373"/>
      <c r="H221" s="376"/>
      <c r="I221" s="377"/>
      <c r="J221" s="378"/>
      <c r="K221" s="379"/>
      <c r="L221" s="374"/>
      <c r="M221" s="380" t="str">
        <f t="shared" ca="1" si="99"/>
        <v/>
      </c>
      <c r="N221" s="373"/>
      <c r="O221" s="381"/>
      <c r="P221" s="381"/>
      <c r="Q221" s="382"/>
      <c r="R221" s="381"/>
      <c r="S221" s="383"/>
      <c r="T221" s="384" t="str">
        <f t="shared" si="100"/>
        <v/>
      </c>
      <c r="U221" s="385"/>
      <c r="V221" s="384" t="str">
        <f t="shared" si="101"/>
        <v/>
      </c>
      <c r="W221" s="386"/>
      <c r="X221" s="386" t="str">
        <f t="shared" si="102"/>
        <v/>
      </c>
      <c r="Y221" s="386" t="str">
        <f t="shared" si="84"/>
        <v/>
      </c>
      <c r="Z221" s="386" t="str">
        <f t="shared" si="85"/>
        <v/>
      </c>
      <c r="AA221" s="387"/>
      <c r="AB221" s="386" t="str">
        <f t="shared" si="86"/>
        <v/>
      </c>
      <c r="AC221" s="386" t="str">
        <f t="shared" si="87"/>
        <v/>
      </c>
      <c r="AD221" s="386" t="str">
        <f t="shared" si="88"/>
        <v/>
      </c>
      <c r="AE221" s="386" t="str">
        <f t="shared" si="89"/>
        <v/>
      </c>
      <c r="AF221" s="386" t="str">
        <f t="shared" si="90"/>
        <v/>
      </c>
      <c r="AG221" s="386" t="str">
        <f t="shared" si="91"/>
        <v/>
      </c>
      <c r="AH221" s="386" t="str">
        <f t="shared" si="92"/>
        <v/>
      </c>
      <c r="AI221" s="386" t="str">
        <f t="shared" si="103"/>
        <v/>
      </c>
      <c r="AJ221" s="386" t="str">
        <f t="shared" si="104"/>
        <v/>
      </c>
      <c r="AK221" s="386" t="str">
        <f t="shared" si="105"/>
        <v/>
      </c>
      <c r="AL221" s="388"/>
      <c r="AM221" s="388"/>
      <c r="AN221" s="388"/>
      <c r="AO221" s="388"/>
      <c r="AP221" s="402" t="str">
        <f t="shared" si="93"/>
        <v/>
      </c>
      <c r="AQ221" s="388"/>
      <c r="AR221" s="388"/>
      <c r="AS221" s="388"/>
      <c r="AT221" s="388"/>
      <c r="AU221" s="402" t="str">
        <f t="shared" si="94"/>
        <v/>
      </c>
      <c r="AV221" s="389"/>
      <c r="AW221" s="381"/>
      <c r="AX221" s="381"/>
      <c r="AY221" s="373"/>
      <c r="AZ221" s="390"/>
      <c r="BA221" s="390"/>
      <c r="BB221" s="391"/>
      <c r="BC221" s="392"/>
      <c r="BD221" s="393"/>
      <c r="BE221" s="393"/>
      <c r="BF221" s="393"/>
      <c r="BG221" s="394"/>
      <c r="BH221" s="395"/>
      <c r="BI221" s="374"/>
      <c r="BJ221" s="374"/>
      <c r="BK221" s="374"/>
      <c r="BL221" s="389"/>
      <c r="BM221" s="397"/>
      <c r="BN221" s="389"/>
      <c r="BO221" s="419" t="str">
        <f t="shared" si="106"/>
        <v/>
      </c>
      <c r="BP221" s="389"/>
      <c r="BQ221" s="397"/>
      <c r="BR221" s="419"/>
      <c r="BS221" s="419"/>
      <c r="BT221" s="419"/>
      <c r="BU221" s="432"/>
      <c r="BV221" s="419"/>
      <c r="BW221" s="419"/>
      <c r="BX221" s="419"/>
      <c r="BY221" s="389"/>
      <c r="BZ221" s="389"/>
      <c r="CA221" s="389"/>
      <c r="CB221" s="389"/>
      <c r="CC221" s="389"/>
      <c r="CD221" s="389"/>
      <c r="CE221" s="389"/>
      <c r="CF221" s="389"/>
      <c r="CG221" s="389"/>
      <c r="CH221" s="389"/>
      <c r="CI221" s="389"/>
      <c r="CJ221" s="422"/>
      <c r="CK221" s="422"/>
      <c r="CL221" s="422"/>
      <c r="CM221" s="422"/>
      <c r="CN221" s="422"/>
      <c r="CO221" s="422"/>
      <c r="CP221" s="422"/>
      <c r="CQ221" s="432"/>
      <c r="CR221" s="431" t="str">
        <f t="shared" si="95"/>
        <v/>
      </c>
      <c r="CS221" s="35" t="str">
        <f t="shared" si="96"/>
        <v>Direct or WHSE.</v>
      </c>
      <c r="CT221" s="411"/>
      <c r="CW221" s="153" t="str">
        <f t="shared" si="98"/>
        <v/>
      </c>
      <c r="CX221" s="153" t="str">
        <f t="shared" si="98"/>
        <v/>
      </c>
      <c r="CY221" s="153" t="str">
        <f t="shared" si="97"/>
        <v/>
      </c>
    </row>
    <row r="222" spans="1:103" ht="19.5" customHeight="1">
      <c r="A222" s="10">
        <v>200</v>
      </c>
      <c r="B222" s="373"/>
      <c r="C222" s="373"/>
      <c r="D222" s="396"/>
      <c r="E222" s="375"/>
      <c r="F222" s="373"/>
      <c r="G222" s="373"/>
      <c r="H222" s="376"/>
      <c r="I222" s="377"/>
      <c r="J222" s="378"/>
      <c r="K222" s="379"/>
      <c r="L222" s="374"/>
      <c r="M222" s="380" t="str">
        <f t="shared" ca="1" si="99"/>
        <v/>
      </c>
      <c r="N222" s="373"/>
      <c r="O222" s="381"/>
      <c r="P222" s="381"/>
      <c r="Q222" s="382"/>
      <c r="R222" s="381"/>
      <c r="S222" s="383"/>
      <c r="T222" s="384" t="str">
        <f t="shared" si="100"/>
        <v/>
      </c>
      <c r="U222" s="385"/>
      <c r="V222" s="384" t="str">
        <f t="shared" si="101"/>
        <v/>
      </c>
      <c r="W222" s="386"/>
      <c r="X222" s="386" t="str">
        <f t="shared" si="102"/>
        <v/>
      </c>
      <c r="Y222" s="386" t="str">
        <f t="shared" si="84"/>
        <v/>
      </c>
      <c r="Z222" s="386" t="str">
        <f t="shared" si="85"/>
        <v/>
      </c>
      <c r="AA222" s="387"/>
      <c r="AB222" s="386" t="str">
        <f t="shared" si="86"/>
        <v/>
      </c>
      <c r="AC222" s="386" t="str">
        <f t="shared" si="87"/>
        <v/>
      </c>
      <c r="AD222" s="386" t="str">
        <f t="shared" si="88"/>
        <v/>
      </c>
      <c r="AE222" s="386" t="str">
        <f t="shared" si="89"/>
        <v/>
      </c>
      <c r="AF222" s="386" t="str">
        <f t="shared" si="90"/>
        <v/>
      </c>
      <c r="AG222" s="386" t="str">
        <f t="shared" si="91"/>
        <v/>
      </c>
      <c r="AH222" s="386" t="str">
        <f t="shared" si="92"/>
        <v/>
      </c>
      <c r="AI222" s="386" t="str">
        <f t="shared" si="103"/>
        <v/>
      </c>
      <c r="AJ222" s="386" t="str">
        <f t="shared" si="104"/>
        <v/>
      </c>
      <c r="AK222" s="386" t="str">
        <f t="shared" si="105"/>
        <v/>
      </c>
      <c r="AL222" s="388"/>
      <c r="AM222" s="388"/>
      <c r="AN222" s="388"/>
      <c r="AO222" s="388"/>
      <c r="AP222" s="402" t="str">
        <f t="shared" si="93"/>
        <v/>
      </c>
      <c r="AQ222" s="388"/>
      <c r="AR222" s="388"/>
      <c r="AS222" s="388"/>
      <c r="AT222" s="388"/>
      <c r="AU222" s="402" t="str">
        <f t="shared" si="94"/>
        <v/>
      </c>
      <c r="AV222" s="389"/>
      <c r="AW222" s="381"/>
      <c r="AX222" s="381"/>
      <c r="AY222" s="373"/>
      <c r="AZ222" s="390"/>
      <c r="BA222" s="390"/>
      <c r="BB222" s="391"/>
      <c r="BC222" s="392"/>
      <c r="BD222" s="393"/>
      <c r="BE222" s="393"/>
      <c r="BF222" s="393"/>
      <c r="BG222" s="394"/>
      <c r="BH222" s="395"/>
      <c r="BI222" s="374"/>
      <c r="BJ222" s="374"/>
      <c r="BK222" s="374"/>
      <c r="BL222" s="389"/>
      <c r="BM222" s="397"/>
      <c r="BN222" s="389"/>
      <c r="BO222" s="419" t="str">
        <f t="shared" si="106"/>
        <v/>
      </c>
      <c r="BP222" s="389"/>
      <c r="BQ222" s="397"/>
      <c r="BR222" s="419"/>
      <c r="BS222" s="419"/>
      <c r="BT222" s="419"/>
      <c r="BU222" s="432"/>
      <c r="BV222" s="419"/>
      <c r="BW222" s="419"/>
      <c r="BX222" s="419"/>
      <c r="BY222" s="389"/>
      <c r="BZ222" s="389"/>
      <c r="CA222" s="389"/>
      <c r="CB222" s="389"/>
      <c r="CC222" s="389"/>
      <c r="CD222" s="389"/>
      <c r="CE222" s="389"/>
      <c r="CF222" s="389"/>
      <c r="CG222" s="389"/>
      <c r="CH222" s="389"/>
      <c r="CI222" s="389"/>
      <c r="CJ222" s="422"/>
      <c r="CK222" s="422"/>
      <c r="CL222" s="422"/>
      <c r="CM222" s="422"/>
      <c r="CN222" s="422"/>
      <c r="CO222" s="422"/>
      <c r="CP222" s="422"/>
      <c r="CQ222" s="432"/>
      <c r="CR222" s="431" t="str">
        <f t="shared" si="95"/>
        <v/>
      </c>
      <c r="CS222" s="35" t="str">
        <f t="shared" si="96"/>
        <v>Direct or WHSE.</v>
      </c>
      <c r="CT222" s="411"/>
      <c r="CW222" s="153" t="str">
        <f t="shared" si="98"/>
        <v/>
      </c>
      <c r="CX222" s="153" t="str">
        <f t="shared" si="98"/>
        <v/>
      </c>
      <c r="CY222" s="153" t="str">
        <f t="shared" si="97"/>
        <v/>
      </c>
    </row>
    <row r="223" spans="1:103" ht="19.5" customHeight="1">
      <c r="A223" s="10">
        <v>201</v>
      </c>
      <c r="B223" s="373"/>
      <c r="C223" s="373"/>
      <c r="D223" s="396"/>
      <c r="E223" s="375"/>
      <c r="F223" s="373"/>
      <c r="G223" s="373"/>
      <c r="H223" s="376"/>
      <c r="I223" s="377"/>
      <c r="J223" s="378"/>
      <c r="K223" s="379"/>
      <c r="L223" s="374"/>
      <c r="M223" s="380" t="str">
        <f t="shared" ca="1" si="99"/>
        <v/>
      </c>
      <c r="N223" s="373"/>
      <c r="O223" s="381"/>
      <c r="P223" s="381"/>
      <c r="Q223" s="382"/>
      <c r="R223" s="381"/>
      <c r="S223" s="383"/>
      <c r="T223" s="384" t="str">
        <f t="shared" si="100"/>
        <v/>
      </c>
      <c r="U223" s="385"/>
      <c r="V223" s="384" t="str">
        <f t="shared" si="101"/>
        <v/>
      </c>
      <c r="W223" s="386"/>
      <c r="X223" s="386" t="str">
        <f t="shared" si="102"/>
        <v/>
      </c>
      <c r="Y223" s="386" t="str">
        <f t="shared" si="84"/>
        <v/>
      </c>
      <c r="Z223" s="386" t="str">
        <f t="shared" si="85"/>
        <v/>
      </c>
      <c r="AA223" s="387"/>
      <c r="AB223" s="386" t="str">
        <f t="shared" si="86"/>
        <v/>
      </c>
      <c r="AC223" s="386" t="str">
        <f t="shared" si="87"/>
        <v/>
      </c>
      <c r="AD223" s="386" t="str">
        <f t="shared" si="88"/>
        <v/>
      </c>
      <c r="AE223" s="386" t="str">
        <f t="shared" si="89"/>
        <v/>
      </c>
      <c r="AF223" s="386" t="str">
        <f t="shared" si="90"/>
        <v/>
      </c>
      <c r="AG223" s="386" t="str">
        <f t="shared" si="91"/>
        <v/>
      </c>
      <c r="AH223" s="386" t="str">
        <f t="shared" si="92"/>
        <v/>
      </c>
      <c r="AI223" s="386" t="str">
        <f t="shared" si="103"/>
        <v/>
      </c>
      <c r="AJ223" s="386" t="str">
        <f t="shared" si="104"/>
        <v/>
      </c>
      <c r="AK223" s="386" t="str">
        <f t="shared" si="105"/>
        <v/>
      </c>
      <c r="AL223" s="388"/>
      <c r="AM223" s="388"/>
      <c r="AN223" s="388"/>
      <c r="AO223" s="388"/>
      <c r="AP223" s="402" t="str">
        <f t="shared" si="93"/>
        <v/>
      </c>
      <c r="AQ223" s="388"/>
      <c r="AR223" s="388"/>
      <c r="AS223" s="388"/>
      <c r="AT223" s="388"/>
      <c r="AU223" s="402" t="str">
        <f t="shared" si="94"/>
        <v/>
      </c>
      <c r="AV223" s="389"/>
      <c r="AW223" s="381"/>
      <c r="AX223" s="381"/>
      <c r="AY223" s="373"/>
      <c r="AZ223" s="390"/>
      <c r="BA223" s="390"/>
      <c r="BB223" s="391"/>
      <c r="BC223" s="392"/>
      <c r="BD223" s="393"/>
      <c r="BE223" s="393"/>
      <c r="BF223" s="393"/>
      <c r="BG223" s="394"/>
      <c r="BH223" s="395"/>
      <c r="BI223" s="374"/>
      <c r="BJ223" s="374"/>
      <c r="BK223" s="374"/>
      <c r="BL223" s="389"/>
      <c r="BM223" s="397"/>
      <c r="BN223" s="389"/>
      <c r="BO223" s="419" t="str">
        <f t="shared" si="106"/>
        <v/>
      </c>
      <c r="BP223" s="389"/>
      <c r="BQ223" s="397"/>
      <c r="BR223" s="419"/>
      <c r="BS223" s="419"/>
      <c r="BT223" s="419"/>
      <c r="BU223" s="432"/>
      <c r="BV223" s="419"/>
      <c r="BW223" s="419"/>
      <c r="BX223" s="419"/>
      <c r="BY223" s="389"/>
      <c r="BZ223" s="389"/>
      <c r="CA223" s="389"/>
      <c r="CB223" s="389"/>
      <c r="CC223" s="389"/>
      <c r="CD223" s="389"/>
      <c r="CE223" s="389"/>
      <c r="CF223" s="389"/>
      <c r="CG223" s="389"/>
      <c r="CH223" s="389"/>
      <c r="CI223" s="389"/>
      <c r="CJ223" s="422"/>
      <c r="CK223" s="422"/>
      <c r="CL223" s="422"/>
      <c r="CM223" s="422"/>
      <c r="CN223" s="422"/>
      <c r="CO223" s="422"/>
      <c r="CP223" s="422"/>
      <c r="CQ223" s="432"/>
      <c r="CR223" s="431" t="str">
        <f t="shared" si="95"/>
        <v/>
      </c>
      <c r="CS223" s="35" t="str">
        <f t="shared" si="96"/>
        <v>Direct or WHSE.</v>
      </c>
      <c r="CT223" s="411"/>
      <c r="CW223" s="153" t="str">
        <f t="shared" si="98"/>
        <v/>
      </c>
      <c r="CX223" s="153" t="str">
        <f t="shared" si="98"/>
        <v/>
      </c>
      <c r="CY223" s="153" t="str">
        <f t="shared" si="97"/>
        <v/>
      </c>
    </row>
    <row r="224" spans="1:103" ht="19.5" customHeight="1">
      <c r="A224" s="10">
        <v>202</v>
      </c>
      <c r="B224" s="373"/>
      <c r="C224" s="373"/>
      <c r="D224" s="396"/>
      <c r="E224" s="375"/>
      <c r="F224" s="373"/>
      <c r="G224" s="373"/>
      <c r="H224" s="376"/>
      <c r="I224" s="377"/>
      <c r="J224" s="378"/>
      <c r="K224" s="379"/>
      <c r="L224" s="374"/>
      <c r="M224" s="380" t="str">
        <f t="shared" ca="1" si="99"/>
        <v/>
      </c>
      <c r="N224" s="373"/>
      <c r="O224" s="381"/>
      <c r="P224" s="381"/>
      <c r="Q224" s="382"/>
      <c r="R224" s="381"/>
      <c r="S224" s="383"/>
      <c r="T224" s="384" t="str">
        <f t="shared" si="100"/>
        <v/>
      </c>
      <c r="U224" s="385"/>
      <c r="V224" s="384" t="str">
        <f t="shared" si="101"/>
        <v/>
      </c>
      <c r="W224" s="386"/>
      <c r="X224" s="386" t="str">
        <f t="shared" si="102"/>
        <v/>
      </c>
      <c r="Y224" s="386" t="str">
        <f t="shared" si="84"/>
        <v/>
      </c>
      <c r="Z224" s="386" t="str">
        <f t="shared" si="85"/>
        <v/>
      </c>
      <c r="AA224" s="387"/>
      <c r="AB224" s="386" t="str">
        <f t="shared" si="86"/>
        <v/>
      </c>
      <c r="AC224" s="386" t="str">
        <f t="shared" si="87"/>
        <v/>
      </c>
      <c r="AD224" s="386" t="str">
        <f t="shared" si="88"/>
        <v/>
      </c>
      <c r="AE224" s="386" t="str">
        <f t="shared" si="89"/>
        <v/>
      </c>
      <c r="AF224" s="386" t="str">
        <f t="shared" si="90"/>
        <v/>
      </c>
      <c r="AG224" s="386" t="str">
        <f t="shared" si="91"/>
        <v/>
      </c>
      <c r="AH224" s="386" t="str">
        <f t="shared" si="92"/>
        <v/>
      </c>
      <c r="AI224" s="386" t="str">
        <f t="shared" si="103"/>
        <v/>
      </c>
      <c r="AJ224" s="386" t="str">
        <f t="shared" si="104"/>
        <v/>
      </c>
      <c r="AK224" s="386" t="str">
        <f t="shared" si="105"/>
        <v/>
      </c>
      <c r="AL224" s="388"/>
      <c r="AM224" s="388"/>
      <c r="AN224" s="388"/>
      <c r="AO224" s="388"/>
      <c r="AP224" s="402" t="str">
        <f t="shared" si="93"/>
        <v/>
      </c>
      <c r="AQ224" s="388"/>
      <c r="AR224" s="388"/>
      <c r="AS224" s="388"/>
      <c r="AT224" s="388"/>
      <c r="AU224" s="402" t="str">
        <f t="shared" si="94"/>
        <v/>
      </c>
      <c r="AV224" s="389"/>
      <c r="AW224" s="381"/>
      <c r="AX224" s="381"/>
      <c r="AY224" s="373"/>
      <c r="AZ224" s="390"/>
      <c r="BA224" s="390"/>
      <c r="BB224" s="391"/>
      <c r="BC224" s="392"/>
      <c r="BD224" s="393"/>
      <c r="BE224" s="393"/>
      <c r="BF224" s="393"/>
      <c r="BG224" s="394"/>
      <c r="BH224" s="395"/>
      <c r="BI224" s="374"/>
      <c r="BJ224" s="374"/>
      <c r="BK224" s="374"/>
      <c r="BL224" s="389"/>
      <c r="BM224" s="397"/>
      <c r="BN224" s="389"/>
      <c r="BO224" s="419" t="str">
        <f t="shared" si="106"/>
        <v/>
      </c>
      <c r="BP224" s="389"/>
      <c r="BQ224" s="397"/>
      <c r="BR224" s="419"/>
      <c r="BS224" s="419"/>
      <c r="BT224" s="419"/>
      <c r="BU224" s="432"/>
      <c r="BV224" s="419"/>
      <c r="BW224" s="419"/>
      <c r="BX224" s="419"/>
      <c r="BY224" s="389"/>
      <c r="BZ224" s="389"/>
      <c r="CA224" s="389"/>
      <c r="CB224" s="389"/>
      <c r="CC224" s="389"/>
      <c r="CD224" s="389"/>
      <c r="CE224" s="389"/>
      <c r="CF224" s="389"/>
      <c r="CG224" s="389"/>
      <c r="CH224" s="389"/>
      <c r="CI224" s="389"/>
      <c r="CJ224" s="422"/>
      <c r="CK224" s="422"/>
      <c r="CL224" s="422"/>
      <c r="CM224" s="422"/>
      <c r="CN224" s="422"/>
      <c r="CO224" s="422"/>
      <c r="CP224" s="422"/>
      <c r="CQ224" s="432"/>
      <c r="CR224" s="431" t="str">
        <f t="shared" si="95"/>
        <v/>
      </c>
      <c r="CS224" s="35" t="str">
        <f t="shared" si="96"/>
        <v>Direct or WHSE.</v>
      </c>
      <c r="CT224" s="411"/>
      <c r="CW224" s="153" t="str">
        <f t="shared" si="98"/>
        <v/>
      </c>
      <c r="CX224" s="153" t="str">
        <f t="shared" si="98"/>
        <v/>
      </c>
      <c r="CY224" s="153" t="str">
        <f t="shared" si="97"/>
        <v/>
      </c>
    </row>
    <row r="225" spans="1:103" ht="19.5" customHeight="1">
      <c r="A225" s="10">
        <v>203</v>
      </c>
      <c r="B225" s="373"/>
      <c r="C225" s="373"/>
      <c r="D225" s="396"/>
      <c r="E225" s="375"/>
      <c r="F225" s="373"/>
      <c r="G225" s="373"/>
      <c r="H225" s="376"/>
      <c r="I225" s="377"/>
      <c r="J225" s="378"/>
      <c r="K225" s="379"/>
      <c r="L225" s="374"/>
      <c r="M225" s="380" t="str">
        <f t="shared" ca="1" si="99"/>
        <v/>
      </c>
      <c r="N225" s="373"/>
      <c r="O225" s="381"/>
      <c r="P225" s="381"/>
      <c r="Q225" s="382"/>
      <c r="R225" s="381"/>
      <c r="S225" s="383"/>
      <c r="T225" s="384" t="str">
        <f t="shared" si="100"/>
        <v/>
      </c>
      <c r="U225" s="385"/>
      <c r="V225" s="384" t="str">
        <f t="shared" si="101"/>
        <v/>
      </c>
      <c r="W225" s="386"/>
      <c r="X225" s="386" t="str">
        <f t="shared" si="102"/>
        <v/>
      </c>
      <c r="Y225" s="386" t="str">
        <f t="shared" si="84"/>
        <v/>
      </c>
      <c r="Z225" s="386" t="str">
        <f t="shared" si="85"/>
        <v/>
      </c>
      <c r="AA225" s="387"/>
      <c r="AB225" s="386" t="str">
        <f t="shared" si="86"/>
        <v/>
      </c>
      <c r="AC225" s="386" t="str">
        <f t="shared" si="87"/>
        <v/>
      </c>
      <c r="AD225" s="386" t="str">
        <f t="shared" si="88"/>
        <v/>
      </c>
      <c r="AE225" s="386" t="str">
        <f t="shared" si="89"/>
        <v/>
      </c>
      <c r="AF225" s="386" t="str">
        <f t="shared" si="90"/>
        <v/>
      </c>
      <c r="AG225" s="386" t="str">
        <f t="shared" si="91"/>
        <v/>
      </c>
      <c r="AH225" s="386" t="str">
        <f t="shared" si="92"/>
        <v/>
      </c>
      <c r="AI225" s="386" t="str">
        <f t="shared" si="103"/>
        <v/>
      </c>
      <c r="AJ225" s="386" t="str">
        <f t="shared" si="104"/>
        <v/>
      </c>
      <c r="AK225" s="386" t="str">
        <f t="shared" si="105"/>
        <v/>
      </c>
      <c r="AL225" s="388"/>
      <c r="AM225" s="388"/>
      <c r="AN225" s="388"/>
      <c r="AO225" s="388"/>
      <c r="AP225" s="402" t="str">
        <f t="shared" si="93"/>
        <v/>
      </c>
      <c r="AQ225" s="388"/>
      <c r="AR225" s="388"/>
      <c r="AS225" s="388"/>
      <c r="AT225" s="388"/>
      <c r="AU225" s="402" t="str">
        <f t="shared" si="94"/>
        <v/>
      </c>
      <c r="AV225" s="389"/>
      <c r="AW225" s="381"/>
      <c r="AX225" s="381"/>
      <c r="AY225" s="373"/>
      <c r="AZ225" s="390"/>
      <c r="BA225" s="390"/>
      <c r="BB225" s="391"/>
      <c r="BC225" s="392"/>
      <c r="BD225" s="393"/>
      <c r="BE225" s="393"/>
      <c r="BF225" s="393"/>
      <c r="BG225" s="394"/>
      <c r="BH225" s="395"/>
      <c r="BI225" s="374"/>
      <c r="BJ225" s="374"/>
      <c r="BK225" s="374"/>
      <c r="BL225" s="389"/>
      <c r="BM225" s="397"/>
      <c r="BN225" s="389"/>
      <c r="BO225" s="419" t="str">
        <f t="shared" si="106"/>
        <v/>
      </c>
      <c r="BP225" s="389"/>
      <c r="BQ225" s="397"/>
      <c r="BR225" s="419"/>
      <c r="BS225" s="419"/>
      <c r="BT225" s="419"/>
      <c r="BU225" s="432"/>
      <c r="BV225" s="419"/>
      <c r="BW225" s="419"/>
      <c r="BX225" s="419"/>
      <c r="BY225" s="389"/>
      <c r="BZ225" s="389"/>
      <c r="CA225" s="389"/>
      <c r="CB225" s="389"/>
      <c r="CC225" s="389"/>
      <c r="CD225" s="389"/>
      <c r="CE225" s="389"/>
      <c r="CF225" s="389"/>
      <c r="CG225" s="389"/>
      <c r="CH225" s="389"/>
      <c r="CI225" s="389"/>
      <c r="CJ225" s="422"/>
      <c r="CK225" s="422"/>
      <c r="CL225" s="422"/>
      <c r="CM225" s="422"/>
      <c r="CN225" s="422"/>
      <c r="CO225" s="422"/>
      <c r="CP225" s="422"/>
      <c r="CQ225" s="432"/>
      <c r="CR225" s="431" t="str">
        <f t="shared" si="95"/>
        <v/>
      </c>
      <c r="CS225" s="35" t="str">
        <f t="shared" si="96"/>
        <v>Direct or WHSE.</v>
      </c>
      <c r="CT225" s="411"/>
      <c r="CW225" s="153" t="str">
        <f t="shared" si="98"/>
        <v/>
      </c>
      <c r="CX225" s="153" t="str">
        <f t="shared" si="98"/>
        <v/>
      </c>
      <c r="CY225" s="153" t="str">
        <f t="shared" si="97"/>
        <v/>
      </c>
    </row>
    <row r="226" spans="1:103" ht="19.5" customHeight="1">
      <c r="A226" s="10">
        <v>204</v>
      </c>
      <c r="B226" s="373"/>
      <c r="C226" s="373"/>
      <c r="D226" s="396"/>
      <c r="E226" s="375"/>
      <c r="F226" s="373"/>
      <c r="G226" s="373"/>
      <c r="H226" s="376"/>
      <c r="I226" s="377"/>
      <c r="J226" s="378"/>
      <c r="K226" s="379"/>
      <c r="L226" s="374"/>
      <c r="M226" s="380" t="str">
        <f t="shared" ca="1" si="99"/>
        <v/>
      </c>
      <c r="N226" s="373"/>
      <c r="O226" s="381"/>
      <c r="P226" s="381"/>
      <c r="Q226" s="382"/>
      <c r="R226" s="381"/>
      <c r="S226" s="383"/>
      <c r="T226" s="384" t="str">
        <f t="shared" si="100"/>
        <v/>
      </c>
      <c r="U226" s="385"/>
      <c r="V226" s="384" t="str">
        <f t="shared" si="101"/>
        <v/>
      </c>
      <c r="W226" s="386"/>
      <c r="X226" s="386" t="str">
        <f t="shared" si="102"/>
        <v/>
      </c>
      <c r="Y226" s="386" t="str">
        <f t="shared" si="84"/>
        <v/>
      </c>
      <c r="Z226" s="386" t="str">
        <f t="shared" si="85"/>
        <v/>
      </c>
      <c r="AA226" s="387"/>
      <c r="AB226" s="386" t="str">
        <f t="shared" si="86"/>
        <v/>
      </c>
      <c r="AC226" s="386" t="str">
        <f t="shared" si="87"/>
        <v/>
      </c>
      <c r="AD226" s="386" t="str">
        <f t="shared" si="88"/>
        <v/>
      </c>
      <c r="AE226" s="386" t="str">
        <f t="shared" si="89"/>
        <v/>
      </c>
      <c r="AF226" s="386" t="str">
        <f t="shared" si="90"/>
        <v/>
      </c>
      <c r="AG226" s="386" t="str">
        <f t="shared" si="91"/>
        <v/>
      </c>
      <c r="AH226" s="386" t="str">
        <f t="shared" si="92"/>
        <v/>
      </c>
      <c r="AI226" s="386" t="str">
        <f t="shared" si="103"/>
        <v/>
      </c>
      <c r="AJ226" s="386" t="str">
        <f t="shared" si="104"/>
        <v/>
      </c>
      <c r="AK226" s="386" t="str">
        <f t="shared" si="105"/>
        <v/>
      </c>
      <c r="AL226" s="388"/>
      <c r="AM226" s="388"/>
      <c r="AN226" s="388"/>
      <c r="AO226" s="388"/>
      <c r="AP226" s="402" t="str">
        <f t="shared" si="93"/>
        <v/>
      </c>
      <c r="AQ226" s="388"/>
      <c r="AR226" s="388"/>
      <c r="AS226" s="388"/>
      <c r="AT226" s="388"/>
      <c r="AU226" s="402" t="str">
        <f t="shared" si="94"/>
        <v/>
      </c>
      <c r="AV226" s="389"/>
      <c r="AW226" s="381"/>
      <c r="AX226" s="381"/>
      <c r="AY226" s="373"/>
      <c r="AZ226" s="390"/>
      <c r="BA226" s="390"/>
      <c r="BB226" s="391"/>
      <c r="BC226" s="392"/>
      <c r="BD226" s="393"/>
      <c r="BE226" s="393"/>
      <c r="BF226" s="393"/>
      <c r="BG226" s="394"/>
      <c r="BH226" s="395"/>
      <c r="BI226" s="374"/>
      <c r="BJ226" s="374"/>
      <c r="BK226" s="374"/>
      <c r="BL226" s="389"/>
      <c r="BM226" s="397"/>
      <c r="BN226" s="389"/>
      <c r="BO226" s="419" t="str">
        <f t="shared" si="106"/>
        <v/>
      </c>
      <c r="BP226" s="389"/>
      <c r="BQ226" s="397"/>
      <c r="BR226" s="419"/>
      <c r="BS226" s="419"/>
      <c r="BT226" s="419"/>
      <c r="BU226" s="432"/>
      <c r="BV226" s="419"/>
      <c r="BW226" s="419"/>
      <c r="BX226" s="419"/>
      <c r="BY226" s="389"/>
      <c r="BZ226" s="389"/>
      <c r="CA226" s="389"/>
      <c r="CB226" s="389"/>
      <c r="CC226" s="389"/>
      <c r="CD226" s="389"/>
      <c r="CE226" s="389"/>
      <c r="CF226" s="389"/>
      <c r="CG226" s="389"/>
      <c r="CH226" s="389"/>
      <c r="CI226" s="389"/>
      <c r="CJ226" s="422"/>
      <c r="CK226" s="422"/>
      <c r="CL226" s="422"/>
      <c r="CM226" s="422"/>
      <c r="CN226" s="422"/>
      <c r="CO226" s="422"/>
      <c r="CP226" s="422"/>
      <c r="CQ226" s="432"/>
      <c r="CR226" s="431" t="str">
        <f t="shared" si="95"/>
        <v/>
      </c>
      <c r="CS226" s="35" t="str">
        <f t="shared" si="96"/>
        <v>Direct or WHSE.</v>
      </c>
      <c r="CT226" s="411"/>
      <c r="CW226" s="153" t="str">
        <f t="shared" si="98"/>
        <v/>
      </c>
      <c r="CX226" s="153" t="str">
        <f t="shared" si="98"/>
        <v/>
      </c>
      <c r="CY226" s="153" t="str">
        <f t="shared" si="97"/>
        <v/>
      </c>
    </row>
    <row r="227" spans="1:103" ht="19.5" customHeight="1">
      <c r="A227" s="10">
        <v>205</v>
      </c>
      <c r="B227" s="373"/>
      <c r="C227" s="373"/>
      <c r="D227" s="396"/>
      <c r="E227" s="375"/>
      <c r="F227" s="373"/>
      <c r="G227" s="373"/>
      <c r="H227" s="376"/>
      <c r="I227" s="377"/>
      <c r="J227" s="378"/>
      <c r="K227" s="379"/>
      <c r="L227" s="374"/>
      <c r="M227" s="380" t="str">
        <f t="shared" ca="1" si="99"/>
        <v/>
      </c>
      <c r="N227" s="373"/>
      <c r="O227" s="381"/>
      <c r="P227" s="381"/>
      <c r="Q227" s="382"/>
      <c r="R227" s="381"/>
      <c r="S227" s="383"/>
      <c r="T227" s="384" t="str">
        <f t="shared" si="100"/>
        <v/>
      </c>
      <c r="U227" s="385"/>
      <c r="V227" s="384" t="str">
        <f t="shared" si="101"/>
        <v/>
      </c>
      <c r="W227" s="386"/>
      <c r="X227" s="386" t="str">
        <f t="shared" si="102"/>
        <v/>
      </c>
      <c r="Y227" s="386" t="str">
        <f t="shared" si="84"/>
        <v/>
      </c>
      <c r="Z227" s="386" t="str">
        <f t="shared" si="85"/>
        <v/>
      </c>
      <c r="AA227" s="387"/>
      <c r="AB227" s="386" t="str">
        <f t="shared" si="86"/>
        <v/>
      </c>
      <c r="AC227" s="386" t="str">
        <f t="shared" si="87"/>
        <v/>
      </c>
      <c r="AD227" s="386" t="str">
        <f t="shared" si="88"/>
        <v/>
      </c>
      <c r="AE227" s="386" t="str">
        <f t="shared" si="89"/>
        <v/>
      </c>
      <c r="AF227" s="386" t="str">
        <f t="shared" si="90"/>
        <v/>
      </c>
      <c r="AG227" s="386" t="str">
        <f t="shared" si="91"/>
        <v/>
      </c>
      <c r="AH227" s="386" t="str">
        <f t="shared" si="92"/>
        <v/>
      </c>
      <c r="AI227" s="386" t="str">
        <f t="shared" si="103"/>
        <v/>
      </c>
      <c r="AJ227" s="386" t="str">
        <f t="shared" si="104"/>
        <v/>
      </c>
      <c r="AK227" s="386" t="str">
        <f t="shared" si="105"/>
        <v/>
      </c>
      <c r="AL227" s="388"/>
      <c r="AM227" s="388"/>
      <c r="AN227" s="388"/>
      <c r="AO227" s="388"/>
      <c r="AP227" s="402" t="str">
        <f t="shared" si="93"/>
        <v/>
      </c>
      <c r="AQ227" s="388"/>
      <c r="AR227" s="388"/>
      <c r="AS227" s="388"/>
      <c r="AT227" s="388"/>
      <c r="AU227" s="402" t="str">
        <f t="shared" si="94"/>
        <v/>
      </c>
      <c r="AV227" s="389"/>
      <c r="AW227" s="381"/>
      <c r="AX227" s="381"/>
      <c r="AY227" s="373"/>
      <c r="AZ227" s="390"/>
      <c r="BA227" s="390"/>
      <c r="BB227" s="391"/>
      <c r="BC227" s="392"/>
      <c r="BD227" s="393"/>
      <c r="BE227" s="393"/>
      <c r="BF227" s="393"/>
      <c r="BG227" s="394"/>
      <c r="BH227" s="395"/>
      <c r="BI227" s="374"/>
      <c r="BJ227" s="374"/>
      <c r="BK227" s="374"/>
      <c r="BL227" s="389"/>
      <c r="BM227" s="397"/>
      <c r="BN227" s="389"/>
      <c r="BO227" s="419" t="str">
        <f t="shared" si="106"/>
        <v/>
      </c>
      <c r="BP227" s="389"/>
      <c r="BQ227" s="397"/>
      <c r="BR227" s="419"/>
      <c r="BS227" s="419"/>
      <c r="BT227" s="419"/>
      <c r="BU227" s="432"/>
      <c r="BV227" s="419"/>
      <c r="BW227" s="419"/>
      <c r="BX227" s="419"/>
      <c r="BY227" s="389"/>
      <c r="BZ227" s="389"/>
      <c r="CA227" s="389"/>
      <c r="CB227" s="389"/>
      <c r="CC227" s="389"/>
      <c r="CD227" s="389"/>
      <c r="CE227" s="389"/>
      <c r="CF227" s="389"/>
      <c r="CG227" s="389"/>
      <c r="CH227" s="389"/>
      <c r="CI227" s="389"/>
      <c r="CJ227" s="422"/>
      <c r="CK227" s="422"/>
      <c r="CL227" s="422"/>
      <c r="CM227" s="422"/>
      <c r="CN227" s="422"/>
      <c r="CO227" s="422"/>
      <c r="CP227" s="422"/>
      <c r="CQ227" s="432"/>
      <c r="CR227" s="431" t="str">
        <f t="shared" si="95"/>
        <v/>
      </c>
      <c r="CS227" s="35" t="str">
        <f t="shared" si="96"/>
        <v>Direct or WHSE.</v>
      </c>
      <c r="CT227" s="411"/>
      <c r="CW227" s="153" t="str">
        <f t="shared" si="98"/>
        <v/>
      </c>
      <c r="CX227" s="153" t="str">
        <f t="shared" si="98"/>
        <v/>
      </c>
      <c r="CY227" s="153" t="str">
        <f t="shared" si="97"/>
        <v/>
      </c>
    </row>
    <row r="228" spans="1:103" ht="19.5" customHeight="1">
      <c r="A228" s="10">
        <v>206</v>
      </c>
      <c r="B228" s="373"/>
      <c r="C228" s="373"/>
      <c r="D228" s="396"/>
      <c r="E228" s="375"/>
      <c r="F228" s="373"/>
      <c r="G228" s="373"/>
      <c r="H228" s="376"/>
      <c r="I228" s="377"/>
      <c r="J228" s="378"/>
      <c r="K228" s="379"/>
      <c r="L228" s="374"/>
      <c r="M228" s="380" t="str">
        <f t="shared" ca="1" si="99"/>
        <v/>
      </c>
      <c r="N228" s="373"/>
      <c r="O228" s="381"/>
      <c r="P228" s="381"/>
      <c r="Q228" s="382"/>
      <c r="R228" s="381"/>
      <c r="S228" s="383"/>
      <c r="T228" s="384" t="str">
        <f t="shared" si="100"/>
        <v/>
      </c>
      <c r="U228" s="385"/>
      <c r="V228" s="384" t="str">
        <f t="shared" si="101"/>
        <v/>
      </c>
      <c r="W228" s="386"/>
      <c r="X228" s="386" t="str">
        <f t="shared" si="102"/>
        <v/>
      </c>
      <c r="Y228" s="386" t="str">
        <f t="shared" si="84"/>
        <v/>
      </c>
      <c r="Z228" s="386" t="str">
        <f t="shared" si="85"/>
        <v/>
      </c>
      <c r="AA228" s="387"/>
      <c r="AB228" s="386" t="str">
        <f t="shared" si="86"/>
        <v/>
      </c>
      <c r="AC228" s="386" t="str">
        <f t="shared" si="87"/>
        <v/>
      </c>
      <c r="AD228" s="386" t="str">
        <f t="shared" si="88"/>
        <v/>
      </c>
      <c r="AE228" s="386" t="str">
        <f t="shared" si="89"/>
        <v/>
      </c>
      <c r="AF228" s="386" t="str">
        <f t="shared" si="90"/>
        <v/>
      </c>
      <c r="AG228" s="386" t="str">
        <f t="shared" si="91"/>
        <v/>
      </c>
      <c r="AH228" s="386" t="str">
        <f t="shared" si="92"/>
        <v/>
      </c>
      <c r="AI228" s="386" t="str">
        <f t="shared" si="103"/>
        <v/>
      </c>
      <c r="AJ228" s="386" t="str">
        <f t="shared" si="104"/>
        <v/>
      </c>
      <c r="AK228" s="386" t="str">
        <f t="shared" si="105"/>
        <v/>
      </c>
      <c r="AL228" s="388"/>
      <c r="AM228" s="388"/>
      <c r="AN228" s="388"/>
      <c r="AO228" s="388"/>
      <c r="AP228" s="402" t="str">
        <f t="shared" si="93"/>
        <v/>
      </c>
      <c r="AQ228" s="388"/>
      <c r="AR228" s="388"/>
      <c r="AS228" s="388"/>
      <c r="AT228" s="388"/>
      <c r="AU228" s="402" t="str">
        <f t="shared" si="94"/>
        <v/>
      </c>
      <c r="AV228" s="389"/>
      <c r="AW228" s="381"/>
      <c r="AX228" s="381"/>
      <c r="AY228" s="373"/>
      <c r="AZ228" s="390"/>
      <c r="BA228" s="390"/>
      <c r="BB228" s="391"/>
      <c r="BC228" s="392"/>
      <c r="BD228" s="393"/>
      <c r="BE228" s="393"/>
      <c r="BF228" s="393"/>
      <c r="BG228" s="394"/>
      <c r="BH228" s="395"/>
      <c r="BI228" s="374"/>
      <c r="BJ228" s="374"/>
      <c r="BK228" s="374"/>
      <c r="BL228" s="389"/>
      <c r="BM228" s="397"/>
      <c r="BN228" s="389"/>
      <c r="BO228" s="419" t="str">
        <f t="shared" si="106"/>
        <v/>
      </c>
      <c r="BP228" s="389"/>
      <c r="BQ228" s="397"/>
      <c r="BR228" s="419"/>
      <c r="BS228" s="419"/>
      <c r="BT228" s="419"/>
      <c r="BU228" s="432"/>
      <c r="BV228" s="419"/>
      <c r="BW228" s="419"/>
      <c r="BX228" s="419"/>
      <c r="BY228" s="389"/>
      <c r="BZ228" s="389"/>
      <c r="CA228" s="389"/>
      <c r="CB228" s="389"/>
      <c r="CC228" s="389"/>
      <c r="CD228" s="389"/>
      <c r="CE228" s="389"/>
      <c r="CF228" s="389"/>
      <c r="CG228" s="389"/>
      <c r="CH228" s="389"/>
      <c r="CI228" s="389"/>
      <c r="CJ228" s="422"/>
      <c r="CK228" s="422"/>
      <c r="CL228" s="422"/>
      <c r="CM228" s="422"/>
      <c r="CN228" s="422"/>
      <c r="CO228" s="422"/>
      <c r="CP228" s="422"/>
      <c r="CQ228" s="432"/>
      <c r="CR228" s="431" t="str">
        <f t="shared" si="95"/>
        <v/>
      </c>
      <c r="CS228" s="35" t="str">
        <f t="shared" si="96"/>
        <v>Direct or WHSE.</v>
      </c>
      <c r="CT228" s="411"/>
      <c r="CW228" s="153" t="str">
        <f t="shared" si="98"/>
        <v/>
      </c>
      <c r="CX228" s="153" t="str">
        <f t="shared" si="98"/>
        <v/>
      </c>
      <c r="CY228" s="153" t="str">
        <f t="shared" si="97"/>
        <v/>
      </c>
    </row>
    <row r="229" spans="1:103" ht="19.5" customHeight="1">
      <c r="A229" s="10">
        <v>207</v>
      </c>
      <c r="B229" s="373"/>
      <c r="C229" s="373"/>
      <c r="D229" s="396"/>
      <c r="E229" s="375"/>
      <c r="F229" s="373"/>
      <c r="G229" s="373"/>
      <c r="H229" s="376"/>
      <c r="I229" s="377"/>
      <c r="J229" s="378"/>
      <c r="K229" s="379"/>
      <c r="L229" s="374"/>
      <c r="M229" s="380" t="str">
        <f t="shared" ca="1" si="99"/>
        <v/>
      </c>
      <c r="N229" s="373"/>
      <c r="O229" s="381"/>
      <c r="P229" s="381"/>
      <c r="Q229" s="382"/>
      <c r="R229" s="381"/>
      <c r="S229" s="383"/>
      <c r="T229" s="384" t="str">
        <f t="shared" si="100"/>
        <v/>
      </c>
      <c r="U229" s="385"/>
      <c r="V229" s="384" t="str">
        <f t="shared" si="101"/>
        <v/>
      </c>
      <c r="W229" s="386"/>
      <c r="X229" s="386" t="str">
        <f t="shared" si="102"/>
        <v/>
      </c>
      <c r="Y229" s="386" t="str">
        <f t="shared" si="84"/>
        <v/>
      </c>
      <c r="Z229" s="386" t="str">
        <f t="shared" si="85"/>
        <v/>
      </c>
      <c r="AA229" s="387"/>
      <c r="AB229" s="386" t="str">
        <f t="shared" si="86"/>
        <v/>
      </c>
      <c r="AC229" s="386" t="str">
        <f t="shared" si="87"/>
        <v/>
      </c>
      <c r="AD229" s="386" t="str">
        <f t="shared" si="88"/>
        <v/>
      </c>
      <c r="AE229" s="386" t="str">
        <f t="shared" si="89"/>
        <v/>
      </c>
      <c r="AF229" s="386" t="str">
        <f t="shared" si="90"/>
        <v/>
      </c>
      <c r="AG229" s="386" t="str">
        <f t="shared" si="91"/>
        <v/>
      </c>
      <c r="AH229" s="386" t="str">
        <f t="shared" si="92"/>
        <v/>
      </c>
      <c r="AI229" s="386" t="str">
        <f t="shared" si="103"/>
        <v/>
      </c>
      <c r="AJ229" s="386" t="str">
        <f t="shared" si="104"/>
        <v/>
      </c>
      <c r="AK229" s="386" t="str">
        <f t="shared" si="105"/>
        <v/>
      </c>
      <c r="AL229" s="388"/>
      <c r="AM229" s="388"/>
      <c r="AN229" s="388"/>
      <c r="AO229" s="388"/>
      <c r="AP229" s="402" t="str">
        <f t="shared" si="93"/>
        <v/>
      </c>
      <c r="AQ229" s="388"/>
      <c r="AR229" s="388"/>
      <c r="AS229" s="388"/>
      <c r="AT229" s="388"/>
      <c r="AU229" s="402" t="str">
        <f t="shared" si="94"/>
        <v/>
      </c>
      <c r="AV229" s="389"/>
      <c r="AW229" s="381"/>
      <c r="AX229" s="381"/>
      <c r="AY229" s="373"/>
      <c r="AZ229" s="390"/>
      <c r="BA229" s="390"/>
      <c r="BB229" s="391"/>
      <c r="BC229" s="392"/>
      <c r="BD229" s="393"/>
      <c r="BE229" s="393"/>
      <c r="BF229" s="393"/>
      <c r="BG229" s="394"/>
      <c r="BH229" s="395"/>
      <c r="BI229" s="374"/>
      <c r="BJ229" s="374"/>
      <c r="BK229" s="374"/>
      <c r="BL229" s="389"/>
      <c r="BM229" s="397"/>
      <c r="BN229" s="389"/>
      <c r="BO229" s="419" t="str">
        <f t="shared" si="106"/>
        <v/>
      </c>
      <c r="BP229" s="389"/>
      <c r="BQ229" s="397"/>
      <c r="BR229" s="419"/>
      <c r="BS229" s="419"/>
      <c r="BT229" s="419"/>
      <c r="BU229" s="432"/>
      <c r="BV229" s="419"/>
      <c r="BW229" s="419"/>
      <c r="BX229" s="419"/>
      <c r="BY229" s="389"/>
      <c r="BZ229" s="389"/>
      <c r="CA229" s="389"/>
      <c r="CB229" s="389"/>
      <c r="CC229" s="389"/>
      <c r="CD229" s="389"/>
      <c r="CE229" s="389"/>
      <c r="CF229" s="389"/>
      <c r="CG229" s="389"/>
      <c r="CH229" s="389"/>
      <c r="CI229" s="389"/>
      <c r="CJ229" s="422"/>
      <c r="CK229" s="422"/>
      <c r="CL229" s="422"/>
      <c r="CM229" s="422"/>
      <c r="CN229" s="422"/>
      <c r="CO229" s="422"/>
      <c r="CP229" s="422"/>
      <c r="CQ229" s="432"/>
      <c r="CR229" s="431" t="str">
        <f t="shared" si="95"/>
        <v/>
      </c>
      <c r="CS229" s="35" t="str">
        <f t="shared" si="96"/>
        <v>Direct or WHSE.</v>
      </c>
      <c r="CT229" s="411"/>
      <c r="CW229" s="153" t="str">
        <f t="shared" si="98"/>
        <v/>
      </c>
      <c r="CX229" s="153" t="str">
        <f t="shared" si="98"/>
        <v/>
      </c>
      <c r="CY229" s="153" t="str">
        <f t="shared" si="97"/>
        <v/>
      </c>
    </row>
    <row r="230" spans="1:103" ht="19.5" customHeight="1">
      <c r="A230" s="10">
        <v>208</v>
      </c>
      <c r="B230" s="373"/>
      <c r="C230" s="373"/>
      <c r="D230" s="396"/>
      <c r="E230" s="375"/>
      <c r="F230" s="373"/>
      <c r="G230" s="373"/>
      <c r="H230" s="376"/>
      <c r="I230" s="377"/>
      <c r="J230" s="378"/>
      <c r="K230" s="379"/>
      <c r="L230" s="374"/>
      <c r="M230" s="380" t="str">
        <f t="shared" ca="1" si="99"/>
        <v/>
      </c>
      <c r="N230" s="373"/>
      <c r="O230" s="381"/>
      <c r="P230" s="381"/>
      <c r="Q230" s="382"/>
      <c r="R230" s="381"/>
      <c r="S230" s="383"/>
      <c r="T230" s="384" t="str">
        <f t="shared" si="100"/>
        <v/>
      </c>
      <c r="U230" s="385"/>
      <c r="V230" s="384" t="str">
        <f t="shared" si="101"/>
        <v/>
      </c>
      <c r="W230" s="386"/>
      <c r="X230" s="386" t="str">
        <f t="shared" si="102"/>
        <v/>
      </c>
      <c r="Y230" s="386" t="str">
        <f t="shared" si="84"/>
        <v/>
      </c>
      <c r="Z230" s="386" t="str">
        <f t="shared" si="85"/>
        <v/>
      </c>
      <c r="AA230" s="387"/>
      <c r="AB230" s="386" t="str">
        <f t="shared" si="86"/>
        <v/>
      </c>
      <c r="AC230" s="386" t="str">
        <f t="shared" si="87"/>
        <v/>
      </c>
      <c r="AD230" s="386" t="str">
        <f t="shared" si="88"/>
        <v/>
      </c>
      <c r="AE230" s="386" t="str">
        <f t="shared" si="89"/>
        <v/>
      </c>
      <c r="AF230" s="386" t="str">
        <f t="shared" si="90"/>
        <v/>
      </c>
      <c r="AG230" s="386" t="str">
        <f t="shared" si="91"/>
        <v/>
      </c>
      <c r="AH230" s="386" t="str">
        <f t="shared" si="92"/>
        <v/>
      </c>
      <c r="AI230" s="386" t="str">
        <f t="shared" si="103"/>
        <v/>
      </c>
      <c r="AJ230" s="386" t="str">
        <f t="shared" si="104"/>
        <v/>
      </c>
      <c r="AK230" s="386" t="str">
        <f t="shared" si="105"/>
        <v/>
      </c>
      <c r="AL230" s="388"/>
      <c r="AM230" s="388"/>
      <c r="AN230" s="388"/>
      <c r="AO230" s="388"/>
      <c r="AP230" s="402" t="str">
        <f t="shared" si="93"/>
        <v/>
      </c>
      <c r="AQ230" s="388"/>
      <c r="AR230" s="388"/>
      <c r="AS230" s="388"/>
      <c r="AT230" s="388"/>
      <c r="AU230" s="402" t="str">
        <f t="shared" si="94"/>
        <v/>
      </c>
      <c r="AV230" s="389"/>
      <c r="AW230" s="381"/>
      <c r="AX230" s="381"/>
      <c r="AY230" s="373"/>
      <c r="AZ230" s="390"/>
      <c r="BA230" s="390"/>
      <c r="BB230" s="391"/>
      <c r="BC230" s="392"/>
      <c r="BD230" s="393"/>
      <c r="BE230" s="393"/>
      <c r="BF230" s="393"/>
      <c r="BG230" s="394"/>
      <c r="BH230" s="395"/>
      <c r="BI230" s="374"/>
      <c r="BJ230" s="374"/>
      <c r="BK230" s="374"/>
      <c r="BL230" s="389"/>
      <c r="BM230" s="397"/>
      <c r="BN230" s="389"/>
      <c r="BO230" s="419" t="str">
        <f t="shared" si="106"/>
        <v/>
      </c>
      <c r="BP230" s="389"/>
      <c r="BQ230" s="397"/>
      <c r="BR230" s="419"/>
      <c r="BS230" s="419"/>
      <c r="BT230" s="419"/>
      <c r="BU230" s="432"/>
      <c r="BV230" s="419"/>
      <c r="BW230" s="419"/>
      <c r="BX230" s="419"/>
      <c r="BY230" s="389"/>
      <c r="BZ230" s="389"/>
      <c r="CA230" s="389"/>
      <c r="CB230" s="389"/>
      <c r="CC230" s="389"/>
      <c r="CD230" s="389"/>
      <c r="CE230" s="389"/>
      <c r="CF230" s="389"/>
      <c r="CG230" s="389"/>
      <c r="CH230" s="389"/>
      <c r="CI230" s="389"/>
      <c r="CJ230" s="422"/>
      <c r="CK230" s="422"/>
      <c r="CL230" s="422"/>
      <c r="CM230" s="422"/>
      <c r="CN230" s="422"/>
      <c r="CO230" s="422"/>
      <c r="CP230" s="422"/>
      <c r="CQ230" s="432"/>
      <c r="CR230" s="431" t="str">
        <f t="shared" si="95"/>
        <v/>
      </c>
      <c r="CS230" s="35" t="str">
        <f t="shared" si="96"/>
        <v>Direct or WHSE.</v>
      </c>
      <c r="CT230" s="411"/>
      <c r="CW230" s="153" t="str">
        <f t="shared" si="98"/>
        <v/>
      </c>
      <c r="CX230" s="153" t="str">
        <f t="shared" si="98"/>
        <v/>
      </c>
      <c r="CY230" s="153" t="str">
        <f t="shared" si="97"/>
        <v/>
      </c>
    </row>
    <row r="231" spans="1:103" ht="19.5" customHeight="1">
      <c r="A231" s="10">
        <v>209</v>
      </c>
      <c r="B231" s="373"/>
      <c r="C231" s="373"/>
      <c r="D231" s="396"/>
      <c r="E231" s="375"/>
      <c r="F231" s="373"/>
      <c r="G231" s="373"/>
      <c r="H231" s="376"/>
      <c r="I231" s="377"/>
      <c r="J231" s="378"/>
      <c r="K231" s="379"/>
      <c r="L231" s="374"/>
      <c r="M231" s="380" t="str">
        <f t="shared" ca="1" si="99"/>
        <v/>
      </c>
      <c r="N231" s="373"/>
      <c r="O231" s="381"/>
      <c r="P231" s="381"/>
      <c r="Q231" s="382"/>
      <c r="R231" s="381"/>
      <c r="S231" s="383"/>
      <c r="T231" s="384" t="str">
        <f t="shared" si="100"/>
        <v/>
      </c>
      <c r="U231" s="385"/>
      <c r="V231" s="384" t="str">
        <f t="shared" si="101"/>
        <v/>
      </c>
      <c r="W231" s="386"/>
      <c r="X231" s="386" t="str">
        <f t="shared" si="102"/>
        <v/>
      </c>
      <c r="Y231" s="386" t="str">
        <f t="shared" si="84"/>
        <v/>
      </c>
      <c r="Z231" s="386" t="str">
        <f t="shared" si="85"/>
        <v/>
      </c>
      <c r="AA231" s="387"/>
      <c r="AB231" s="386" t="str">
        <f t="shared" si="86"/>
        <v/>
      </c>
      <c r="AC231" s="386" t="str">
        <f t="shared" si="87"/>
        <v/>
      </c>
      <c r="AD231" s="386" t="str">
        <f t="shared" si="88"/>
        <v/>
      </c>
      <c r="AE231" s="386" t="str">
        <f t="shared" si="89"/>
        <v/>
      </c>
      <c r="AF231" s="386" t="str">
        <f t="shared" si="90"/>
        <v/>
      </c>
      <c r="AG231" s="386" t="str">
        <f t="shared" si="91"/>
        <v/>
      </c>
      <c r="AH231" s="386" t="str">
        <f t="shared" si="92"/>
        <v/>
      </c>
      <c r="AI231" s="386" t="str">
        <f t="shared" si="103"/>
        <v/>
      </c>
      <c r="AJ231" s="386" t="str">
        <f t="shared" si="104"/>
        <v/>
      </c>
      <c r="AK231" s="386" t="str">
        <f t="shared" si="105"/>
        <v/>
      </c>
      <c r="AL231" s="388"/>
      <c r="AM231" s="388"/>
      <c r="AN231" s="388"/>
      <c r="AO231" s="388"/>
      <c r="AP231" s="402" t="str">
        <f t="shared" si="93"/>
        <v/>
      </c>
      <c r="AQ231" s="388"/>
      <c r="AR231" s="388"/>
      <c r="AS231" s="388"/>
      <c r="AT231" s="388"/>
      <c r="AU231" s="402" t="str">
        <f t="shared" si="94"/>
        <v/>
      </c>
      <c r="AV231" s="389"/>
      <c r="AW231" s="381"/>
      <c r="AX231" s="381"/>
      <c r="AY231" s="373"/>
      <c r="AZ231" s="390"/>
      <c r="BA231" s="390"/>
      <c r="BB231" s="391"/>
      <c r="BC231" s="392"/>
      <c r="BD231" s="393"/>
      <c r="BE231" s="393"/>
      <c r="BF231" s="393"/>
      <c r="BG231" s="394"/>
      <c r="BH231" s="395"/>
      <c r="BI231" s="374"/>
      <c r="BJ231" s="374"/>
      <c r="BK231" s="374"/>
      <c r="BL231" s="389"/>
      <c r="BM231" s="397"/>
      <c r="BN231" s="389"/>
      <c r="BO231" s="419" t="str">
        <f t="shared" si="106"/>
        <v/>
      </c>
      <c r="BP231" s="389"/>
      <c r="BQ231" s="397"/>
      <c r="BR231" s="419"/>
      <c r="BS231" s="419"/>
      <c r="BT231" s="419"/>
      <c r="BU231" s="432"/>
      <c r="BV231" s="419"/>
      <c r="BW231" s="419"/>
      <c r="BX231" s="419"/>
      <c r="BY231" s="389"/>
      <c r="BZ231" s="389"/>
      <c r="CA231" s="389"/>
      <c r="CB231" s="389"/>
      <c r="CC231" s="389"/>
      <c r="CD231" s="389"/>
      <c r="CE231" s="389"/>
      <c r="CF231" s="389"/>
      <c r="CG231" s="389"/>
      <c r="CH231" s="389"/>
      <c r="CI231" s="389"/>
      <c r="CJ231" s="422"/>
      <c r="CK231" s="422"/>
      <c r="CL231" s="422"/>
      <c r="CM231" s="422"/>
      <c r="CN231" s="422"/>
      <c r="CO231" s="422"/>
      <c r="CP231" s="422"/>
      <c r="CQ231" s="432"/>
      <c r="CR231" s="431" t="str">
        <f t="shared" si="95"/>
        <v/>
      </c>
      <c r="CS231" s="35" t="str">
        <f t="shared" si="96"/>
        <v>Direct or WHSE.</v>
      </c>
      <c r="CT231" s="411"/>
      <c r="CW231" s="153" t="str">
        <f t="shared" si="98"/>
        <v/>
      </c>
      <c r="CX231" s="153" t="str">
        <f t="shared" si="98"/>
        <v/>
      </c>
      <c r="CY231" s="153" t="str">
        <f t="shared" si="97"/>
        <v/>
      </c>
    </row>
    <row r="232" spans="1:103" ht="19.5" customHeight="1">
      <c r="A232" s="10">
        <v>210</v>
      </c>
      <c r="B232" s="373"/>
      <c r="C232" s="373"/>
      <c r="D232" s="396"/>
      <c r="E232" s="375"/>
      <c r="F232" s="373"/>
      <c r="G232" s="373"/>
      <c r="H232" s="376"/>
      <c r="I232" s="377"/>
      <c r="J232" s="378"/>
      <c r="K232" s="379"/>
      <c r="L232" s="374"/>
      <c r="M232" s="380" t="str">
        <f t="shared" ca="1" si="99"/>
        <v/>
      </c>
      <c r="N232" s="373"/>
      <c r="O232" s="381"/>
      <c r="P232" s="381"/>
      <c r="Q232" s="382"/>
      <c r="R232" s="381"/>
      <c r="S232" s="383"/>
      <c r="T232" s="384" t="str">
        <f t="shared" si="100"/>
        <v/>
      </c>
      <c r="U232" s="385"/>
      <c r="V232" s="384" t="str">
        <f t="shared" si="101"/>
        <v/>
      </c>
      <c r="W232" s="386"/>
      <c r="X232" s="386" t="str">
        <f t="shared" si="102"/>
        <v/>
      </c>
      <c r="Y232" s="386" t="str">
        <f t="shared" si="84"/>
        <v/>
      </c>
      <c r="Z232" s="386" t="str">
        <f t="shared" si="85"/>
        <v/>
      </c>
      <c r="AA232" s="387"/>
      <c r="AB232" s="386" t="str">
        <f t="shared" si="86"/>
        <v/>
      </c>
      <c r="AC232" s="386" t="str">
        <f t="shared" si="87"/>
        <v/>
      </c>
      <c r="AD232" s="386" t="str">
        <f t="shared" si="88"/>
        <v/>
      </c>
      <c r="AE232" s="386" t="str">
        <f t="shared" si="89"/>
        <v/>
      </c>
      <c r="AF232" s="386" t="str">
        <f t="shared" si="90"/>
        <v/>
      </c>
      <c r="AG232" s="386" t="str">
        <f t="shared" si="91"/>
        <v/>
      </c>
      <c r="AH232" s="386" t="str">
        <f t="shared" si="92"/>
        <v/>
      </c>
      <c r="AI232" s="386" t="str">
        <f t="shared" si="103"/>
        <v/>
      </c>
      <c r="AJ232" s="386" t="str">
        <f t="shared" si="104"/>
        <v/>
      </c>
      <c r="AK232" s="386" t="str">
        <f t="shared" si="105"/>
        <v/>
      </c>
      <c r="AL232" s="388"/>
      <c r="AM232" s="388"/>
      <c r="AN232" s="388"/>
      <c r="AO232" s="388"/>
      <c r="AP232" s="402" t="str">
        <f t="shared" si="93"/>
        <v/>
      </c>
      <c r="AQ232" s="388"/>
      <c r="AR232" s="388"/>
      <c r="AS232" s="388"/>
      <c r="AT232" s="388"/>
      <c r="AU232" s="402" t="str">
        <f t="shared" si="94"/>
        <v/>
      </c>
      <c r="AV232" s="389"/>
      <c r="AW232" s="381"/>
      <c r="AX232" s="381"/>
      <c r="AY232" s="373"/>
      <c r="AZ232" s="390"/>
      <c r="BA232" s="390"/>
      <c r="BB232" s="391"/>
      <c r="BC232" s="392"/>
      <c r="BD232" s="393"/>
      <c r="BE232" s="393"/>
      <c r="BF232" s="393"/>
      <c r="BG232" s="394"/>
      <c r="BH232" s="395"/>
      <c r="BI232" s="374"/>
      <c r="BJ232" s="374"/>
      <c r="BK232" s="374"/>
      <c r="BL232" s="389"/>
      <c r="BM232" s="397"/>
      <c r="BN232" s="389"/>
      <c r="BO232" s="419" t="str">
        <f t="shared" si="106"/>
        <v/>
      </c>
      <c r="BP232" s="389"/>
      <c r="BQ232" s="397"/>
      <c r="BR232" s="419"/>
      <c r="BS232" s="419"/>
      <c r="BT232" s="419"/>
      <c r="BU232" s="432"/>
      <c r="BV232" s="419"/>
      <c r="BW232" s="419"/>
      <c r="BX232" s="419"/>
      <c r="BY232" s="389"/>
      <c r="BZ232" s="389"/>
      <c r="CA232" s="389"/>
      <c r="CB232" s="389"/>
      <c r="CC232" s="389"/>
      <c r="CD232" s="389"/>
      <c r="CE232" s="389"/>
      <c r="CF232" s="389"/>
      <c r="CG232" s="389"/>
      <c r="CH232" s="389"/>
      <c r="CI232" s="389"/>
      <c r="CJ232" s="422"/>
      <c r="CK232" s="422"/>
      <c r="CL232" s="422"/>
      <c r="CM232" s="422"/>
      <c r="CN232" s="422"/>
      <c r="CO232" s="422"/>
      <c r="CP232" s="422"/>
      <c r="CQ232" s="432"/>
      <c r="CR232" s="431" t="str">
        <f t="shared" si="95"/>
        <v/>
      </c>
      <c r="CS232" s="35" t="str">
        <f t="shared" si="96"/>
        <v>Direct or WHSE.</v>
      </c>
      <c r="CT232" s="411"/>
      <c r="CW232" s="153" t="str">
        <f t="shared" si="98"/>
        <v/>
      </c>
      <c r="CX232" s="153" t="str">
        <f t="shared" si="98"/>
        <v/>
      </c>
      <c r="CY232" s="153" t="str">
        <f t="shared" si="97"/>
        <v/>
      </c>
    </row>
    <row r="233" spans="1:103" ht="19.5" customHeight="1">
      <c r="A233" s="10">
        <v>211</v>
      </c>
      <c r="B233" s="373"/>
      <c r="C233" s="373"/>
      <c r="D233" s="396"/>
      <c r="E233" s="375"/>
      <c r="F233" s="373"/>
      <c r="G233" s="373"/>
      <c r="H233" s="376"/>
      <c r="I233" s="377"/>
      <c r="J233" s="378"/>
      <c r="K233" s="379"/>
      <c r="L233" s="374"/>
      <c r="M233" s="380" t="str">
        <f t="shared" ca="1" si="99"/>
        <v/>
      </c>
      <c r="N233" s="373"/>
      <c r="O233" s="381"/>
      <c r="P233" s="381"/>
      <c r="Q233" s="382"/>
      <c r="R233" s="381"/>
      <c r="S233" s="383"/>
      <c r="T233" s="384" t="str">
        <f t="shared" si="100"/>
        <v/>
      </c>
      <c r="U233" s="385"/>
      <c r="V233" s="384" t="str">
        <f t="shared" si="101"/>
        <v/>
      </c>
      <c r="W233" s="386"/>
      <c r="X233" s="386" t="str">
        <f t="shared" si="102"/>
        <v/>
      </c>
      <c r="Y233" s="386" t="str">
        <f t="shared" si="84"/>
        <v/>
      </c>
      <c r="Z233" s="386" t="str">
        <f t="shared" si="85"/>
        <v/>
      </c>
      <c r="AA233" s="387"/>
      <c r="AB233" s="386" t="str">
        <f t="shared" si="86"/>
        <v/>
      </c>
      <c r="AC233" s="386" t="str">
        <f t="shared" si="87"/>
        <v/>
      </c>
      <c r="AD233" s="386" t="str">
        <f t="shared" si="88"/>
        <v/>
      </c>
      <c r="AE233" s="386" t="str">
        <f t="shared" si="89"/>
        <v/>
      </c>
      <c r="AF233" s="386" t="str">
        <f t="shared" si="90"/>
        <v/>
      </c>
      <c r="AG233" s="386" t="str">
        <f t="shared" si="91"/>
        <v/>
      </c>
      <c r="AH233" s="386" t="str">
        <f t="shared" si="92"/>
        <v/>
      </c>
      <c r="AI233" s="386" t="str">
        <f t="shared" si="103"/>
        <v/>
      </c>
      <c r="AJ233" s="386" t="str">
        <f t="shared" si="104"/>
        <v/>
      </c>
      <c r="AK233" s="386" t="str">
        <f t="shared" si="105"/>
        <v/>
      </c>
      <c r="AL233" s="388"/>
      <c r="AM233" s="388"/>
      <c r="AN233" s="388"/>
      <c r="AO233" s="388"/>
      <c r="AP233" s="402" t="str">
        <f t="shared" si="93"/>
        <v/>
      </c>
      <c r="AQ233" s="388"/>
      <c r="AR233" s="388"/>
      <c r="AS233" s="388"/>
      <c r="AT233" s="388"/>
      <c r="AU233" s="402" t="str">
        <f t="shared" si="94"/>
        <v/>
      </c>
      <c r="AV233" s="389"/>
      <c r="AW233" s="381"/>
      <c r="AX233" s="381"/>
      <c r="AY233" s="373"/>
      <c r="AZ233" s="390"/>
      <c r="BA233" s="390"/>
      <c r="BB233" s="391"/>
      <c r="BC233" s="392"/>
      <c r="BD233" s="393"/>
      <c r="BE233" s="393"/>
      <c r="BF233" s="393"/>
      <c r="BG233" s="394"/>
      <c r="BH233" s="395"/>
      <c r="BI233" s="374"/>
      <c r="BJ233" s="374"/>
      <c r="BK233" s="374"/>
      <c r="BL233" s="389"/>
      <c r="BM233" s="397"/>
      <c r="BN233" s="389"/>
      <c r="BO233" s="419" t="str">
        <f t="shared" si="106"/>
        <v/>
      </c>
      <c r="BP233" s="389"/>
      <c r="BQ233" s="397"/>
      <c r="BR233" s="419"/>
      <c r="BS233" s="419"/>
      <c r="BT233" s="419"/>
      <c r="BU233" s="432"/>
      <c r="BV233" s="419"/>
      <c r="BW233" s="419"/>
      <c r="BX233" s="419"/>
      <c r="BY233" s="389"/>
      <c r="BZ233" s="389"/>
      <c r="CA233" s="389"/>
      <c r="CB233" s="389"/>
      <c r="CC233" s="389"/>
      <c r="CD233" s="389"/>
      <c r="CE233" s="389"/>
      <c r="CF233" s="389"/>
      <c r="CG233" s="389"/>
      <c r="CH233" s="389"/>
      <c r="CI233" s="389"/>
      <c r="CJ233" s="422"/>
      <c r="CK233" s="422"/>
      <c r="CL233" s="422"/>
      <c r="CM233" s="422"/>
      <c r="CN233" s="422"/>
      <c r="CO233" s="422"/>
      <c r="CP233" s="422"/>
      <c r="CQ233" s="432"/>
      <c r="CR233" s="431" t="str">
        <f t="shared" si="95"/>
        <v/>
      </c>
      <c r="CS233" s="35" t="str">
        <f t="shared" si="96"/>
        <v>Direct or WHSE.</v>
      </c>
      <c r="CT233" s="411"/>
      <c r="CW233" s="153" t="str">
        <f t="shared" si="98"/>
        <v/>
      </c>
      <c r="CX233" s="153" t="str">
        <f t="shared" si="98"/>
        <v/>
      </c>
      <c r="CY233" s="153" t="str">
        <f t="shared" si="97"/>
        <v/>
      </c>
    </row>
    <row r="234" spans="1:103" ht="19.5" customHeight="1">
      <c r="A234" s="10">
        <v>212</v>
      </c>
      <c r="B234" s="373"/>
      <c r="C234" s="373"/>
      <c r="D234" s="396"/>
      <c r="E234" s="375"/>
      <c r="F234" s="373"/>
      <c r="G234" s="373"/>
      <c r="H234" s="376"/>
      <c r="I234" s="377"/>
      <c r="J234" s="378"/>
      <c r="K234" s="379"/>
      <c r="L234" s="374"/>
      <c r="M234" s="380" t="str">
        <f t="shared" ca="1" si="99"/>
        <v/>
      </c>
      <c r="N234" s="373"/>
      <c r="O234" s="381"/>
      <c r="P234" s="381"/>
      <c r="Q234" s="382"/>
      <c r="R234" s="381"/>
      <c r="S234" s="383"/>
      <c r="T234" s="384" t="str">
        <f t="shared" si="100"/>
        <v/>
      </c>
      <c r="U234" s="385"/>
      <c r="V234" s="384" t="str">
        <f t="shared" si="101"/>
        <v/>
      </c>
      <c r="W234" s="386"/>
      <c r="X234" s="386" t="str">
        <f t="shared" si="102"/>
        <v/>
      </c>
      <c r="Y234" s="386" t="str">
        <f t="shared" si="84"/>
        <v/>
      </c>
      <c r="Z234" s="386" t="str">
        <f t="shared" si="85"/>
        <v/>
      </c>
      <c r="AA234" s="387"/>
      <c r="AB234" s="386" t="str">
        <f t="shared" si="86"/>
        <v/>
      </c>
      <c r="AC234" s="386" t="str">
        <f t="shared" si="87"/>
        <v/>
      </c>
      <c r="AD234" s="386" t="str">
        <f t="shared" si="88"/>
        <v/>
      </c>
      <c r="AE234" s="386" t="str">
        <f t="shared" si="89"/>
        <v/>
      </c>
      <c r="AF234" s="386" t="str">
        <f t="shared" si="90"/>
        <v/>
      </c>
      <c r="AG234" s="386" t="str">
        <f t="shared" si="91"/>
        <v/>
      </c>
      <c r="AH234" s="386" t="str">
        <f t="shared" si="92"/>
        <v/>
      </c>
      <c r="AI234" s="386" t="str">
        <f t="shared" si="103"/>
        <v/>
      </c>
      <c r="AJ234" s="386" t="str">
        <f t="shared" si="104"/>
        <v/>
      </c>
      <c r="AK234" s="386" t="str">
        <f t="shared" si="105"/>
        <v/>
      </c>
      <c r="AL234" s="388"/>
      <c r="AM234" s="388"/>
      <c r="AN234" s="388"/>
      <c r="AO234" s="388"/>
      <c r="AP234" s="402" t="str">
        <f t="shared" si="93"/>
        <v/>
      </c>
      <c r="AQ234" s="388"/>
      <c r="AR234" s="388"/>
      <c r="AS234" s="388"/>
      <c r="AT234" s="388"/>
      <c r="AU234" s="402" t="str">
        <f t="shared" si="94"/>
        <v/>
      </c>
      <c r="AV234" s="389"/>
      <c r="AW234" s="381"/>
      <c r="AX234" s="381"/>
      <c r="AY234" s="373"/>
      <c r="AZ234" s="390"/>
      <c r="BA234" s="390"/>
      <c r="BB234" s="391"/>
      <c r="BC234" s="392"/>
      <c r="BD234" s="393"/>
      <c r="BE234" s="393"/>
      <c r="BF234" s="393"/>
      <c r="BG234" s="394"/>
      <c r="BH234" s="395"/>
      <c r="BI234" s="374"/>
      <c r="BJ234" s="374"/>
      <c r="BK234" s="374"/>
      <c r="BL234" s="389"/>
      <c r="BM234" s="397"/>
      <c r="BN234" s="389"/>
      <c r="BO234" s="419" t="str">
        <f t="shared" si="106"/>
        <v/>
      </c>
      <c r="BP234" s="389"/>
      <c r="BQ234" s="397"/>
      <c r="BR234" s="419"/>
      <c r="BS234" s="419"/>
      <c r="BT234" s="419"/>
      <c r="BU234" s="432"/>
      <c r="BV234" s="419"/>
      <c r="BW234" s="419"/>
      <c r="BX234" s="419"/>
      <c r="BY234" s="389"/>
      <c r="BZ234" s="389"/>
      <c r="CA234" s="389"/>
      <c r="CB234" s="389"/>
      <c r="CC234" s="389"/>
      <c r="CD234" s="389"/>
      <c r="CE234" s="389"/>
      <c r="CF234" s="389"/>
      <c r="CG234" s="389"/>
      <c r="CH234" s="389"/>
      <c r="CI234" s="389"/>
      <c r="CJ234" s="422"/>
      <c r="CK234" s="422"/>
      <c r="CL234" s="422"/>
      <c r="CM234" s="422"/>
      <c r="CN234" s="422"/>
      <c r="CO234" s="422"/>
      <c r="CP234" s="422"/>
      <c r="CQ234" s="432"/>
      <c r="CR234" s="431" t="str">
        <f t="shared" si="95"/>
        <v/>
      </c>
      <c r="CS234" s="35" t="str">
        <f t="shared" si="96"/>
        <v>Direct or WHSE.</v>
      </c>
      <c r="CT234" s="411"/>
      <c r="CW234" s="153" t="str">
        <f t="shared" si="98"/>
        <v/>
      </c>
      <c r="CX234" s="153" t="str">
        <f t="shared" si="98"/>
        <v/>
      </c>
      <c r="CY234" s="153" t="str">
        <f t="shared" si="97"/>
        <v/>
      </c>
    </row>
    <row r="235" spans="1:103" ht="19.5" customHeight="1">
      <c r="A235" s="10">
        <v>213</v>
      </c>
      <c r="B235" s="373"/>
      <c r="C235" s="373"/>
      <c r="D235" s="396"/>
      <c r="E235" s="375"/>
      <c r="F235" s="373"/>
      <c r="G235" s="373"/>
      <c r="H235" s="376"/>
      <c r="I235" s="377"/>
      <c r="J235" s="378"/>
      <c r="K235" s="379"/>
      <c r="L235" s="374"/>
      <c r="M235" s="380" t="str">
        <f t="shared" ca="1" si="99"/>
        <v/>
      </c>
      <c r="N235" s="373"/>
      <c r="O235" s="381"/>
      <c r="P235" s="381"/>
      <c r="Q235" s="382"/>
      <c r="R235" s="381"/>
      <c r="S235" s="383"/>
      <c r="T235" s="384" t="str">
        <f t="shared" si="100"/>
        <v/>
      </c>
      <c r="U235" s="385"/>
      <c r="V235" s="384" t="str">
        <f t="shared" si="101"/>
        <v/>
      </c>
      <c r="W235" s="386"/>
      <c r="X235" s="386" t="str">
        <f t="shared" si="102"/>
        <v/>
      </c>
      <c r="Y235" s="386" t="str">
        <f t="shared" si="84"/>
        <v/>
      </c>
      <c r="Z235" s="386" t="str">
        <f t="shared" si="85"/>
        <v/>
      </c>
      <c r="AA235" s="387"/>
      <c r="AB235" s="386" t="str">
        <f t="shared" si="86"/>
        <v/>
      </c>
      <c r="AC235" s="386" t="str">
        <f t="shared" si="87"/>
        <v/>
      </c>
      <c r="AD235" s="386" t="str">
        <f t="shared" si="88"/>
        <v/>
      </c>
      <c r="AE235" s="386" t="str">
        <f t="shared" si="89"/>
        <v/>
      </c>
      <c r="AF235" s="386" t="str">
        <f t="shared" si="90"/>
        <v/>
      </c>
      <c r="AG235" s="386" t="str">
        <f t="shared" si="91"/>
        <v/>
      </c>
      <c r="AH235" s="386" t="str">
        <f t="shared" si="92"/>
        <v/>
      </c>
      <c r="AI235" s="386" t="str">
        <f t="shared" si="103"/>
        <v/>
      </c>
      <c r="AJ235" s="386" t="str">
        <f t="shared" si="104"/>
        <v/>
      </c>
      <c r="AK235" s="386" t="str">
        <f t="shared" si="105"/>
        <v/>
      </c>
      <c r="AL235" s="388"/>
      <c r="AM235" s="388"/>
      <c r="AN235" s="388"/>
      <c r="AO235" s="388"/>
      <c r="AP235" s="402" t="str">
        <f t="shared" si="93"/>
        <v/>
      </c>
      <c r="AQ235" s="388"/>
      <c r="AR235" s="388"/>
      <c r="AS235" s="388"/>
      <c r="AT235" s="388"/>
      <c r="AU235" s="402" t="str">
        <f t="shared" si="94"/>
        <v/>
      </c>
      <c r="AV235" s="389"/>
      <c r="AW235" s="381"/>
      <c r="AX235" s="381"/>
      <c r="AY235" s="373"/>
      <c r="AZ235" s="390"/>
      <c r="BA235" s="390"/>
      <c r="BB235" s="391"/>
      <c r="BC235" s="392"/>
      <c r="BD235" s="393"/>
      <c r="BE235" s="393"/>
      <c r="BF235" s="393"/>
      <c r="BG235" s="394"/>
      <c r="BH235" s="395"/>
      <c r="BI235" s="374"/>
      <c r="BJ235" s="374"/>
      <c r="BK235" s="374"/>
      <c r="BL235" s="389"/>
      <c r="BM235" s="397"/>
      <c r="BN235" s="389"/>
      <c r="BO235" s="419" t="str">
        <f t="shared" si="106"/>
        <v/>
      </c>
      <c r="BP235" s="389"/>
      <c r="BQ235" s="397"/>
      <c r="BR235" s="419"/>
      <c r="BS235" s="419"/>
      <c r="BT235" s="419"/>
      <c r="BU235" s="432"/>
      <c r="BV235" s="419"/>
      <c r="BW235" s="419"/>
      <c r="BX235" s="419"/>
      <c r="BY235" s="389"/>
      <c r="BZ235" s="389"/>
      <c r="CA235" s="389"/>
      <c r="CB235" s="389"/>
      <c r="CC235" s="389"/>
      <c r="CD235" s="389"/>
      <c r="CE235" s="389"/>
      <c r="CF235" s="389"/>
      <c r="CG235" s="389"/>
      <c r="CH235" s="389"/>
      <c r="CI235" s="389"/>
      <c r="CJ235" s="422"/>
      <c r="CK235" s="422"/>
      <c r="CL235" s="422"/>
      <c r="CM235" s="422"/>
      <c r="CN235" s="422"/>
      <c r="CO235" s="422"/>
      <c r="CP235" s="422"/>
      <c r="CQ235" s="432"/>
      <c r="CR235" s="431" t="str">
        <f t="shared" si="95"/>
        <v/>
      </c>
      <c r="CS235" s="35" t="str">
        <f t="shared" si="96"/>
        <v>Direct or WHSE.</v>
      </c>
      <c r="CT235" s="411"/>
      <c r="CW235" s="153" t="str">
        <f t="shared" si="98"/>
        <v/>
      </c>
      <c r="CX235" s="153" t="str">
        <f t="shared" si="98"/>
        <v/>
      </c>
      <c r="CY235" s="153" t="str">
        <f t="shared" si="97"/>
        <v/>
      </c>
    </row>
    <row r="236" spans="1:103" ht="19.5" customHeight="1">
      <c r="A236" s="10">
        <v>214</v>
      </c>
      <c r="B236" s="373"/>
      <c r="C236" s="373"/>
      <c r="D236" s="396"/>
      <c r="E236" s="375"/>
      <c r="F236" s="373"/>
      <c r="G236" s="373"/>
      <c r="H236" s="376"/>
      <c r="I236" s="377"/>
      <c r="J236" s="378"/>
      <c r="K236" s="379"/>
      <c r="L236" s="374"/>
      <c r="M236" s="380" t="str">
        <f t="shared" ca="1" si="99"/>
        <v/>
      </c>
      <c r="N236" s="373"/>
      <c r="O236" s="381"/>
      <c r="P236" s="381"/>
      <c r="Q236" s="382"/>
      <c r="R236" s="381"/>
      <c r="S236" s="383"/>
      <c r="T236" s="384" t="str">
        <f t="shared" si="100"/>
        <v/>
      </c>
      <c r="U236" s="385"/>
      <c r="V236" s="384" t="str">
        <f t="shared" si="101"/>
        <v/>
      </c>
      <c r="W236" s="386"/>
      <c r="X236" s="386" t="str">
        <f t="shared" si="102"/>
        <v/>
      </c>
      <c r="Y236" s="386" t="str">
        <f t="shared" si="84"/>
        <v/>
      </c>
      <c r="Z236" s="386" t="str">
        <f t="shared" si="85"/>
        <v/>
      </c>
      <c r="AA236" s="387"/>
      <c r="AB236" s="386" t="str">
        <f t="shared" si="86"/>
        <v/>
      </c>
      <c r="AC236" s="386" t="str">
        <f t="shared" si="87"/>
        <v/>
      </c>
      <c r="AD236" s="386" t="str">
        <f t="shared" si="88"/>
        <v/>
      </c>
      <c r="AE236" s="386" t="str">
        <f t="shared" si="89"/>
        <v/>
      </c>
      <c r="AF236" s="386" t="str">
        <f t="shared" si="90"/>
        <v/>
      </c>
      <c r="AG236" s="386" t="str">
        <f t="shared" si="91"/>
        <v/>
      </c>
      <c r="AH236" s="386" t="str">
        <f t="shared" si="92"/>
        <v/>
      </c>
      <c r="AI236" s="386" t="str">
        <f t="shared" si="103"/>
        <v/>
      </c>
      <c r="AJ236" s="386" t="str">
        <f t="shared" si="104"/>
        <v/>
      </c>
      <c r="AK236" s="386" t="str">
        <f t="shared" si="105"/>
        <v/>
      </c>
      <c r="AL236" s="388"/>
      <c r="AM236" s="388"/>
      <c r="AN236" s="388"/>
      <c r="AO236" s="388"/>
      <c r="AP236" s="402" t="str">
        <f t="shared" si="93"/>
        <v/>
      </c>
      <c r="AQ236" s="388"/>
      <c r="AR236" s="388"/>
      <c r="AS236" s="388"/>
      <c r="AT236" s="388"/>
      <c r="AU236" s="402" t="str">
        <f t="shared" si="94"/>
        <v/>
      </c>
      <c r="AV236" s="389"/>
      <c r="AW236" s="381"/>
      <c r="AX236" s="381"/>
      <c r="AY236" s="373"/>
      <c r="AZ236" s="390"/>
      <c r="BA236" s="390"/>
      <c r="BB236" s="391"/>
      <c r="BC236" s="392"/>
      <c r="BD236" s="393"/>
      <c r="BE236" s="393"/>
      <c r="BF236" s="393"/>
      <c r="BG236" s="394"/>
      <c r="BH236" s="395"/>
      <c r="BI236" s="374"/>
      <c r="BJ236" s="374"/>
      <c r="BK236" s="374"/>
      <c r="BL236" s="389"/>
      <c r="BM236" s="397"/>
      <c r="BN236" s="389"/>
      <c r="BO236" s="419" t="str">
        <f t="shared" si="106"/>
        <v/>
      </c>
      <c r="BP236" s="389"/>
      <c r="BQ236" s="397"/>
      <c r="BR236" s="419"/>
      <c r="BS236" s="419"/>
      <c r="BT236" s="419"/>
      <c r="BU236" s="432"/>
      <c r="BV236" s="419"/>
      <c r="BW236" s="419"/>
      <c r="BX236" s="419"/>
      <c r="BY236" s="389"/>
      <c r="BZ236" s="389"/>
      <c r="CA236" s="389"/>
      <c r="CB236" s="389"/>
      <c r="CC236" s="389"/>
      <c r="CD236" s="389"/>
      <c r="CE236" s="389"/>
      <c r="CF236" s="389"/>
      <c r="CG236" s="389"/>
      <c r="CH236" s="389"/>
      <c r="CI236" s="389"/>
      <c r="CJ236" s="422"/>
      <c r="CK236" s="422"/>
      <c r="CL236" s="422"/>
      <c r="CM236" s="422"/>
      <c r="CN236" s="422"/>
      <c r="CO236" s="422"/>
      <c r="CP236" s="422"/>
      <c r="CQ236" s="432"/>
      <c r="CR236" s="431" t="str">
        <f t="shared" si="95"/>
        <v/>
      </c>
      <c r="CS236" s="35" t="str">
        <f t="shared" si="96"/>
        <v>Direct or WHSE.</v>
      </c>
      <c r="CT236" s="411"/>
      <c r="CW236" s="153" t="str">
        <f t="shared" si="98"/>
        <v/>
      </c>
      <c r="CX236" s="153" t="str">
        <f t="shared" si="98"/>
        <v/>
      </c>
      <c r="CY236" s="153" t="str">
        <f t="shared" si="97"/>
        <v/>
      </c>
    </row>
    <row r="237" spans="1:103" ht="19.5" customHeight="1">
      <c r="A237" s="10">
        <v>215</v>
      </c>
      <c r="B237" s="373"/>
      <c r="C237" s="373"/>
      <c r="D237" s="396"/>
      <c r="E237" s="375"/>
      <c r="F237" s="373"/>
      <c r="G237" s="373"/>
      <c r="H237" s="376"/>
      <c r="I237" s="377"/>
      <c r="J237" s="378"/>
      <c r="K237" s="379"/>
      <c r="L237" s="374"/>
      <c r="M237" s="380" t="str">
        <f t="shared" ca="1" si="99"/>
        <v/>
      </c>
      <c r="N237" s="373"/>
      <c r="O237" s="381"/>
      <c r="P237" s="381"/>
      <c r="Q237" s="382"/>
      <c r="R237" s="381"/>
      <c r="S237" s="383"/>
      <c r="T237" s="384" t="str">
        <f t="shared" si="100"/>
        <v/>
      </c>
      <c r="U237" s="385"/>
      <c r="V237" s="384" t="str">
        <f t="shared" si="101"/>
        <v/>
      </c>
      <c r="W237" s="386"/>
      <c r="X237" s="386" t="str">
        <f t="shared" si="102"/>
        <v/>
      </c>
      <c r="Y237" s="386" t="str">
        <f t="shared" si="84"/>
        <v/>
      </c>
      <c r="Z237" s="386" t="str">
        <f t="shared" si="85"/>
        <v/>
      </c>
      <c r="AA237" s="387"/>
      <c r="AB237" s="386" t="str">
        <f t="shared" si="86"/>
        <v/>
      </c>
      <c r="AC237" s="386" t="str">
        <f t="shared" si="87"/>
        <v/>
      </c>
      <c r="AD237" s="386" t="str">
        <f t="shared" si="88"/>
        <v/>
      </c>
      <c r="AE237" s="386" t="str">
        <f t="shared" si="89"/>
        <v/>
      </c>
      <c r="AF237" s="386" t="str">
        <f t="shared" si="90"/>
        <v/>
      </c>
      <c r="AG237" s="386" t="str">
        <f t="shared" si="91"/>
        <v/>
      </c>
      <c r="AH237" s="386" t="str">
        <f t="shared" si="92"/>
        <v/>
      </c>
      <c r="AI237" s="386" t="str">
        <f t="shared" si="103"/>
        <v/>
      </c>
      <c r="AJ237" s="386" t="str">
        <f t="shared" si="104"/>
        <v/>
      </c>
      <c r="AK237" s="386" t="str">
        <f t="shared" si="105"/>
        <v/>
      </c>
      <c r="AL237" s="388"/>
      <c r="AM237" s="388"/>
      <c r="AN237" s="388"/>
      <c r="AO237" s="388"/>
      <c r="AP237" s="402" t="str">
        <f t="shared" si="93"/>
        <v/>
      </c>
      <c r="AQ237" s="388"/>
      <c r="AR237" s="388"/>
      <c r="AS237" s="388"/>
      <c r="AT237" s="388"/>
      <c r="AU237" s="402" t="str">
        <f t="shared" si="94"/>
        <v/>
      </c>
      <c r="AV237" s="389"/>
      <c r="AW237" s="381"/>
      <c r="AX237" s="381"/>
      <c r="AY237" s="373"/>
      <c r="AZ237" s="390"/>
      <c r="BA237" s="390"/>
      <c r="BB237" s="391"/>
      <c r="BC237" s="392"/>
      <c r="BD237" s="393"/>
      <c r="BE237" s="393"/>
      <c r="BF237" s="393"/>
      <c r="BG237" s="394"/>
      <c r="BH237" s="395"/>
      <c r="BI237" s="374"/>
      <c r="BJ237" s="374"/>
      <c r="BK237" s="374"/>
      <c r="BL237" s="389"/>
      <c r="BM237" s="397"/>
      <c r="BN237" s="389"/>
      <c r="BO237" s="419" t="str">
        <f t="shared" si="106"/>
        <v/>
      </c>
      <c r="BP237" s="389"/>
      <c r="BQ237" s="397"/>
      <c r="BR237" s="419"/>
      <c r="BS237" s="419"/>
      <c r="BT237" s="419"/>
      <c r="BU237" s="432"/>
      <c r="BV237" s="419"/>
      <c r="BW237" s="419"/>
      <c r="BX237" s="419"/>
      <c r="BY237" s="389"/>
      <c r="BZ237" s="389"/>
      <c r="CA237" s="389"/>
      <c r="CB237" s="389"/>
      <c r="CC237" s="389"/>
      <c r="CD237" s="389"/>
      <c r="CE237" s="389"/>
      <c r="CF237" s="389"/>
      <c r="CG237" s="389"/>
      <c r="CH237" s="389"/>
      <c r="CI237" s="389"/>
      <c r="CJ237" s="422"/>
      <c r="CK237" s="422"/>
      <c r="CL237" s="422"/>
      <c r="CM237" s="422"/>
      <c r="CN237" s="422"/>
      <c r="CO237" s="422"/>
      <c r="CP237" s="422"/>
      <c r="CQ237" s="432"/>
      <c r="CR237" s="431" t="str">
        <f t="shared" si="95"/>
        <v/>
      </c>
      <c r="CS237" s="35" t="str">
        <f t="shared" si="96"/>
        <v>Direct or WHSE.</v>
      </c>
      <c r="CT237" s="411"/>
      <c r="CW237" s="153" t="str">
        <f t="shared" si="98"/>
        <v/>
      </c>
      <c r="CX237" s="153" t="str">
        <f t="shared" si="98"/>
        <v/>
      </c>
      <c r="CY237" s="153" t="str">
        <f t="shared" si="97"/>
        <v/>
      </c>
    </row>
    <row r="238" spans="1:103" ht="19.5" customHeight="1">
      <c r="A238" s="10">
        <v>216</v>
      </c>
      <c r="B238" s="373"/>
      <c r="C238" s="373"/>
      <c r="D238" s="396"/>
      <c r="E238" s="375"/>
      <c r="F238" s="373"/>
      <c r="G238" s="373"/>
      <c r="H238" s="376"/>
      <c r="I238" s="377"/>
      <c r="J238" s="378"/>
      <c r="K238" s="379"/>
      <c r="L238" s="374"/>
      <c r="M238" s="380" t="str">
        <f t="shared" ca="1" si="99"/>
        <v/>
      </c>
      <c r="N238" s="373"/>
      <c r="O238" s="381"/>
      <c r="P238" s="381"/>
      <c r="Q238" s="382"/>
      <c r="R238" s="381"/>
      <c r="S238" s="383"/>
      <c r="T238" s="384" t="str">
        <f t="shared" si="100"/>
        <v/>
      </c>
      <c r="U238" s="385"/>
      <c r="V238" s="384" t="str">
        <f t="shared" si="101"/>
        <v/>
      </c>
      <c r="W238" s="386"/>
      <c r="X238" s="386" t="str">
        <f t="shared" si="102"/>
        <v/>
      </c>
      <c r="Y238" s="386" t="str">
        <f t="shared" si="84"/>
        <v/>
      </c>
      <c r="Z238" s="386" t="str">
        <f t="shared" si="85"/>
        <v/>
      </c>
      <c r="AA238" s="387"/>
      <c r="AB238" s="386" t="str">
        <f t="shared" si="86"/>
        <v/>
      </c>
      <c r="AC238" s="386" t="str">
        <f t="shared" si="87"/>
        <v/>
      </c>
      <c r="AD238" s="386" t="str">
        <f t="shared" si="88"/>
        <v/>
      </c>
      <c r="AE238" s="386" t="str">
        <f t="shared" si="89"/>
        <v/>
      </c>
      <c r="AF238" s="386" t="str">
        <f t="shared" si="90"/>
        <v/>
      </c>
      <c r="AG238" s="386" t="str">
        <f t="shared" si="91"/>
        <v/>
      </c>
      <c r="AH238" s="386" t="str">
        <f t="shared" si="92"/>
        <v/>
      </c>
      <c r="AI238" s="386" t="str">
        <f t="shared" si="103"/>
        <v/>
      </c>
      <c r="AJ238" s="386" t="str">
        <f t="shared" si="104"/>
        <v/>
      </c>
      <c r="AK238" s="386" t="str">
        <f t="shared" si="105"/>
        <v/>
      </c>
      <c r="AL238" s="388"/>
      <c r="AM238" s="388"/>
      <c r="AN238" s="388"/>
      <c r="AO238" s="388"/>
      <c r="AP238" s="402" t="str">
        <f t="shared" si="93"/>
        <v/>
      </c>
      <c r="AQ238" s="388"/>
      <c r="AR238" s="388"/>
      <c r="AS238" s="388"/>
      <c r="AT238" s="388"/>
      <c r="AU238" s="402" t="str">
        <f t="shared" si="94"/>
        <v/>
      </c>
      <c r="AV238" s="389"/>
      <c r="AW238" s="381"/>
      <c r="AX238" s="381"/>
      <c r="AY238" s="373"/>
      <c r="AZ238" s="390"/>
      <c r="BA238" s="390"/>
      <c r="BB238" s="391"/>
      <c r="BC238" s="392"/>
      <c r="BD238" s="393"/>
      <c r="BE238" s="393"/>
      <c r="BF238" s="393"/>
      <c r="BG238" s="394"/>
      <c r="BH238" s="395"/>
      <c r="BI238" s="374"/>
      <c r="BJ238" s="374"/>
      <c r="BK238" s="374"/>
      <c r="BL238" s="389"/>
      <c r="BM238" s="397"/>
      <c r="BN238" s="389"/>
      <c r="BO238" s="419" t="str">
        <f t="shared" si="106"/>
        <v/>
      </c>
      <c r="BP238" s="389"/>
      <c r="BQ238" s="397"/>
      <c r="BR238" s="419"/>
      <c r="BS238" s="419"/>
      <c r="BT238" s="419"/>
      <c r="BU238" s="432"/>
      <c r="BV238" s="419"/>
      <c r="BW238" s="419"/>
      <c r="BX238" s="419"/>
      <c r="BY238" s="389"/>
      <c r="BZ238" s="389"/>
      <c r="CA238" s="389"/>
      <c r="CB238" s="389"/>
      <c r="CC238" s="389"/>
      <c r="CD238" s="389"/>
      <c r="CE238" s="389"/>
      <c r="CF238" s="389"/>
      <c r="CG238" s="389"/>
      <c r="CH238" s="389"/>
      <c r="CI238" s="389"/>
      <c r="CJ238" s="422"/>
      <c r="CK238" s="422"/>
      <c r="CL238" s="422"/>
      <c r="CM238" s="422"/>
      <c r="CN238" s="422"/>
      <c r="CO238" s="422"/>
      <c r="CP238" s="422"/>
      <c r="CQ238" s="432"/>
      <c r="CR238" s="431" t="str">
        <f t="shared" si="95"/>
        <v/>
      </c>
      <c r="CS238" s="35" t="str">
        <f t="shared" si="96"/>
        <v>Direct or WHSE.</v>
      </c>
      <c r="CT238" s="411"/>
      <c r="CW238" s="153" t="str">
        <f t="shared" si="98"/>
        <v/>
      </c>
      <c r="CX238" s="153" t="str">
        <f t="shared" si="98"/>
        <v/>
      </c>
      <c r="CY238" s="153" t="str">
        <f t="shared" si="97"/>
        <v/>
      </c>
    </row>
    <row r="239" spans="1:103" ht="19.5" customHeight="1">
      <c r="A239" s="10">
        <v>217</v>
      </c>
      <c r="B239" s="373"/>
      <c r="C239" s="373"/>
      <c r="D239" s="396"/>
      <c r="E239" s="375"/>
      <c r="F239" s="373"/>
      <c r="G239" s="373"/>
      <c r="H239" s="376"/>
      <c r="I239" s="377"/>
      <c r="J239" s="378"/>
      <c r="K239" s="379"/>
      <c r="L239" s="374"/>
      <c r="M239" s="380" t="str">
        <f t="shared" ca="1" si="99"/>
        <v/>
      </c>
      <c r="N239" s="373"/>
      <c r="O239" s="381"/>
      <c r="P239" s="381"/>
      <c r="Q239" s="382"/>
      <c r="R239" s="381"/>
      <c r="S239" s="383"/>
      <c r="T239" s="384" t="str">
        <f t="shared" si="100"/>
        <v/>
      </c>
      <c r="U239" s="385"/>
      <c r="V239" s="384" t="str">
        <f t="shared" si="101"/>
        <v/>
      </c>
      <c r="W239" s="386"/>
      <c r="X239" s="386" t="str">
        <f t="shared" si="102"/>
        <v/>
      </c>
      <c r="Y239" s="386" t="str">
        <f t="shared" si="84"/>
        <v/>
      </c>
      <c r="Z239" s="386" t="str">
        <f t="shared" si="85"/>
        <v/>
      </c>
      <c r="AA239" s="387"/>
      <c r="AB239" s="386" t="str">
        <f t="shared" si="86"/>
        <v/>
      </c>
      <c r="AC239" s="386" t="str">
        <f t="shared" si="87"/>
        <v/>
      </c>
      <c r="AD239" s="386" t="str">
        <f t="shared" si="88"/>
        <v/>
      </c>
      <c r="AE239" s="386" t="str">
        <f t="shared" si="89"/>
        <v/>
      </c>
      <c r="AF239" s="386" t="str">
        <f t="shared" si="90"/>
        <v/>
      </c>
      <c r="AG239" s="386" t="str">
        <f t="shared" si="91"/>
        <v/>
      </c>
      <c r="AH239" s="386" t="str">
        <f t="shared" si="92"/>
        <v/>
      </c>
      <c r="AI239" s="386" t="str">
        <f t="shared" si="103"/>
        <v/>
      </c>
      <c r="AJ239" s="386" t="str">
        <f t="shared" si="104"/>
        <v/>
      </c>
      <c r="AK239" s="386" t="str">
        <f t="shared" si="105"/>
        <v/>
      </c>
      <c r="AL239" s="388"/>
      <c r="AM239" s="388"/>
      <c r="AN239" s="388"/>
      <c r="AO239" s="388"/>
      <c r="AP239" s="402" t="str">
        <f t="shared" si="93"/>
        <v/>
      </c>
      <c r="AQ239" s="388"/>
      <c r="AR239" s="388"/>
      <c r="AS239" s="388"/>
      <c r="AT239" s="388"/>
      <c r="AU239" s="402" t="str">
        <f t="shared" si="94"/>
        <v/>
      </c>
      <c r="AV239" s="389"/>
      <c r="AW239" s="381"/>
      <c r="AX239" s="381"/>
      <c r="AY239" s="373"/>
      <c r="AZ239" s="390"/>
      <c r="BA239" s="390"/>
      <c r="BB239" s="391"/>
      <c r="BC239" s="392"/>
      <c r="BD239" s="393"/>
      <c r="BE239" s="393"/>
      <c r="BF239" s="393"/>
      <c r="BG239" s="394"/>
      <c r="BH239" s="395"/>
      <c r="BI239" s="374"/>
      <c r="BJ239" s="374"/>
      <c r="BK239" s="374"/>
      <c r="BL239" s="389"/>
      <c r="BM239" s="397"/>
      <c r="BN239" s="389"/>
      <c r="BO239" s="419" t="str">
        <f t="shared" si="106"/>
        <v/>
      </c>
      <c r="BP239" s="389"/>
      <c r="BQ239" s="397"/>
      <c r="BR239" s="419"/>
      <c r="BS239" s="419"/>
      <c r="BT239" s="419"/>
      <c r="BU239" s="432"/>
      <c r="BV239" s="419"/>
      <c r="BW239" s="419"/>
      <c r="BX239" s="419"/>
      <c r="BY239" s="389"/>
      <c r="BZ239" s="389"/>
      <c r="CA239" s="389"/>
      <c r="CB239" s="389"/>
      <c r="CC239" s="389"/>
      <c r="CD239" s="389"/>
      <c r="CE239" s="389"/>
      <c r="CF239" s="389"/>
      <c r="CG239" s="389"/>
      <c r="CH239" s="389"/>
      <c r="CI239" s="389"/>
      <c r="CJ239" s="422"/>
      <c r="CK239" s="422"/>
      <c r="CL239" s="422"/>
      <c r="CM239" s="422"/>
      <c r="CN239" s="422"/>
      <c r="CO239" s="422"/>
      <c r="CP239" s="422"/>
      <c r="CQ239" s="432"/>
      <c r="CR239" s="431" t="str">
        <f t="shared" si="95"/>
        <v/>
      </c>
      <c r="CS239" s="35" t="str">
        <f t="shared" si="96"/>
        <v>Direct or WHSE.</v>
      </c>
      <c r="CT239" s="411"/>
      <c r="CW239" s="153" t="str">
        <f t="shared" si="98"/>
        <v/>
      </c>
      <c r="CX239" s="153" t="str">
        <f t="shared" si="98"/>
        <v/>
      </c>
      <c r="CY239" s="153" t="str">
        <f t="shared" si="97"/>
        <v/>
      </c>
    </row>
    <row r="240" spans="1:103" ht="19.5" customHeight="1">
      <c r="A240" s="10">
        <v>218</v>
      </c>
      <c r="B240" s="373"/>
      <c r="C240" s="373"/>
      <c r="D240" s="396"/>
      <c r="E240" s="375"/>
      <c r="F240" s="373"/>
      <c r="G240" s="373"/>
      <c r="H240" s="376"/>
      <c r="I240" s="377"/>
      <c r="J240" s="378"/>
      <c r="K240" s="379"/>
      <c r="L240" s="374"/>
      <c r="M240" s="380" t="str">
        <f t="shared" ca="1" si="99"/>
        <v/>
      </c>
      <c r="N240" s="373"/>
      <c r="O240" s="381"/>
      <c r="P240" s="381"/>
      <c r="Q240" s="382"/>
      <c r="R240" s="381"/>
      <c r="S240" s="383"/>
      <c r="T240" s="384" t="str">
        <f t="shared" si="100"/>
        <v/>
      </c>
      <c r="U240" s="385"/>
      <c r="V240" s="384" t="str">
        <f t="shared" si="101"/>
        <v/>
      </c>
      <c r="W240" s="386"/>
      <c r="X240" s="386" t="str">
        <f t="shared" si="102"/>
        <v/>
      </c>
      <c r="Y240" s="386" t="str">
        <f t="shared" si="84"/>
        <v/>
      </c>
      <c r="Z240" s="386" t="str">
        <f t="shared" si="85"/>
        <v/>
      </c>
      <c r="AA240" s="387"/>
      <c r="AB240" s="386" t="str">
        <f t="shared" si="86"/>
        <v/>
      </c>
      <c r="AC240" s="386" t="str">
        <f t="shared" si="87"/>
        <v/>
      </c>
      <c r="AD240" s="386" t="str">
        <f t="shared" si="88"/>
        <v/>
      </c>
      <c r="AE240" s="386" t="str">
        <f t="shared" si="89"/>
        <v/>
      </c>
      <c r="AF240" s="386" t="str">
        <f t="shared" si="90"/>
        <v/>
      </c>
      <c r="AG240" s="386" t="str">
        <f t="shared" si="91"/>
        <v/>
      </c>
      <c r="AH240" s="386" t="str">
        <f t="shared" si="92"/>
        <v/>
      </c>
      <c r="AI240" s="386" t="str">
        <f t="shared" si="103"/>
        <v/>
      </c>
      <c r="AJ240" s="386" t="str">
        <f t="shared" si="104"/>
        <v/>
      </c>
      <c r="AK240" s="386" t="str">
        <f t="shared" si="105"/>
        <v/>
      </c>
      <c r="AL240" s="388"/>
      <c r="AM240" s="388"/>
      <c r="AN240" s="388"/>
      <c r="AO240" s="388"/>
      <c r="AP240" s="402" t="str">
        <f t="shared" si="93"/>
        <v/>
      </c>
      <c r="AQ240" s="388"/>
      <c r="AR240" s="388"/>
      <c r="AS240" s="388"/>
      <c r="AT240" s="388"/>
      <c r="AU240" s="402" t="str">
        <f t="shared" si="94"/>
        <v/>
      </c>
      <c r="AV240" s="389"/>
      <c r="AW240" s="381"/>
      <c r="AX240" s="381"/>
      <c r="AY240" s="373"/>
      <c r="AZ240" s="390"/>
      <c r="BA240" s="390"/>
      <c r="BB240" s="391"/>
      <c r="BC240" s="392"/>
      <c r="BD240" s="393"/>
      <c r="BE240" s="393"/>
      <c r="BF240" s="393"/>
      <c r="BG240" s="394"/>
      <c r="BH240" s="395"/>
      <c r="BI240" s="374"/>
      <c r="BJ240" s="374"/>
      <c r="BK240" s="374"/>
      <c r="BL240" s="389"/>
      <c r="BM240" s="397"/>
      <c r="BN240" s="389"/>
      <c r="BO240" s="419" t="str">
        <f t="shared" si="106"/>
        <v/>
      </c>
      <c r="BP240" s="389"/>
      <c r="BQ240" s="397"/>
      <c r="BR240" s="419"/>
      <c r="BS240" s="419"/>
      <c r="BT240" s="419"/>
      <c r="BU240" s="432"/>
      <c r="BV240" s="419"/>
      <c r="BW240" s="419"/>
      <c r="BX240" s="419"/>
      <c r="BY240" s="389"/>
      <c r="BZ240" s="389"/>
      <c r="CA240" s="389"/>
      <c r="CB240" s="389"/>
      <c r="CC240" s="389"/>
      <c r="CD240" s="389"/>
      <c r="CE240" s="389"/>
      <c r="CF240" s="389"/>
      <c r="CG240" s="389"/>
      <c r="CH240" s="389"/>
      <c r="CI240" s="389"/>
      <c r="CJ240" s="422"/>
      <c r="CK240" s="422"/>
      <c r="CL240" s="422"/>
      <c r="CM240" s="422"/>
      <c r="CN240" s="422"/>
      <c r="CO240" s="422"/>
      <c r="CP240" s="422"/>
      <c r="CQ240" s="432"/>
      <c r="CR240" s="431" t="str">
        <f t="shared" si="95"/>
        <v/>
      </c>
      <c r="CS240" s="35" t="str">
        <f t="shared" si="96"/>
        <v>Direct or WHSE.</v>
      </c>
      <c r="CT240" s="411"/>
      <c r="CW240" s="153" t="str">
        <f t="shared" si="98"/>
        <v/>
      </c>
      <c r="CX240" s="153" t="str">
        <f t="shared" si="98"/>
        <v/>
      </c>
      <c r="CY240" s="153" t="str">
        <f t="shared" si="97"/>
        <v/>
      </c>
    </row>
    <row r="241" spans="1:103" ht="19.5" customHeight="1">
      <c r="A241" s="10">
        <v>219</v>
      </c>
      <c r="B241" s="373"/>
      <c r="C241" s="373"/>
      <c r="D241" s="396"/>
      <c r="E241" s="375"/>
      <c r="F241" s="373"/>
      <c r="G241" s="373"/>
      <c r="H241" s="376"/>
      <c r="I241" s="377"/>
      <c r="J241" s="378"/>
      <c r="K241" s="379"/>
      <c r="L241" s="374"/>
      <c r="M241" s="380" t="str">
        <f t="shared" ca="1" si="99"/>
        <v/>
      </c>
      <c r="N241" s="373"/>
      <c r="O241" s="381"/>
      <c r="P241" s="381"/>
      <c r="Q241" s="382"/>
      <c r="R241" s="381"/>
      <c r="S241" s="383"/>
      <c r="T241" s="384" t="str">
        <f t="shared" si="100"/>
        <v/>
      </c>
      <c r="U241" s="385"/>
      <c r="V241" s="384" t="str">
        <f t="shared" si="101"/>
        <v/>
      </c>
      <c r="W241" s="386"/>
      <c r="X241" s="386" t="str">
        <f t="shared" si="102"/>
        <v/>
      </c>
      <c r="Y241" s="386" t="str">
        <f t="shared" si="84"/>
        <v/>
      </c>
      <c r="Z241" s="386" t="str">
        <f t="shared" si="85"/>
        <v/>
      </c>
      <c r="AA241" s="387"/>
      <c r="AB241" s="386" t="str">
        <f t="shared" si="86"/>
        <v/>
      </c>
      <c r="AC241" s="386" t="str">
        <f t="shared" si="87"/>
        <v/>
      </c>
      <c r="AD241" s="386" t="str">
        <f t="shared" si="88"/>
        <v/>
      </c>
      <c r="AE241" s="386" t="str">
        <f t="shared" si="89"/>
        <v/>
      </c>
      <c r="AF241" s="386" t="str">
        <f t="shared" si="90"/>
        <v/>
      </c>
      <c r="AG241" s="386" t="str">
        <f t="shared" si="91"/>
        <v/>
      </c>
      <c r="AH241" s="386" t="str">
        <f t="shared" si="92"/>
        <v/>
      </c>
      <c r="AI241" s="386" t="str">
        <f t="shared" si="103"/>
        <v/>
      </c>
      <c r="AJ241" s="386" t="str">
        <f t="shared" si="104"/>
        <v/>
      </c>
      <c r="AK241" s="386" t="str">
        <f t="shared" si="105"/>
        <v/>
      </c>
      <c r="AL241" s="388"/>
      <c r="AM241" s="388"/>
      <c r="AN241" s="388"/>
      <c r="AO241" s="388"/>
      <c r="AP241" s="402" t="str">
        <f t="shared" si="93"/>
        <v/>
      </c>
      <c r="AQ241" s="388"/>
      <c r="AR241" s="388"/>
      <c r="AS241" s="388"/>
      <c r="AT241" s="388"/>
      <c r="AU241" s="402" t="str">
        <f t="shared" si="94"/>
        <v/>
      </c>
      <c r="AV241" s="389"/>
      <c r="AW241" s="381"/>
      <c r="AX241" s="381"/>
      <c r="AY241" s="373"/>
      <c r="AZ241" s="390"/>
      <c r="BA241" s="390"/>
      <c r="BB241" s="391"/>
      <c r="BC241" s="392"/>
      <c r="BD241" s="393"/>
      <c r="BE241" s="393"/>
      <c r="BF241" s="393"/>
      <c r="BG241" s="394"/>
      <c r="BH241" s="395"/>
      <c r="BI241" s="374"/>
      <c r="BJ241" s="374"/>
      <c r="BK241" s="374"/>
      <c r="BL241" s="389"/>
      <c r="BM241" s="397"/>
      <c r="BN241" s="389"/>
      <c r="BO241" s="419" t="str">
        <f t="shared" si="106"/>
        <v/>
      </c>
      <c r="BP241" s="389"/>
      <c r="BQ241" s="397"/>
      <c r="BR241" s="419"/>
      <c r="BS241" s="419"/>
      <c r="BT241" s="419"/>
      <c r="BU241" s="432"/>
      <c r="BV241" s="419"/>
      <c r="BW241" s="419"/>
      <c r="BX241" s="419"/>
      <c r="BY241" s="389"/>
      <c r="BZ241" s="389"/>
      <c r="CA241" s="389"/>
      <c r="CB241" s="389"/>
      <c r="CC241" s="389"/>
      <c r="CD241" s="389"/>
      <c r="CE241" s="389"/>
      <c r="CF241" s="389"/>
      <c r="CG241" s="389"/>
      <c r="CH241" s="389"/>
      <c r="CI241" s="389"/>
      <c r="CJ241" s="422"/>
      <c r="CK241" s="422"/>
      <c r="CL241" s="422"/>
      <c r="CM241" s="422"/>
      <c r="CN241" s="422"/>
      <c r="CO241" s="422"/>
      <c r="CP241" s="422"/>
      <c r="CQ241" s="432"/>
      <c r="CR241" s="431" t="str">
        <f t="shared" si="95"/>
        <v/>
      </c>
      <c r="CS241" s="35" t="str">
        <f t="shared" si="96"/>
        <v>Direct or WHSE.</v>
      </c>
      <c r="CT241" s="411"/>
      <c r="CW241" s="153" t="str">
        <f t="shared" si="98"/>
        <v/>
      </c>
      <c r="CX241" s="153" t="str">
        <f t="shared" si="98"/>
        <v/>
      </c>
      <c r="CY241" s="153" t="str">
        <f t="shared" si="97"/>
        <v/>
      </c>
    </row>
    <row r="242" spans="1:103" ht="19.5" customHeight="1">
      <c r="A242" s="10">
        <v>220</v>
      </c>
      <c r="B242" s="373"/>
      <c r="C242" s="373"/>
      <c r="D242" s="396"/>
      <c r="E242" s="375"/>
      <c r="F242" s="373"/>
      <c r="G242" s="373"/>
      <c r="H242" s="376"/>
      <c r="I242" s="377"/>
      <c r="J242" s="378"/>
      <c r="K242" s="379"/>
      <c r="L242" s="374"/>
      <c r="M242" s="380" t="str">
        <f t="shared" ca="1" si="99"/>
        <v/>
      </c>
      <c r="N242" s="373"/>
      <c r="O242" s="381"/>
      <c r="P242" s="381"/>
      <c r="Q242" s="382"/>
      <c r="R242" s="381"/>
      <c r="S242" s="383"/>
      <c r="T242" s="384" t="str">
        <f t="shared" si="100"/>
        <v/>
      </c>
      <c r="U242" s="385"/>
      <c r="V242" s="384" t="str">
        <f t="shared" si="101"/>
        <v/>
      </c>
      <c r="W242" s="386"/>
      <c r="X242" s="386" t="str">
        <f t="shared" si="102"/>
        <v/>
      </c>
      <c r="Y242" s="386" t="str">
        <f t="shared" si="84"/>
        <v/>
      </c>
      <c r="Z242" s="386" t="str">
        <f t="shared" si="85"/>
        <v/>
      </c>
      <c r="AA242" s="387"/>
      <c r="AB242" s="386" t="str">
        <f t="shared" si="86"/>
        <v/>
      </c>
      <c r="AC242" s="386" t="str">
        <f t="shared" si="87"/>
        <v/>
      </c>
      <c r="AD242" s="386" t="str">
        <f t="shared" si="88"/>
        <v/>
      </c>
      <c r="AE242" s="386" t="str">
        <f t="shared" si="89"/>
        <v/>
      </c>
      <c r="AF242" s="386" t="str">
        <f t="shared" si="90"/>
        <v/>
      </c>
      <c r="AG242" s="386" t="str">
        <f t="shared" si="91"/>
        <v/>
      </c>
      <c r="AH242" s="386" t="str">
        <f t="shared" si="92"/>
        <v/>
      </c>
      <c r="AI242" s="386" t="str">
        <f t="shared" si="103"/>
        <v/>
      </c>
      <c r="AJ242" s="386" t="str">
        <f t="shared" si="104"/>
        <v/>
      </c>
      <c r="AK242" s="386" t="str">
        <f t="shared" si="105"/>
        <v/>
      </c>
      <c r="AL242" s="388"/>
      <c r="AM242" s="388"/>
      <c r="AN242" s="388"/>
      <c r="AO242" s="388"/>
      <c r="AP242" s="402" t="str">
        <f t="shared" si="93"/>
        <v/>
      </c>
      <c r="AQ242" s="388"/>
      <c r="AR242" s="388"/>
      <c r="AS242" s="388"/>
      <c r="AT242" s="388"/>
      <c r="AU242" s="402" t="str">
        <f t="shared" si="94"/>
        <v/>
      </c>
      <c r="AV242" s="389"/>
      <c r="AW242" s="381"/>
      <c r="AX242" s="381"/>
      <c r="AY242" s="373"/>
      <c r="AZ242" s="390"/>
      <c r="BA242" s="390"/>
      <c r="BB242" s="391"/>
      <c r="BC242" s="392"/>
      <c r="BD242" s="393"/>
      <c r="BE242" s="393"/>
      <c r="BF242" s="393"/>
      <c r="BG242" s="394"/>
      <c r="BH242" s="395"/>
      <c r="BI242" s="374"/>
      <c r="BJ242" s="374"/>
      <c r="BK242" s="374"/>
      <c r="BL242" s="389"/>
      <c r="BM242" s="397"/>
      <c r="BN242" s="389"/>
      <c r="BO242" s="419" t="str">
        <f t="shared" si="106"/>
        <v/>
      </c>
      <c r="BP242" s="389"/>
      <c r="BQ242" s="397"/>
      <c r="BR242" s="419"/>
      <c r="BS242" s="419"/>
      <c r="BT242" s="419"/>
      <c r="BU242" s="432"/>
      <c r="BV242" s="419"/>
      <c r="BW242" s="419"/>
      <c r="BX242" s="419"/>
      <c r="BY242" s="389"/>
      <c r="BZ242" s="389"/>
      <c r="CA242" s="389"/>
      <c r="CB242" s="389"/>
      <c r="CC242" s="389"/>
      <c r="CD242" s="389"/>
      <c r="CE242" s="389"/>
      <c r="CF242" s="389"/>
      <c r="CG242" s="389"/>
      <c r="CH242" s="389"/>
      <c r="CI242" s="389"/>
      <c r="CJ242" s="422"/>
      <c r="CK242" s="422"/>
      <c r="CL242" s="422"/>
      <c r="CM242" s="422"/>
      <c r="CN242" s="422"/>
      <c r="CO242" s="422"/>
      <c r="CP242" s="422"/>
      <c r="CQ242" s="432"/>
      <c r="CR242" s="431" t="str">
        <f t="shared" si="95"/>
        <v/>
      </c>
      <c r="CS242" s="35" t="str">
        <f t="shared" si="96"/>
        <v>Direct or WHSE.</v>
      </c>
      <c r="CT242" s="411"/>
      <c r="CW242" s="153" t="str">
        <f t="shared" si="98"/>
        <v/>
      </c>
      <c r="CX242" s="153" t="str">
        <f t="shared" si="98"/>
        <v/>
      </c>
      <c r="CY242" s="153" t="str">
        <f t="shared" si="97"/>
        <v/>
      </c>
    </row>
    <row r="243" spans="1:103" ht="19.5" customHeight="1">
      <c r="A243" s="10">
        <v>221</v>
      </c>
      <c r="B243" s="373"/>
      <c r="C243" s="373"/>
      <c r="D243" s="396"/>
      <c r="E243" s="375"/>
      <c r="F243" s="373"/>
      <c r="G243" s="373"/>
      <c r="H243" s="376"/>
      <c r="I243" s="377"/>
      <c r="J243" s="378"/>
      <c r="K243" s="379"/>
      <c r="L243" s="374"/>
      <c r="M243" s="380" t="str">
        <f t="shared" ca="1" si="99"/>
        <v/>
      </c>
      <c r="N243" s="373"/>
      <c r="O243" s="381"/>
      <c r="P243" s="381"/>
      <c r="Q243" s="382"/>
      <c r="R243" s="381"/>
      <c r="S243" s="383"/>
      <c r="T243" s="384" t="str">
        <f t="shared" si="100"/>
        <v/>
      </c>
      <c r="U243" s="385"/>
      <c r="V243" s="384" t="str">
        <f t="shared" si="101"/>
        <v/>
      </c>
      <c r="W243" s="386"/>
      <c r="X243" s="386" t="str">
        <f t="shared" si="102"/>
        <v/>
      </c>
      <c r="Y243" s="386" t="str">
        <f t="shared" si="84"/>
        <v/>
      </c>
      <c r="Z243" s="386" t="str">
        <f t="shared" si="85"/>
        <v/>
      </c>
      <c r="AA243" s="387"/>
      <c r="AB243" s="386" t="str">
        <f t="shared" si="86"/>
        <v/>
      </c>
      <c r="AC243" s="386" t="str">
        <f t="shared" si="87"/>
        <v/>
      </c>
      <c r="AD243" s="386" t="str">
        <f t="shared" si="88"/>
        <v/>
      </c>
      <c r="AE243" s="386" t="str">
        <f t="shared" si="89"/>
        <v/>
      </c>
      <c r="AF243" s="386" t="str">
        <f t="shared" si="90"/>
        <v/>
      </c>
      <c r="AG243" s="386" t="str">
        <f t="shared" si="91"/>
        <v/>
      </c>
      <c r="AH243" s="386" t="str">
        <f t="shared" si="92"/>
        <v/>
      </c>
      <c r="AI243" s="386" t="str">
        <f t="shared" si="103"/>
        <v/>
      </c>
      <c r="AJ243" s="386" t="str">
        <f t="shared" si="104"/>
        <v/>
      </c>
      <c r="AK243" s="386" t="str">
        <f t="shared" si="105"/>
        <v/>
      </c>
      <c r="AL243" s="388"/>
      <c r="AM243" s="388"/>
      <c r="AN243" s="388"/>
      <c r="AO243" s="388"/>
      <c r="AP243" s="402" t="str">
        <f t="shared" si="93"/>
        <v/>
      </c>
      <c r="AQ243" s="388"/>
      <c r="AR243" s="388"/>
      <c r="AS243" s="388"/>
      <c r="AT243" s="388"/>
      <c r="AU243" s="402" t="str">
        <f t="shared" si="94"/>
        <v/>
      </c>
      <c r="AV243" s="389"/>
      <c r="AW243" s="381"/>
      <c r="AX243" s="381"/>
      <c r="AY243" s="373"/>
      <c r="AZ243" s="390"/>
      <c r="BA243" s="390"/>
      <c r="BB243" s="391"/>
      <c r="BC243" s="392"/>
      <c r="BD243" s="393"/>
      <c r="BE243" s="393"/>
      <c r="BF243" s="393"/>
      <c r="BG243" s="394"/>
      <c r="BH243" s="395"/>
      <c r="BI243" s="374"/>
      <c r="BJ243" s="374"/>
      <c r="BK243" s="374"/>
      <c r="BL243" s="389"/>
      <c r="BM243" s="397"/>
      <c r="BN243" s="389"/>
      <c r="BO243" s="419" t="str">
        <f t="shared" si="106"/>
        <v/>
      </c>
      <c r="BP243" s="389"/>
      <c r="BQ243" s="397"/>
      <c r="BR243" s="419"/>
      <c r="BS243" s="419"/>
      <c r="BT243" s="419"/>
      <c r="BU243" s="432"/>
      <c r="BV243" s="419"/>
      <c r="BW243" s="419"/>
      <c r="BX243" s="419"/>
      <c r="BY243" s="389"/>
      <c r="BZ243" s="389"/>
      <c r="CA243" s="389"/>
      <c r="CB243" s="389"/>
      <c r="CC243" s="389"/>
      <c r="CD243" s="389"/>
      <c r="CE243" s="389"/>
      <c r="CF243" s="389"/>
      <c r="CG243" s="389"/>
      <c r="CH243" s="389"/>
      <c r="CI243" s="389"/>
      <c r="CJ243" s="422"/>
      <c r="CK243" s="422"/>
      <c r="CL243" s="422"/>
      <c r="CM243" s="422"/>
      <c r="CN243" s="422"/>
      <c r="CO243" s="422"/>
      <c r="CP243" s="422"/>
      <c r="CQ243" s="432"/>
      <c r="CR243" s="431" t="str">
        <f t="shared" si="95"/>
        <v/>
      </c>
      <c r="CS243" s="35" t="str">
        <f t="shared" si="96"/>
        <v>Direct or WHSE.</v>
      </c>
      <c r="CT243" s="411"/>
      <c r="CW243" s="153" t="str">
        <f t="shared" si="98"/>
        <v/>
      </c>
      <c r="CX243" s="153" t="str">
        <f t="shared" si="98"/>
        <v/>
      </c>
      <c r="CY243" s="153" t="str">
        <f t="shared" si="97"/>
        <v/>
      </c>
    </row>
    <row r="244" spans="1:103" ht="19.5" customHeight="1">
      <c r="A244" s="10">
        <v>222</v>
      </c>
      <c r="B244" s="373"/>
      <c r="C244" s="373"/>
      <c r="D244" s="396"/>
      <c r="E244" s="375"/>
      <c r="F244" s="373"/>
      <c r="G244" s="373"/>
      <c r="H244" s="376"/>
      <c r="I244" s="377"/>
      <c r="J244" s="378"/>
      <c r="K244" s="379"/>
      <c r="L244" s="374"/>
      <c r="M244" s="380" t="str">
        <f t="shared" ca="1" si="99"/>
        <v/>
      </c>
      <c r="N244" s="373"/>
      <c r="O244" s="381"/>
      <c r="P244" s="381"/>
      <c r="Q244" s="382"/>
      <c r="R244" s="381"/>
      <c r="S244" s="383"/>
      <c r="T244" s="384" t="str">
        <f t="shared" si="100"/>
        <v/>
      </c>
      <c r="U244" s="385"/>
      <c r="V244" s="384" t="str">
        <f t="shared" si="101"/>
        <v/>
      </c>
      <c r="W244" s="386"/>
      <c r="X244" s="386" t="str">
        <f t="shared" si="102"/>
        <v/>
      </c>
      <c r="Y244" s="386" t="str">
        <f t="shared" si="84"/>
        <v/>
      </c>
      <c r="Z244" s="386" t="str">
        <f t="shared" si="85"/>
        <v/>
      </c>
      <c r="AA244" s="387"/>
      <c r="AB244" s="386" t="str">
        <f t="shared" si="86"/>
        <v/>
      </c>
      <c r="AC244" s="386" t="str">
        <f t="shared" si="87"/>
        <v/>
      </c>
      <c r="AD244" s="386" t="str">
        <f t="shared" si="88"/>
        <v/>
      </c>
      <c r="AE244" s="386" t="str">
        <f t="shared" si="89"/>
        <v/>
      </c>
      <c r="AF244" s="386" t="str">
        <f t="shared" si="90"/>
        <v/>
      </c>
      <c r="AG244" s="386" t="str">
        <f t="shared" si="91"/>
        <v/>
      </c>
      <c r="AH244" s="386" t="str">
        <f t="shared" si="92"/>
        <v/>
      </c>
      <c r="AI244" s="386" t="str">
        <f t="shared" si="103"/>
        <v/>
      </c>
      <c r="AJ244" s="386" t="str">
        <f t="shared" si="104"/>
        <v/>
      </c>
      <c r="AK244" s="386" t="str">
        <f t="shared" si="105"/>
        <v/>
      </c>
      <c r="AL244" s="388"/>
      <c r="AM244" s="388"/>
      <c r="AN244" s="388"/>
      <c r="AO244" s="388"/>
      <c r="AP244" s="402" t="str">
        <f t="shared" si="93"/>
        <v/>
      </c>
      <c r="AQ244" s="388"/>
      <c r="AR244" s="388"/>
      <c r="AS244" s="388"/>
      <c r="AT244" s="388"/>
      <c r="AU244" s="402" t="str">
        <f t="shared" si="94"/>
        <v/>
      </c>
      <c r="AV244" s="389"/>
      <c r="AW244" s="381"/>
      <c r="AX244" s="381"/>
      <c r="AY244" s="373"/>
      <c r="AZ244" s="390"/>
      <c r="BA244" s="390"/>
      <c r="BB244" s="391"/>
      <c r="BC244" s="392"/>
      <c r="BD244" s="393"/>
      <c r="BE244" s="393"/>
      <c r="BF244" s="393"/>
      <c r="BG244" s="394"/>
      <c r="BH244" s="395"/>
      <c r="BI244" s="374"/>
      <c r="BJ244" s="374"/>
      <c r="BK244" s="374"/>
      <c r="BL244" s="389"/>
      <c r="BM244" s="397"/>
      <c r="BN244" s="389"/>
      <c r="BO244" s="419" t="str">
        <f t="shared" si="106"/>
        <v/>
      </c>
      <c r="BP244" s="389"/>
      <c r="BQ244" s="397"/>
      <c r="BR244" s="419"/>
      <c r="BS244" s="419"/>
      <c r="BT244" s="419"/>
      <c r="BU244" s="432"/>
      <c r="BV244" s="419"/>
      <c r="BW244" s="419"/>
      <c r="BX244" s="419"/>
      <c r="BY244" s="389"/>
      <c r="BZ244" s="389"/>
      <c r="CA244" s="389"/>
      <c r="CB244" s="389"/>
      <c r="CC244" s="389"/>
      <c r="CD244" s="389"/>
      <c r="CE244" s="389"/>
      <c r="CF244" s="389"/>
      <c r="CG244" s="389"/>
      <c r="CH244" s="389"/>
      <c r="CI244" s="389"/>
      <c r="CJ244" s="422"/>
      <c r="CK244" s="422"/>
      <c r="CL244" s="422"/>
      <c r="CM244" s="422"/>
      <c r="CN244" s="422"/>
      <c r="CO244" s="422"/>
      <c r="CP244" s="422"/>
      <c r="CQ244" s="432"/>
      <c r="CR244" s="431" t="str">
        <f t="shared" si="95"/>
        <v/>
      </c>
      <c r="CS244" s="35" t="str">
        <f t="shared" si="96"/>
        <v>Direct or WHSE.</v>
      </c>
      <c r="CT244" s="411"/>
      <c r="CW244" s="153" t="str">
        <f t="shared" si="98"/>
        <v/>
      </c>
      <c r="CX244" s="153" t="str">
        <f t="shared" si="98"/>
        <v/>
      </c>
      <c r="CY244" s="153" t="str">
        <f t="shared" si="97"/>
        <v/>
      </c>
    </row>
    <row r="245" spans="1:103" ht="19.5" customHeight="1">
      <c r="A245" s="10">
        <v>223</v>
      </c>
      <c r="B245" s="373"/>
      <c r="C245" s="373"/>
      <c r="D245" s="396"/>
      <c r="E245" s="375"/>
      <c r="F245" s="373"/>
      <c r="G245" s="373"/>
      <c r="H245" s="376"/>
      <c r="I245" s="377"/>
      <c r="J245" s="378"/>
      <c r="K245" s="379"/>
      <c r="L245" s="374"/>
      <c r="M245" s="380" t="str">
        <f t="shared" ca="1" si="99"/>
        <v/>
      </c>
      <c r="N245" s="373"/>
      <c r="O245" s="381"/>
      <c r="P245" s="381"/>
      <c r="Q245" s="382"/>
      <c r="R245" s="381"/>
      <c r="S245" s="383"/>
      <c r="T245" s="384" t="str">
        <f t="shared" si="100"/>
        <v/>
      </c>
      <c r="U245" s="385"/>
      <c r="V245" s="384" t="str">
        <f t="shared" si="101"/>
        <v/>
      </c>
      <c r="W245" s="386"/>
      <c r="X245" s="386" t="str">
        <f t="shared" si="102"/>
        <v/>
      </c>
      <c r="Y245" s="386" t="str">
        <f t="shared" si="84"/>
        <v/>
      </c>
      <c r="Z245" s="386" t="str">
        <f t="shared" si="85"/>
        <v/>
      </c>
      <c r="AA245" s="387"/>
      <c r="AB245" s="386" t="str">
        <f t="shared" si="86"/>
        <v/>
      </c>
      <c r="AC245" s="386" t="str">
        <f t="shared" si="87"/>
        <v/>
      </c>
      <c r="AD245" s="386" t="str">
        <f t="shared" si="88"/>
        <v/>
      </c>
      <c r="AE245" s="386" t="str">
        <f t="shared" si="89"/>
        <v/>
      </c>
      <c r="AF245" s="386" t="str">
        <f t="shared" si="90"/>
        <v/>
      </c>
      <c r="AG245" s="386" t="str">
        <f t="shared" si="91"/>
        <v/>
      </c>
      <c r="AH245" s="386" t="str">
        <f t="shared" si="92"/>
        <v/>
      </c>
      <c r="AI245" s="386" t="str">
        <f t="shared" si="103"/>
        <v/>
      </c>
      <c r="AJ245" s="386" t="str">
        <f t="shared" si="104"/>
        <v/>
      </c>
      <c r="AK245" s="386" t="str">
        <f t="shared" si="105"/>
        <v/>
      </c>
      <c r="AL245" s="388"/>
      <c r="AM245" s="388"/>
      <c r="AN245" s="388"/>
      <c r="AO245" s="388"/>
      <c r="AP245" s="402" t="str">
        <f t="shared" si="93"/>
        <v/>
      </c>
      <c r="AQ245" s="388"/>
      <c r="AR245" s="388"/>
      <c r="AS245" s="388"/>
      <c r="AT245" s="388"/>
      <c r="AU245" s="402" t="str">
        <f t="shared" si="94"/>
        <v/>
      </c>
      <c r="AV245" s="389"/>
      <c r="AW245" s="381"/>
      <c r="AX245" s="381"/>
      <c r="AY245" s="373"/>
      <c r="AZ245" s="390"/>
      <c r="BA245" s="390"/>
      <c r="BB245" s="391"/>
      <c r="BC245" s="392"/>
      <c r="BD245" s="393"/>
      <c r="BE245" s="393"/>
      <c r="BF245" s="393"/>
      <c r="BG245" s="394"/>
      <c r="BH245" s="395"/>
      <c r="BI245" s="374"/>
      <c r="BJ245" s="374"/>
      <c r="BK245" s="374"/>
      <c r="BL245" s="389"/>
      <c r="BM245" s="397"/>
      <c r="BN245" s="389"/>
      <c r="BO245" s="419" t="str">
        <f t="shared" si="106"/>
        <v/>
      </c>
      <c r="BP245" s="389"/>
      <c r="BQ245" s="397"/>
      <c r="BR245" s="419"/>
      <c r="BS245" s="419"/>
      <c r="BT245" s="419"/>
      <c r="BU245" s="432"/>
      <c r="BV245" s="419"/>
      <c r="BW245" s="419"/>
      <c r="BX245" s="419"/>
      <c r="BY245" s="389"/>
      <c r="BZ245" s="389"/>
      <c r="CA245" s="389"/>
      <c r="CB245" s="389"/>
      <c r="CC245" s="389"/>
      <c r="CD245" s="389"/>
      <c r="CE245" s="389"/>
      <c r="CF245" s="389"/>
      <c r="CG245" s="389"/>
      <c r="CH245" s="389"/>
      <c r="CI245" s="389"/>
      <c r="CJ245" s="422"/>
      <c r="CK245" s="422"/>
      <c r="CL245" s="422"/>
      <c r="CM245" s="422"/>
      <c r="CN245" s="422"/>
      <c r="CO245" s="422"/>
      <c r="CP245" s="422"/>
      <c r="CQ245" s="432"/>
      <c r="CR245" s="431" t="str">
        <f t="shared" si="95"/>
        <v/>
      </c>
      <c r="CS245" s="35" t="str">
        <f t="shared" si="96"/>
        <v>Direct or WHSE.</v>
      </c>
      <c r="CT245" s="411"/>
      <c r="CW245" s="153" t="str">
        <f t="shared" si="98"/>
        <v/>
      </c>
      <c r="CX245" s="153" t="str">
        <f t="shared" si="98"/>
        <v/>
      </c>
      <c r="CY245" s="153" t="str">
        <f t="shared" si="97"/>
        <v/>
      </c>
    </row>
    <row r="246" spans="1:103" ht="19.5" customHeight="1">
      <c r="A246" s="10">
        <v>224</v>
      </c>
      <c r="B246" s="373"/>
      <c r="C246" s="373"/>
      <c r="D246" s="396"/>
      <c r="E246" s="375"/>
      <c r="F246" s="373"/>
      <c r="G246" s="373"/>
      <c r="H246" s="376"/>
      <c r="I246" s="377"/>
      <c r="J246" s="378"/>
      <c r="K246" s="379"/>
      <c r="L246" s="374"/>
      <c r="M246" s="380" t="str">
        <f t="shared" ca="1" si="99"/>
        <v/>
      </c>
      <c r="N246" s="373"/>
      <c r="O246" s="381"/>
      <c r="P246" s="381"/>
      <c r="Q246" s="382"/>
      <c r="R246" s="381"/>
      <c r="S246" s="383"/>
      <c r="T246" s="384" t="str">
        <f t="shared" si="100"/>
        <v/>
      </c>
      <c r="U246" s="385"/>
      <c r="V246" s="384" t="str">
        <f t="shared" si="101"/>
        <v/>
      </c>
      <c r="W246" s="386"/>
      <c r="X246" s="386" t="str">
        <f t="shared" si="102"/>
        <v/>
      </c>
      <c r="Y246" s="386" t="str">
        <f t="shared" si="84"/>
        <v/>
      </c>
      <c r="Z246" s="386" t="str">
        <f t="shared" si="85"/>
        <v/>
      </c>
      <c r="AA246" s="387"/>
      <c r="AB246" s="386" t="str">
        <f t="shared" si="86"/>
        <v/>
      </c>
      <c r="AC246" s="386" t="str">
        <f t="shared" si="87"/>
        <v/>
      </c>
      <c r="AD246" s="386" t="str">
        <f t="shared" si="88"/>
        <v/>
      </c>
      <c r="AE246" s="386" t="str">
        <f t="shared" si="89"/>
        <v/>
      </c>
      <c r="AF246" s="386" t="str">
        <f t="shared" si="90"/>
        <v/>
      </c>
      <c r="AG246" s="386" t="str">
        <f t="shared" si="91"/>
        <v/>
      </c>
      <c r="AH246" s="386" t="str">
        <f t="shared" si="92"/>
        <v/>
      </c>
      <c r="AI246" s="386" t="str">
        <f t="shared" si="103"/>
        <v/>
      </c>
      <c r="AJ246" s="386" t="str">
        <f t="shared" si="104"/>
        <v/>
      </c>
      <c r="AK246" s="386" t="str">
        <f t="shared" si="105"/>
        <v/>
      </c>
      <c r="AL246" s="388"/>
      <c r="AM246" s="388"/>
      <c r="AN246" s="388"/>
      <c r="AO246" s="388"/>
      <c r="AP246" s="402" t="str">
        <f t="shared" si="93"/>
        <v/>
      </c>
      <c r="AQ246" s="388"/>
      <c r="AR246" s="388"/>
      <c r="AS246" s="388"/>
      <c r="AT246" s="388"/>
      <c r="AU246" s="402" t="str">
        <f t="shared" si="94"/>
        <v/>
      </c>
      <c r="AV246" s="389"/>
      <c r="AW246" s="381"/>
      <c r="AX246" s="381"/>
      <c r="AY246" s="373"/>
      <c r="AZ246" s="390"/>
      <c r="BA246" s="390"/>
      <c r="BB246" s="391"/>
      <c r="BC246" s="392"/>
      <c r="BD246" s="393"/>
      <c r="BE246" s="393"/>
      <c r="BF246" s="393"/>
      <c r="BG246" s="394"/>
      <c r="BH246" s="395"/>
      <c r="BI246" s="374"/>
      <c r="BJ246" s="374"/>
      <c r="BK246" s="374"/>
      <c r="BL246" s="389"/>
      <c r="BM246" s="397"/>
      <c r="BN246" s="389"/>
      <c r="BO246" s="419" t="str">
        <f t="shared" si="106"/>
        <v/>
      </c>
      <c r="BP246" s="389"/>
      <c r="BQ246" s="397"/>
      <c r="BR246" s="419"/>
      <c r="BS246" s="419"/>
      <c r="BT246" s="419"/>
      <c r="BU246" s="432"/>
      <c r="BV246" s="419"/>
      <c r="BW246" s="419"/>
      <c r="BX246" s="419"/>
      <c r="BY246" s="389"/>
      <c r="BZ246" s="389"/>
      <c r="CA246" s="389"/>
      <c r="CB246" s="389"/>
      <c r="CC246" s="389"/>
      <c r="CD246" s="389"/>
      <c r="CE246" s="389"/>
      <c r="CF246" s="389"/>
      <c r="CG246" s="389"/>
      <c r="CH246" s="389"/>
      <c r="CI246" s="389"/>
      <c r="CJ246" s="422"/>
      <c r="CK246" s="422"/>
      <c r="CL246" s="422"/>
      <c r="CM246" s="422"/>
      <c r="CN246" s="422"/>
      <c r="CO246" s="422"/>
      <c r="CP246" s="422"/>
      <c r="CQ246" s="432"/>
      <c r="CR246" s="431" t="str">
        <f t="shared" si="95"/>
        <v/>
      </c>
      <c r="CS246" s="35" t="str">
        <f t="shared" si="96"/>
        <v>Direct or WHSE.</v>
      </c>
      <c r="CT246" s="411"/>
      <c r="CW246" s="153" t="str">
        <f t="shared" si="98"/>
        <v/>
      </c>
      <c r="CX246" s="153" t="str">
        <f t="shared" si="98"/>
        <v/>
      </c>
      <c r="CY246" s="153" t="str">
        <f t="shared" si="97"/>
        <v/>
      </c>
    </row>
    <row r="247" spans="1:103" ht="19.5" customHeight="1">
      <c r="A247" s="10">
        <v>225</v>
      </c>
      <c r="B247" s="373"/>
      <c r="C247" s="373"/>
      <c r="D247" s="396"/>
      <c r="E247" s="375"/>
      <c r="F247" s="373"/>
      <c r="G247" s="373"/>
      <c r="H247" s="376"/>
      <c r="I247" s="377"/>
      <c r="J247" s="378"/>
      <c r="K247" s="379"/>
      <c r="L247" s="374"/>
      <c r="M247" s="380" t="str">
        <f t="shared" ca="1" si="99"/>
        <v/>
      </c>
      <c r="N247" s="373"/>
      <c r="O247" s="381"/>
      <c r="P247" s="381"/>
      <c r="Q247" s="382"/>
      <c r="R247" s="381"/>
      <c r="S247" s="383"/>
      <c r="T247" s="384" t="str">
        <f t="shared" si="100"/>
        <v/>
      </c>
      <c r="U247" s="385"/>
      <c r="V247" s="384" t="str">
        <f t="shared" si="101"/>
        <v/>
      </c>
      <c r="W247" s="386"/>
      <c r="X247" s="386" t="str">
        <f t="shared" si="102"/>
        <v/>
      </c>
      <c r="Y247" s="386" t="str">
        <f t="shared" si="84"/>
        <v/>
      </c>
      <c r="Z247" s="386" t="str">
        <f t="shared" si="85"/>
        <v/>
      </c>
      <c r="AA247" s="387"/>
      <c r="AB247" s="386" t="str">
        <f t="shared" si="86"/>
        <v/>
      </c>
      <c r="AC247" s="386" t="str">
        <f t="shared" si="87"/>
        <v/>
      </c>
      <c r="AD247" s="386" t="str">
        <f t="shared" si="88"/>
        <v/>
      </c>
      <c r="AE247" s="386" t="str">
        <f t="shared" si="89"/>
        <v/>
      </c>
      <c r="AF247" s="386" t="str">
        <f t="shared" si="90"/>
        <v/>
      </c>
      <c r="AG247" s="386" t="str">
        <f t="shared" si="91"/>
        <v/>
      </c>
      <c r="AH247" s="386" t="str">
        <f t="shared" si="92"/>
        <v/>
      </c>
      <c r="AI247" s="386" t="str">
        <f t="shared" si="103"/>
        <v/>
      </c>
      <c r="AJ247" s="386" t="str">
        <f t="shared" si="104"/>
        <v/>
      </c>
      <c r="AK247" s="386" t="str">
        <f t="shared" si="105"/>
        <v/>
      </c>
      <c r="AL247" s="388"/>
      <c r="AM247" s="388"/>
      <c r="AN247" s="388"/>
      <c r="AO247" s="388"/>
      <c r="AP247" s="402" t="str">
        <f t="shared" si="93"/>
        <v/>
      </c>
      <c r="AQ247" s="388"/>
      <c r="AR247" s="388"/>
      <c r="AS247" s="388"/>
      <c r="AT247" s="388"/>
      <c r="AU247" s="402" t="str">
        <f t="shared" si="94"/>
        <v/>
      </c>
      <c r="AV247" s="389"/>
      <c r="AW247" s="381"/>
      <c r="AX247" s="381"/>
      <c r="AY247" s="373"/>
      <c r="AZ247" s="390"/>
      <c r="BA247" s="390"/>
      <c r="BB247" s="391"/>
      <c r="BC247" s="392"/>
      <c r="BD247" s="393"/>
      <c r="BE247" s="393"/>
      <c r="BF247" s="393"/>
      <c r="BG247" s="394"/>
      <c r="BH247" s="395"/>
      <c r="BI247" s="374"/>
      <c r="BJ247" s="374"/>
      <c r="BK247" s="374"/>
      <c r="BL247" s="389"/>
      <c r="BM247" s="397"/>
      <c r="BN247" s="389"/>
      <c r="BO247" s="419" t="str">
        <f t="shared" si="106"/>
        <v/>
      </c>
      <c r="BP247" s="389"/>
      <c r="BQ247" s="397"/>
      <c r="BR247" s="419"/>
      <c r="BS247" s="419"/>
      <c r="BT247" s="419"/>
      <c r="BU247" s="432"/>
      <c r="BV247" s="419"/>
      <c r="BW247" s="419"/>
      <c r="BX247" s="419"/>
      <c r="BY247" s="389"/>
      <c r="BZ247" s="389"/>
      <c r="CA247" s="389"/>
      <c r="CB247" s="389"/>
      <c r="CC247" s="389"/>
      <c r="CD247" s="389"/>
      <c r="CE247" s="389"/>
      <c r="CF247" s="389"/>
      <c r="CG247" s="389"/>
      <c r="CH247" s="389"/>
      <c r="CI247" s="389"/>
      <c r="CJ247" s="422"/>
      <c r="CK247" s="422"/>
      <c r="CL247" s="422"/>
      <c r="CM247" s="422"/>
      <c r="CN247" s="422"/>
      <c r="CO247" s="422"/>
      <c r="CP247" s="422"/>
      <c r="CQ247" s="432"/>
      <c r="CR247" s="431" t="str">
        <f t="shared" si="95"/>
        <v/>
      </c>
      <c r="CS247" s="35" t="str">
        <f t="shared" si="96"/>
        <v>Direct or WHSE.</v>
      </c>
      <c r="CT247" s="411"/>
      <c r="CW247" s="153" t="str">
        <f t="shared" si="98"/>
        <v/>
      </c>
      <c r="CX247" s="153" t="str">
        <f t="shared" si="98"/>
        <v/>
      </c>
      <c r="CY247" s="153" t="str">
        <f t="shared" si="97"/>
        <v/>
      </c>
    </row>
    <row r="248" spans="1:103" ht="19.5" customHeight="1">
      <c r="A248" s="10">
        <v>226</v>
      </c>
      <c r="B248" s="373"/>
      <c r="C248" s="373"/>
      <c r="D248" s="396"/>
      <c r="E248" s="375"/>
      <c r="F248" s="373"/>
      <c r="G248" s="373"/>
      <c r="H248" s="376"/>
      <c r="I248" s="377"/>
      <c r="J248" s="378"/>
      <c r="K248" s="379"/>
      <c r="L248" s="374"/>
      <c r="M248" s="380" t="str">
        <f t="shared" ca="1" si="99"/>
        <v/>
      </c>
      <c r="N248" s="373"/>
      <c r="O248" s="381"/>
      <c r="P248" s="381"/>
      <c r="Q248" s="382"/>
      <c r="R248" s="381"/>
      <c r="S248" s="383"/>
      <c r="T248" s="384" t="str">
        <f t="shared" si="100"/>
        <v/>
      </c>
      <c r="U248" s="385"/>
      <c r="V248" s="384" t="str">
        <f t="shared" si="101"/>
        <v/>
      </c>
      <c r="W248" s="386"/>
      <c r="X248" s="386" t="str">
        <f t="shared" si="102"/>
        <v/>
      </c>
      <c r="Y248" s="386" t="str">
        <f t="shared" si="84"/>
        <v/>
      </c>
      <c r="Z248" s="386" t="str">
        <f t="shared" si="85"/>
        <v/>
      </c>
      <c r="AA248" s="387"/>
      <c r="AB248" s="386" t="str">
        <f t="shared" si="86"/>
        <v/>
      </c>
      <c r="AC248" s="386" t="str">
        <f t="shared" si="87"/>
        <v/>
      </c>
      <c r="AD248" s="386" t="str">
        <f t="shared" si="88"/>
        <v/>
      </c>
      <c r="AE248" s="386" t="str">
        <f t="shared" si="89"/>
        <v/>
      </c>
      <c r="AF248" s="386" t="str">
        <f t="shared" si="90"/>
        <v/>
      </c>
      <c r="AG248" s="386" t="str">
        <f t="shared" si="91"/>
        <v/>
      </c>
      <c r="AH248" s="386" t="str">
        <f t="shared" si="92"/>
        <v/>
      </c>
      <c r="AI248" s="386" t="str">
        <f t="shared" si="103"/>
        <v/>
      </c>
      <c r="AJ248" s="386" t="str">
        <f t="shared" si="104"/>
        <v/>
      </c>
      <c r="AK248" s="386" t="str">
        <f t="shared" si="105"/>
        <v/>
      </c>
      <c r="AL248" s="388"/>
      <c r="AM248" s="388"/>
      <c r="AN248" s="388"/>
      <c r="AO248" s="388"/>
      <c r="AP248" s="402" t="str">
        <f t="shared" si="93"/>
        <v/>
      </c>
      <c r="AQ248" s="388"/>
      <c r="AR248" s="388"/>
      <c r="AS248" s="388"/>
      <c r="AT248" s="388"/>
      <c r="AU248" s="402" t="str">
        <f t="shared" si="94"/>
        <v/>
      </c>
      <c r="AV248" s="389"/>
      <c r="AW248" s="381"/>
      <c r="AX248" s="381"/>
      <c r="AY248" s="373"/>
      <c r="AZ248" s="390"/>
      <c r="BA248" s="390"/>
      <c r="BB248" s="391"/>
      <c r="BC248" s="392"/>
      <c r="BD248" s="393"/>
      <c r="BE248" s="393"/>
      <c r="BF248" s="393"/>
      <c r="BG248" s="394"/>
      <c r="BH248" s="395"/>
      <c r="BI248" s="374"/>
      <c r="BJ248" s="374"/>
      <c r="BK248" s="374"/>
      <c r="BL248" s="389"/>
      <c r="BM248" s="397"/>
      <c r="BN248" s="389"/>
      <c r="BO248" s="419" t="str">
        <f t="shared" si="106"/>
        <v/>
      </c>
      <c r="BP248" s="389"/>
      <c r="BQ248" s="397"/>
      <c r="BR248" s="419"/>
      <c r="BS248" s="419"/>
      <c r="BT248" s="419"/>
      <c r="BU248" s="432"/>
      <c r="BV248" s="419"/>
      <c r="BW248" s="419"/>
      <c r="BX248" s="419"/>
      <c r="BY248" s="389"/>
      <c r="BZ248" s="389"/>
      <c r="CA248" s="389"/>
      <c r="CB248" s="389"/>
      <c r="CC248" s="389"/>
      <c r="CD248" s="389"/>
      <c r="CE248" s="389"/>
      <c r="CF248" s="389"/>
      <c r="CG248" s="389"/>
      <c r="CH248" s="389"/>
      <c r="CI248" s="389"/>
      <c r="CJ248" s="422"/>
      <c r="CK248" s="422"/>
      <c r="CL248" s="422"/>
      <c r="CM248" s="422"/>
      <c r="CN248" s="422"/>
      <c r="CO248" s="422"/>
      <c r="CP248" s="422"/>
      <c r="CQ248" s="432"/>
      <c r="CR248" s="431" t="str">
        <f t="shared" si="95"/>
        <v/>
      </c>
      <c r="CS248" s="35" t="str">
        <f t="shared" si="96"/>
        <v>Direct or WHSE.</v>
      </c>
      <c r="CT248" s="411"/>
      <c r="CW248" s="153" t="str">
        <f t="shared" si="98"/>
        <v/>
      </c>
      <c r="CX248" s="153" t="str">
        <f t="shared" si="98"/>
        <v/>
      </c>
      <c r="CY248" s="153" t="str">
        <f t="shared" si="97"/>
        <v/>
      </c>
    </row>
    <row r="249" spans="1:103" ht="19.5" customHeight="1">
      <c r="A249" s="10">
        <v>227</v>
      </c>
      <c r="B249" s="373"/>
      <c r="C249" s="373"/>
      <c r="D249" s="396"/>
      <c r="E249" s="375"/>
      <c r="F249" s="373"/>
      <c r="G249" s="373"/>
      <c r="H249" s="376"/>
      <c r="I249" s="377"/>
      <c r="J249" s="378"/>
      <c r="K249" s="379"/>
      <c r="L249" s="374"/>
      <c r="M249" s="380" t="str">
        <f t="shared" ca="1" si="99"/>
        <v/>
      </c>
      <c r="N249" s="373"/>
      <c r="O249" s="381"/>
      <c r="P249" s="381"/>
      <c r="Q249" s="382"/>
      <c r="R249" s="381"/>
      <c r="S249" s="383"/>
      <c r="T249" s="384" t="str">
        <f t="shared" si="100"/>
        <v/>
      </c>
      <c r="U249" s="385"/>
      <c r="V249" s="384" t="str">
        <f t="shared" si="101"/>
        <v/>
      </c>
      <c r="W249" s="386"/>
      <c r="X249" s="386" t="str">
        <f t="shared" si="102"/>
        <v/>
      </c>
      <c r="Y249" s="386" t="str">
        <f t="shared" si="84"/>
        <v/>
      </c>
      <c r="Z249" s="386" t="str">
        <f t="shared" si="85"/>
        <v/>
      </c>
      <c r="AA249" s="387"/>
      <c r="AB249" s="386" t="str">
        <f t="shared" si="86"/>
        <v/>
      </c>
      <c r="AC249" s="386" t="str">
        <f t="shared" si="87"/>
        <v/>
      </c>
      <c r="AD249" s="386" t="str">
        <f t="shared" si="88"/>
        <v/>
      </c>
      <c r="AE249" s="386" t="str">
        <f t="shared" si="89"/>
        <v/>
      </c>
      <c r="AF249" s="386" t="str">
        <f t="shared" si="90"/>
        <v/>
      </c>
      <c r="AG249" s="386" t="str">
        <f t="shared" si="91"/>
        <v/>
      </c>
      <c r="AH249" s="386" t="str">
        <f t="shared" si="92"/>
        <v/>
      </c>
      <c r="AI249" s="386" t="str">
        <f t="shared" si="103"/>
        <v/>
      </c>
      <c r="AJ249" s="386" t="str">
        <f t="shared" si="104"/>
        <v/>
      </c>
      <c r="AK249" s="386" t="str">
        <f t="shared" si="105"/>
        <v/>
      </c>
      <c r="AL249" s="388"/>
      <c r="AM249" s="388"/>
      <c r="AN249" s="388"/>
      <c r="AO249" s="388"/>
      <c r="AP249" s="402" t="str">
        <f t="shared" si="93"/>
        <v/>
      </c>
      <c r="AQ249" s="388"/>
      <c r="AR249" s="388"/>
      <c r="AS249" s="388"/>
      <c r="AT249" s="388"/>
      <c r="AU249" s="402" t="str">
        <f t="shared" si="94"/>
        <v/>
      </c>
      <c r="AV249" s="389"/>
      <c r="AW249" s="381"/>
      <c r="AX249" s="381"/>
      <c r="AY249" s="373"/>
      <c r="AZ249" s="390"/>
      <c r="BA249" s="390"/>
      <c r="BB249" s="391"/>
      <c r="BC249" s="392"/>
      <c r="BD249" s="393"/>
      <c r="BE249" s="393"/>
      <c r="BF249" s="393"/>
      <c r="BG249" s="394"/>
      <c r="BH249" s="395"/>
      <c r="BI249" s="374"/>
      <c r="BJ249" s="374"/>
      <c r="BK249" s="374"/>
      <c r="BL249" s="389"/>
      <c r="BM249" s="397"/>
      <c r="BN249" s="389"/>
      <c r="BO249" s="419" t="str">
        <f t="shared" si="106"/>
        <v/>
      </c>
      <c r="BP249" s="389"/>
      <c r="BQ249" s="397"/>
      <c r="BR249" s="419"/>
      <c r="BS249" s="419"/>
      <c r="BT249" s="419"/>
      <c r="BU249" s="432"/>
      <c r="BV249" s="419"/>
      <c r="BW249" s="419"/>
      <c r="BX249" s="419"/>
      <c r="BY249" s="389"/>
      <c r="BZ249" s="389"/>
      <c r="CA249" s="389"/>
      <c r="CB249" s="389"/>
      <c r="CC249" s="389"/>
      <c r="CD249" s="389"/>
      <c r="CE249" s="389"/>
      <c r="CF249" s="389"/>
      <c r="CG249" s="389"/>
      <c r="CH249" s="389"/>
      <c r="CI249" s="389"/>
      <c r="CJ249" s="422"/>
      <c r="CK249" s="422"/>
      <c r="CL249" s="422"/>
      <c r="CM249" s="422"/>
      <c r="CN249" s="422"/>
      <c r="CO249" s="422"/>
      <c r="CP249" s="422"/>
      <c r="CQ249" s="432"/>
      <c r="CR249" s="431" t="str">
        <f t="shared" si="95"/>
        <v/>
      </c>
      <c r="CS249" s="35" t="str">
        <f t="shared" si="96"/>
        <v>Direct or WHSE.</v>
      </c>
      <c r="CT249" s="411"/>
      <c r="CW249" s="153" t="str">
        <f t="shared" si="98"/>
        <v/>
      </c>
      <c r="CX249" s="153" t="str">
        <f t="shared" si="98"/>
        <v/>
      </c>
      <c r="CY249" s="153" t="str">
        <f t="shared" si="97"/>
        <v/>
      </c>
    </row>
    <row r="250" spans="1:103" ht="19.5" customHeight="1">
      <c r="A250" s="10">
        <v>228</v>
      </c>
      <c r="B250" s="373"/>
      <c r="C250" s="373"/>
      <c r="D250" s="396"/>
      <c r="E250" s="375"/>
      <c r="F250" s="373"/>
      <c r="G250" s="373"/>
      <c r="H250" s="376"/>
      <c r="I250" s="377"/>
      <c r="J250" s="378"/>
      <c r="K250" s="379"/>
      <c r="L250" s="374"/>
      <c r="M250" s="380" t="str">
        <f t="shared" ca="1" si="99"/>
        <v/>
      </c>
      <c r="N250" s="373"/>
      <c r="O250" s="381"/>
      <c r="P250" s="381"/>
      <c r="Q250" s="382"/>
      <c r="R250" s="381"/>
      <c r="S250" s="383"/>
      <c r="T250" s="384" t="str">
        <f t="shared" si="100"/>
        <v/>
      </c>
      <c r="U250" s="385"/>
      <c r="V250" s="384" t="str">
        <f t="shared" si="101"/>
        <v/>
      </c>
      <c r="W250" s="386"/>
      <c r="X250" s="386" t="str">
        <f t="shared" si="102"/>
        <v/>
      </c>
      <c r="Y250" s="386" t="str">
        <f t="shared" si="84"/>
        <v/>
      </c>
      <c r="Z250" s="386" t="str">
        <f t="shared" si="85"/>
        <v/>
      </c>
      <c r="AA250" s="387"/>
      <c r="AB250" s="386" t="str">
        <f t="shared" si="86"/>
        <v/>
      </c>
      <c r="AC250" s="386" t="str">
        <f t="shared" si="87"/>
        <v/>
      </c>
      <c r="AD250" s="386" t="str">
        <f t="shared" si="88"/>
        <v/>
      </c>
      <c r="AE250" s="386" t="str">
        <f t="shared" si="89"/>
        <v/>
      </c>
      <c r="AF250" s="386" t="str">
        <f t="shared" si="90"/>
        <v/>
      </c>
      <c r="AG250" s="386" t="str">
        <f t="shared" si="91"/>
        <v/>
      </c>
      <c r="AH250" s="386" t="str">
        <f t="shared" si="92"/>
        <v/>
      </c>
      <c r="AI250" s="386" t="str">
        <f t="shared" si="103"/>
        <v/>
      </c>
      <c r="AJ250" s="386" t="str">
        <f t="shared" si="104"/>
        <v/>
      </c>
      <c r="AK250" s="386" t="str">
        <f t="shared" si="105"/>
        <v/>
      </c>
      <c r="AL250" s="388"/>
      <c r="AM250" s="388"/>
      <c r="AN250" s="388"/>
      <c r="AO250" s="388"/>
      <c r="AP250" s="402" t="str">
        <f t="shared" si="93"/>
        <v/>
      </c>
      <c r="AQ250" s="388"/>
      <c r="AR250" s="388"/>
      <c r="AS250" s="388"/>
      <c r="AT250" s="388"/>
      <c r="AU250" s="402" t="str">
        <f t="shared" si="94"/>
        <v/>
      </c>
      <c r="AV250" s="389"/>
      <c r="AW250" s="381"/>
      <c r="AX250" s="381"/>
      <c r="AY250" s="373"/>
      <c r="AZ250" s="390"/>
      <c r="BA250" s="390"/>
      <c r="BB250" s="391"/>
      <c r="BC250" s="392"/>
      <c r="BD250" s="393"/>
      <c r="BE250" s="393"/>
      <c r="BF250" s="393"/>
      <c r="BG250" s="394"/>
      <c r="BH250" s="395"/>
      <c r="BI250" s="374"/>
      <c r="BJ250" s="374"/>
      <c r="BK250" s="374"/>
      <c r="BL250" s="389"/>
      <c r="BM250" s="397"/>
      <c r="BN250" s="389"/>
      <c r="BO250" s="419" t="str">
        <f t="shared" si="106"/>
        <v/>
      </c>
      <c r="BP250" s="389"/>
      <c r="BQ250" s="397"/>
      <c r="BR250" s="419"/>
      <c r="BS250" s="419"/>
      <c r="BT250" s="419"/>
      <c r="BU250" s="432"/>
      <c r="BV250" s="419"/>
      <c r="BW250" s="419"/>
      <c r="BX250" s="419"/>
      <c r="BY250" s="389"/>
      <c r="BZ250" s="389"/>
      <c r="CA250" s="389"/>
      <c r="CB250" s="389"/>
      <c r="CC250" s="389"/>
      <c r="CD250" s="389"/>
      <c r="CE250" s="389"/>
      <c r="CF250" s="389"/>
      <c r="CG250" s="389"/>
      <c r="CH250" s="389"/>
      <c r="CI250" s="389"/>
      <c r="CJ250" s="422"/>
      <c r="CK250" s="422"/>
      <c r="CL250" s="422"/>
      <c r="CM250" s="422"/>
      <c r="CN250" s="422"/>
      <c r="CO250" s="422"/>
      <c r="CP250" s="422"/>
      <c r="CQ250" s="432"/>
      <c r="CR250" s="431" t="str">
        <f t="shared" si="95"/>
        <v/>
      </c>
      <c r="CS250" s="35" t="str">
        <f t="shared" si="96"/>
        <v>Direct or WHSE.</v>
      </c>
      <c r="CT250" s="411"/>
      <c r="CW250" s="153" t="str">
        <f t="shared" si="98"/>
        <v/>
      </c>
      <c r="CX250" s="153" t="str">
        <f t="shared" si="98"/>
        <v/>
      </c>
      <c r="CY250" s="153" t="str">
        <f t="shared" si="97"/>
        <v/>
      </c>
    </row>
    <row r="251" spans="1:103" ht="19.5" customHeight="1">
      <c r="A251" s="10">
        <v>229</v>
      </c>
      <c r="B251" s="373"/>
      <c r="C251" s="373"/>
      <c r="D251" s="396"/>
      <c r="E251" s="375"/>
      <c r="F251" s="373"/>
      <c r="G251" s="373"/>
      <c r="H251" s="376"/>
      <c r="I251" s="377"/>
      <c r="J251" s="378"/>
      <c r="K251" s="379"/>
      <c r="L251" s="374"/>
      <c r="M251" s="380" t="str">
        <f t="shared" ca="1" si="99"/>
        <v/>
      </c>
      <c r="N251" s="373"/>
      <c r="O251" s="381"/>
      <c r="P251" s="381"/>
      <c r="Q251" s="382"/>
      <c r="R251" s="381"/>
      <c r="S251" s="383"/>
      <c r="T251" s="384" t="str">
        <f t="shared" si="100"/>
        <v/>
      </c>
      <c r="U251" s="385"/>
      <c r="V251" s="384" t="str">
        <f t="shared" si="101"/>
        <v/>
      </c>
      <c r="W251" s="386"/>
      <c r="X251" s="386" t="str">
        <f t="shared" si="102"/>
        <v/>
      </c>
      <c r="Y251" s="386" t="str">
        <f t="shared" ref="Y251:Y272" si="107">IF(W251="","",W251)</f>
        <v/>
      </c>
      <c r="Z251" s="386" t="str">
        <f t="shared" ref="Z251:Z272" si="108">IF(Q251="N","",IF(Q251="","",IF(W251="","",W251)))</f>
        <v/>
      </c>
      <c r="AA251" s="387"/>
      <c r="AB251" s="386" t="str">
        <f t="shared" ref="AB251:AB272" si="109">IF(W251="","",W251)</f>
        <v/>
      </c>
      <c r="AC251" s="386" t="str">
        <f t="shared" ref="AC251:AC272" si="110">IF(W251="","",W251)</f>
        <v/>
      </c>
      <c r="AD251" s="386" t="str">
        <f t="shared" ref="AD251:AD272" si="111">IF(W251="","",W251)</f>
        <v/>
      </c>
      <c r="AE251" s="386" t="str">
        <f t="shared" ref="AE251:AE272" si="112">IF(W251="","",W251)</f>
        <v/>
      </c>
      <c r="AF251" s="386" t="str">
        <f t="shared" ref="AF251:AF272" si="113">IF(W251="","",W251)</f>
        <v/>
      </c>
      <c r="AG251" s="386" t="str">
        <f t="shared" ref="AG251:AG272" si="114">IF(W251="","",W251)</f>
        <v/>
      </c>
      <c r="AH251" s="386" t="str">
        <f t="shared" ref="AH251:AH272" si="115">IF(W251="","",W251)</f>
        <v/>
      </c>
      <c r="AI251" s="386" t="str">
        <f t="shared" si="103"/>
        <v/>
      </c>
      <c r="AJ251" s="386" t="str">
        <f t="shared" si="104"/>
        <v/>
      </c>
      <c r="AK251" s="386" t="str">
        <f t="shared" si="105"/>
        <v/>
      </c>
      <c r="AL251" s="388"/>
      <c r="AM251" s="388"/>
      <c r="AN251" s="388"/>
      <c r="AO251" s="388"/>
      <c r="AP251" s="402" t="str">
        <f t="shared" ref="AP251:AP272" si="116">IF(AND(AL251="",AM251="",AN251="",AO251=""),"",IF(AL251="","Missing Height",IF(AM251="","Missing Width",IF(AN251="","Missing Length",AL251*AM251*AN251/1728))))</f>
        <v/>
      </c>
      <c r="AQ251" s="388"/>
      <c r="AR251" s="388"/>
      <c r="AS251" s="388"/>
      <c r="AT251" s="388"/>
      <c r="AU251" s="402" t="str">
        <f t="shared" ref="AU251:AU272" si="117">IF(AND(AQ251="",AR251="",AS251="",AT251=""),"",IF(AQ251="","Missing Height",IF(AR251="","Missing Width",IF(AS251="","Missing Length",AQ251*AR251*AS251/1728))))</f>
        <v/>
      </c>
      <c r="AV251" s="389"/>
      <c r="AW251" s="381"/>
      <c r="AX251" s="381"/>
      <c r="AY251" s="373"/>
      <c r="AZ251" s="390"/>
      <c r="BA251" s="390"/>
      <c r="BB251" s="391"/>
      <c r="BC251" s="392"/>
      <c r="BD251" s="393"/>
      <c r="BE251" s="393"/>
      <c r="BF251" s="393"/>
      <c r="BG251" s="394"/>
      <c r="BH251" s="395"/>
      <c r="BI251" s="374"/>
      <c r="BJ251" s="374"/>
      <c r="BK251" s="374"/>
      <c r="BL251" s="389"/>
      <c r="BM251" s="397"/>
      <c r="BN251" s="389"/>
      <c r="BO251" s="419" t="str">
        <f t="shared" si="106"/>
        <v/>
      </c>
      <c r="BP251" s="389"/>
      <c r="BQ251" s="397"/>
      <c r="BR251" s="419"/>
      <c r="BS251" s="419"/>
      <c r="BT251" s="419"/>
      <c r="BU251" s="432"/>
      <c r="BV251" s="419"/>
      <c r="BW251" s="419"/>
      <c r="BX251" s="419"/>
      <c r="BY251" s="389"/>
      <c r="BZ251" s="389"/>
      <c r="CA251" s="389"/>
      <c r="CB251" s="389"/>
      <c r="CC251" s="389"/>
      <c r="CD251" s="389"/>
      <c r="CE251" s="389"/>
      <c r="CF251" s="389"/>
      <c r="CG251" s="389"/>
      <c r="CH251" s="389"/>
      <c r="CI251" s="389"/>
      <c r="CJ251" s="422"/>
      <c r="CK251" s="422"/>
      <c r="CL251" s="422"/>
      <c r="CM251" s="422"/>
      <c r="CN251" s="422"/>
      <c r="CO251" s="422"/>
      <c r="CP251" s="422"/>
      <c r="CQ251" s="432"/>
      <c r="CR251" s="431" t="str">
        <f t="shared" ref="CR251:CR272" si="118">IF(N251="","",IF(MOD(N251,O251)=0,"","CASE PACK Problems"))</f>
        <v/>
      </c>
      <c r="CS251" s="35" t="str">
        <f t="shared" ref="CS251:CS272" si="119">IF($N$3="","Direct or WHSE.",IF(N251="","Need Master Pack QTY.",IF(O251="","Need Inner Pack QTY.",IF($N$3="W",IF(MOD(N251,O251)=0,"","Inner Pack is not a Multiple of the Master pack."),IF(O251="","",IF(O251=N251,"","Master PK and Inner PK don't equal."))))))</f>
        <v>Direct or WHSE.</v>
      </c>
      <c r="CT251" s="411"/>
      <c r="CW251" s="153" t="str">
        <f t="shared" si="98"/>
        <v/>
      </c>
      <c r="CX251" s="153" t="str">
        <f t="shared" si="98"/>
        <v/>
      </c>
      <c r="CY251" s="153" t="str">
        <f t="shared" ref="CY251:CY272" si="120">IF(W251="","",IF(W251=X251,"Match",""))</f>
        <v/>
      </c>
    </row>
    <row r="252" spans="1:103" ht="19.5" customHeight="1">
      <c r="A252" s="10">
        <v>230</v>
      </c>
      <c r="B252" s="373"/>
      <c r="C252" s="373"/>
      <c r="D252" s="396"/>
      <c r="E252" s="375"/>
      <c r="F252" s="373"/>
      <c r="G252" s="373"/>
      <c r="H252" s="376"/>
      <c r="I252" s="377"/>
      <c r="J252" s="378"/>
      <c r="K252" s="379"/>
      <c r="L252" s="374"/>
      <c r="M252" s="380" t="str">
        <f t="shared" ca="1" si="99"/>
        <v/>
      </c>
      <c r="N252" s="373"/>
      <c r="O252" s="381"/>
      <c r="P252" s="381"/>
      <c r="Q252" s="382"/>
      <c r="R252" s="381"/>
      <c r="S252" s="383"/>
      <c r="T252" s="384" t="str">
        <f t="shared" si="100"/>
        <v/>
      </c>
      <c r="U252" s="385"/>
      <c r="V252" s="384" t="str">
        <f t="shared" si="101"/>
        <v/>
      </c>
      <c r="W252" s="386"/>
      <c r="X252" s="386" t="str">
        <f t="shared" si="102"/>
        <v/>
      </c>
      <c r="Y252" s="386" t="str">
        <f t="shared" si="107"/>
        <v/>
      </c>
      <c r="Z252" s="386" t="str">
        <f t="shared" si="108"/>
        <v/>
      </c>
      <c r="AA252" s="387"/>
      <c r="AB252" s="386" t="str">
        <f t="shared" si="109"/>
        <v/>
      </c>
      <c r="AC252" s="386" t="str">
        <f t="shared" si="110"/>
        <v/>
      </c>
      <c r="AD252" s="386" t="str">
        <f t="shared" si="111"/>
        <v/>
      </c>
      <c r="AE252" s="386" t="str">
        <f t="shared" si="112"/>
        <v/>
      </c>
      <c r="AF252" s="386" t="str">
        <f t="shared" si="113"/>
        <v/>
      </c>
      <c r="AG252" s="386" t="str">
        <f t="shared" si="114"/>
        <v/>
      </c>
      <c r="AH252" s="386" t="str">
        <f t="shared" si="115"/>
        <v/>
      </c>
      <c r="AI252" s="386" t="str">
        <f t="shared" si="103"/>
        <v/>
      </c>
      <c r="AJ252" s="386" t="str">
        <f t="shared" si="104"/>
        <v/>
      </c>
      <c r="AK252" s="386" t="str">
        <f t="shared" si="105"/>
        <v/>
      </c>
      <c r="AL252" s="388"/>
      <c r="AM252" s="388"/>
      <c r="AN252" s="388"/>
      <c r="AO252" s="388"/>
      <c r="AP252" s="402" t="str">
        <f t="shared" si="116"/>
        <v/>
      </c>
      <c r="AQ252" s="388"/>
      <c r="AR252" s="388"/>
      <c r="AS252" s="388"/>
      <c r="AT252" s="388"/>
      <c r="AU252" s="402" t="str">
        <f t="shared" si="117"/>
        <v/>
      </c>
      <c r="AV252" s="389"/>
      <c r="AW252" s="381"/>
      <c r="AX252" s="381"/>
      <c r="AY252" s="373"/>
      <c r="AZ252" s="390"/>
      <c r="BA252" s="390"/>
      <c r="BB252" s="391"/>
      <c r="BC252" s="392"/>
      <c r="BD252" s="393"/>
      <c r="BE252" s="393"/>
      <c r="BF252" s="393"/>
      <c r="BG252" s="394"/>
      <c r="BH252" s="395"/>
      <c r="BI252" s="374"/>
      <c r="BJ252" s="374"/>
      <c r="BK252" s="374"/>
      <c r="BL252" s="389"/>
      <c r="BM252" s="397"/>
      <c r="BN252" s="389"/>
      <c r="BO252" s="419" t="str">
        <f t="shared" si="106"/>
        <v/>
      </c>
      <c r="BP252" s="389"/>
      <c r="BQ252" s="397"/>
      <c r="BR252" s="419"/>
      <c r="BS252" s="419"/>
      <c r="BT252" s="419"/>
      <c r="BU252" s="432"/>
      <c r="BV252" s="419"/>
      <c r="BW252" s="419"/>
      <c r="BX252" s="419"/>
      <c r="BY252" s="389"/>
      <c r="BZ252" s="389"/>
      <c r="CA252" s="389"/>
      <c r="CB252" s="389"/>
      <c r="CC252" s="389"/>
      <c r="CD252" s="389"/>
      <c r="CE252" s="389"/>
      <c r="CF252" s="389"/>
      <c r="CG252" s="389"/>
      <c r="CH252" s="389"/>
      <c r="CI252" s="389"/>
      <c r="CJ252" s="422"/>
      <c r="CK252" s="422"/>
      <c r="CL252" s="422"/>
      <c r="CM252" s="422"/>
      <c r="CN252" s="422"/>
      <c r="CO252" s="422"/>
      <c r="CP252" s="422"/>
      <c r="CQ252" s="432"/>
      <c r="CR252" s="431" t="str">
        <f t="shared" si="118"/>
        <v/>
      </c>
      <c r="CS252" s="35" t="str">
        <f t="shared" si="119"/>
        <v>Direct or WHSE.</v>
      </c>
      <c r="CT252" s="411"/>
      <c r="CW252" s="153" t="str">
        <f t="shared" si="98"/>
        <v/>
      </c>
      <c r="CX252" s="153" t="str">
        <f t="shared" si="98"/>
        <v/>
      </c>
      <c r="CY252" s="153" t="str">
        <f t="shared" si="120"/>
        <v/>
      </c>
    </row>
    <row r="253" spans="1:103" ht="19.5" customHeight="1">
      <c r="A253" s="10">
        <v>231</v>
      </c>
      <c r="B253" s="373"/>
      <c r="C253" s="373"/>
      <c r="D253" s="396"/>
      <c r="E253" s="375"/>
      <c r="F253" s="373"/>
      <c r="G253" s="373"/>
      <c r="H253" s="376"/>
      <c r="I253" s="377"/>
      <c r="J253" s="378"/>
      <c r="K253" s="379"/>
      <c r="L253" s="374"/>
      <c r="M253" s="380" t="str">
        <f t="shared" ca="1" si="99"/>
        <v/>
      </c>
      <c r="N253" s="373"/>
      <c r="O253" s="381"/>
      <c r="P253" s="381"/>
      <c r="Q253" s="382"/>
      <c r="R253" s="381"/>
      <c r="S253" s="383"/>
      <c r="T253" s="384" t="str">
        <f t="shared" si="100"/>
        <v/>
      </c>
      <c r="U253" s="385"/>
      <c r="V253" s="384" t="str">
        <f t="shared" si="101"/>
        <v/>
      </c>
      <c r="W253" s="386"/>
      <c r="X253" s="386" t="str">
        <f t="shared" si="102"/>
        <v/>
      </c>
      <c r="Y253" s="386" t="str">
        <f t="shared" si="107"/>
        <v/>
      </c>
      <c r="Z253" s="386" t="str">
        <f t="shared" si="108"/>
        <v/>
      </c>
      <c r="AA253" s="387"/>
      <c r="AB253" s="386" t="str">
        <f t="shared" si="109"/>
        <v/>
      </c>
      <c r="AC253" s="386" t="str">
        <f t="shared" si="110"/>
        <v/>
      </c>
      <c r="AD253" s="386" t="str">
        <f t="shared" si="111"/>
        <v/>
      </c>
      <c r="AE253" s="386" t="str">
        <f t="shared" si="112"/>
        <v/>
      </c>
      <c r="AF253" s="386" t="str">
        <f t="shared" si="113"/>
        <v/>
      </c>
      <c r="AG253" s="386" t="str">
        <f t="shared" si="114"/>
        <v/>
      </c>
      <c r="AH253" s="386" t="str">
        <f t="shared" si="115"/>
        <v/>
      </c>
      <c r="AI253" s="386" t="str">
        <f t="shared" si="103"/>
        <v/>
      </c>
      <c r="AJ253" s="386" t="str">
        <f t="shared" si="104"/>
        <v/>
      </c>
      <c r="AK253" s="386" t="str">
        <f t="shared" si="105"/>
        <v/>
      </c>
      <c r="AL253" s="388"/>
      <c r="AM253" s="388"/>
      <c r="AN253" s="388"/>
      <c r="AO253" s="388"/>
      <c r="AP253" s="402" t="str">
        <f t="shared" si="116"/>
        <v/>
      </c>
      <c r="AQ253" s="388"/>
      <c r="AR253" s="388"/>
      <c r="AS253" s="388"/>
      <c r="AT253" s="388"/>
      <c r="AU253" s="402" t="str">
        <f t="shared" si="117"/>
        <v/>
      </c>
      <c r="AV253" s="389"/>
      <c r="AW253" s="381"/>
      <c r="AX253" s="381"/>
      <c r="AY253" s="373"/>
      <c r="AZ253" s="390"/>
      <c r="BA253" s="390"/>
      <c r="BB253" s="391"/>
      <c r="BC253" s="392"/>
      <c r="BD253" s="393"/>
      <c r="BE253" s="393"/>
      <c r="BF253" s="393"/>
      <c r="BG253" s="394"/>
      <c r="BH253" s="395"/>
      <c r="BI253" s="374"/>
      <c r="BJ253" s="374"/>
      <c r="BK253" s="374"/>
      <c r="BL253" s="389"/>
      <c r="BM253" s="397"/>
      <c r="BN253" s="389"/>
      <c r="BO253" s="419" t="str">
        <f t="shared" si="106"/>
        <v/>
      </c>
      <c r="BP253" s="389"/>
      <c r="BQ253" s="397"/>
      <c r="BR253" s="419"/>
      <c r="BS253" s="419"/>
      <c r="BT253" s="419"/>
      <c r="BU253" s="432"/>
      <c r="BV253" s="419"/>
      <c r="BW253" s="419"/>
      <c r="BX253" s="419"/>
      <c r="BY253" s="389"/>
      <c r="BZ253" s="389"/>
      <c r="CA253" s="389"/>
      <c r="CB253" s="389"/>
      <c r="CC253" s="389"/>
      <c r="CD253" s="389"/>
      <c r="CE253" s="389"/>
      <c r="CF253" s="389"/>
      <c r="CG253" s="389"/>
      <c r="CH253" s="389"/>
      <c r="CI253" s="389"/>
      <c r="CJ253" s="422"/>
      <c r="CK253" s="422"/>
      <c r="CL253" s="422"/>
      <c r="CM253" s="422"/>
      <c r="CN253" s="422"/>
      <c r="CO253" s="422"/>
      <c r="CP253" s="422"/>
      <c r="CQ253" s="432"/>
      <c r="CR253" s="431" t="str">
        <f t="shared" si="118"/>
        <v/>
      </c>
      <c r="CS253" s="35" t="str">
        <f t="shared" si="119"/>
        <v>Direct or WHSE.</v>
      </c>
      <c r="CT253" s="411"/>
      <c r="CW253" s="153" t="str">
        <f t="shared" si="98"/>
        <v/>
      </c>
      <c r="CX253" s="153" t="str">
        <f t="shared" si="98"/>
        <v/>
      </c>
      <c r="CY253" s="153" t="str">
        <f t="shared" si="120"/>
        <v/>
      </c>
    </row>
    <row r="254" spans="1:103" ht="19.5" customHeight="1">
      <c r="A254" s="10">
        <v>232</v>
      </c>
      <c r="B254" s="373"/>
      <c r="C254" s="373"/>
      <c r="D254" s="396"/>
      <c r="E254" s="375"/>
      <c r="F254" s="373"/>
      <c r="G254" s="373"/>
      <c r="H254" s="376"/>
      <c r="I254" s="377"/>
      <c r="J254" s="378"/>
      <c r="K254" s="379"/>
      <c r="L254" s="374"/>
      <c r="M254" s="380" t="str">
        <f t="shared" ca="1" si="99"/>
        <v/>
      </c>
      <c r="N254" s="373"/>
      <c r="O254" s="381"/>
      <c r="P254" s="381"/>
      <c r="Q254" s="382"/>
      <c r="R254" s="381"/>
      <c r="S254" s="383"/>
      <c r="T254" s="384" t="str">
        <f t="shared" si="100"/>
        <v/>
      </c>
      <c r="U254" s="385"/>
      <c r="V254" s="384" t="str">
        <f t="shared" si="101"/>
        <v/>
      </c>
      <c r="W254" s="386"/>
      <c r="X254" s="386" t="str">
        <f t="shared" si="102"/>
        <v/>
      </c>
      <c r="Y254" s="386" t="str">
        <f t="shared" si="107"/>
        <v/>
      </c>
      <c r="Z254" s="386" t="str">
        <f t="shared" si="108"/>
        <v/>
      </c>
      <c r="AA254" s="387"/>
      <c r="AB254" s="386" t="str">
        <f t="shared" si="109"/>
        <v/>
      </c>
      <c r="AC254" s="386" t="str">
        <f t="shared" si="110"/>
        <v/>
      </c>
      <c r="AD254" s="386" t="str">
        <f t="shared" si="111"/>
        <v/>
      </c>
      <c r="AE254" s="386" t="str">
        <f t="shared" si="112"/>
        <v/>
      </c>
      <c r="AF254" s="386" t="str">
        <f t="shared" si="113"/>
        <v/>
      </c>
      <c r="AG254" s="386" t="str">
        <f t="shared" si="114"/>
        <v/>
      </c>
      <c r="AH254" s="386" t="str">
        <f t="shared" si="115"/>
        <v/>
      </c>
      <c r="AI254" s="386" t="str">
        <f t="shared" si="103"/>
        <v/>
      </c>
      <c r="AJ254" s="386" t="str">
        <f t="shared" si="104"/>
        <v/>
      </c>
      <c r="AK254" s="386" t="str">
        <f t="shared" si="105"/>
        <v/>
      </c>
      <c r="AL254" s="388"/>
      <c r="AM254" s="388"/>
      <c r="AN254" s="388"/>
      <c r="AO254" s="388"/>
      <c r="AP254" s="402" t="str">
        <f t="shared" si="116"/>
        <v/>
      </c>
      <c r="AQ254" s="388"/>
      <c r="AR254" s="388"/>
      <c r="AS254" s="388"/>
      <c r="AT254" s="388"/>
      <c r="AU254" s="402" t="str">
        <f t="shared" si="117"/>
        <v/>
      </c>
      <c r="AV254" s="389"/>
      <c r="AW254" s="381"/>
      <c r="AX254" s="381"/>
      <c r="AY254" s="373"/>
      <c r="AZ254" s="390"/>
      <c r="BA254" s="390"/>
      <c r="BB254" s="391"/>
      <c r="BC254" s="392"/>
      <c r="BD254" s="393"/>
      <c r="BE254" s="393"/>
      <c r="BF254" s="393"/>
      <c r="BG254" s="394"/>
      <c r="BH254" s="395"/>
      <c r="BI254" s="374"/>
      <c r="BJ254" s="374"/>
      <c r="BK254" s="374"/>
      <c r="BL254" s="389"/>
      <c r="BM254" s="397"/>
      <c r="BN254" s="389"/>
      <c r="BO254" s="419" t="str">
        <f t="shared" si="106"/>
        <v/>
      </c>
      <c r="BP254" s="389"/>
      <c r="BQ254" s="397"/>
      <c r="BR254" s="419"/>
      <c r="BS254" s="419"/>
      <c r="BT254" s="419"/>
      <c r="BU254" s="432"/>
      <c r="BV254" s="419"/>
      <c r="BW254" s="419"/>
      <c r="BX254" s="419"/>
      <c r="BY254" s="389"/>
      <c r="BZ254" s="389"/>
      <c r="CA254" s="389"/>
      <c r="CB254" s="389"/>
      <c r="CC254" s="389"/>
      <c r="CD254" s="389"/>
      <c r="CE254" s="389"/>
      <c r="CF254" s="389"/>
      <c r="CG254" s="389"/>
      <c r="CH254" s="389"/>
      <c r="CI254" s="389"/>
      <c r="CJ254" s="422"/>
      <c r="CK254" s="422"/>
      <c r="CL254" s="422"/>
      <c r="CM254" s="422"/>
      <c r="CN254" s="422"/>
      <c r="CO254" s="422"/>
      <c r="CP254" s="422"/>
      <c r="CQ254" s="432"/>
      <c r="CR254" s="431" t="str">
        <f t="shared" si="118"/>
        <v/>
      </c>
      <c r="CS254" s="35" t="str">
        <f t="shared" si="119"/>
        <v>Direct or WHSE.</v>
      </c>
      <c r="CT254" s="411"/>
      <c r="CW254" s="153" t="str">
        <f t="shared" si="98"/>
        <v/>
      </c>
      <c r="CX254" s="153" t="str">
        <f t="shared" si="98"/>
        <v/>
      </c>
      <c r="CY254" s="153" t="str">
        <f t="shared" si="120"/>
        <v/>
      </c>
    </row>
    <row r="255" spans="1:103" ht="19.5" customHeight="1">
      <c r="A255" s="10">
        <v>233</v>
      </c>
      <c r="B255" s="373"/>
      <c r="C255" s="373"/>
      <c r="D255" s="396"/>
      <c r="E255" s="375"/>
      <c r="F255" s="373"/>
      <c r="G255" s="373"/>
      <c r="H255" s="376"/>
      <c r="I255" s="377"/>
      <c r="J255" s="378"/>
      <c r="K255" s="379"/>
      <c r="L255" s="374"/>
      <c r="M255" s="380" t="str">
        <f t="shared" ca="1" si="99"/>
        <v/>
      </c>
      <c r="N255" s="373"/>
      <c r="O255" s="381"/>
      <c r="P255" s="381"/>
      <c r="Q255" s="382"/>
      <c r="R255" s="381"/>
      <c r="S255" s="383"/>
      <c r="T255" s="384" t="str">
        <f t="shared" si="100"/>
        <v/>
      </c>
      <c r="U255" s="385"/>
      <c r="V255" s="384" t="str">
        <f t="shared" si="101"/>
        <v/>
      </c>
      <c r="W255" s="386"/>
      <c r="X255" s="386" t="str">
        <f t="shared" si="102"/>
        <v/>
      </c>
      <c r="Y255" s="386" t="str">
        <f t="shared" si="107"/>
        <v/>
      </c>
      <c r="Z255" s="386" t="str">
        <f t="shared" si="108"/>
        <v/>
      </c>
      <c r="AA255" s="387"/>
      <c r="AB255" s="386" t="str">
        <f t="shared" si="109"/>
        <v/>
      </c>
      <c r="AC255" s="386" t="str">
        <f t="shared" si="110"/>
        <v/>
      </c>
      <c r="AD255" s="386" t="str">
        <f t="shared" si="111"/>
        <v/>
      </c>
      <c r="AE255" s="386" t="str">
        <f t="shared" si="112"/>
        <v/>
      </c>
      <c r="AF255" s="386" t="str">
        <f t="shared" si="113"/>
        <v/>
      </c>
      <c r="AG255" s="386" t="str">
        <f t="shared" si="114"/>
        <v/>
      </c>
      <c r="AH255" s="386" t="str">
        <f t="shared" si="115"/>
        <v/>
      </c>
      <c r="AI255" s="386" t="str">
        <f t="shared" si="103"/>
        <v/>
      </c>
      <c r="AJ255" s="386" t="str">
        <f t="shared" si="104"/>
        <v/>
      </c>
      <c r="AK255" s="386" t="str">
        <f t="shared" si="105"/>
        <v/>
      </c>
      <c r="AL255" s="388"/>
      <c r="AM255" s="388"/>
      <c r="AN255" s="388"/>
      <c r="AO255" s="388"/>
      <c r="AP255" s="402" t="str">
        <f t="shared" si="116"/>
        <v/>
      </c>
      <c r="AQ255" s="388"/>
      <c r="AR255" s="388"/>
      <c r="AS255" s="388"/>
      <c r="AT255" s="388"/>
      <c r="AU255" s="402" t="str">
        <f t="shared" si="117"/>
        <v/>
      </c>
      <c r="AV255" s="389"/>
      <c r="AW255" s="381"/>
      <c r="AX255" s="381"/>
      <c r="AY255" s="373"/>
      <c r="AZ255" s="390"/>
      <c r="BA255" s="390"/>
      <c r="BB255" s="391"/>
      <c r="BC255" s="392"/>
      <c r="BD255" s="393"/>
      <c r="BE255" s="393"/>
      <c r="BF255" s="393"/>
      <c r="BG255" s="394"/>
      <c r="BH255" s="395"/>
      <c r="BI255" s="374"/>
      <c r="BJ255" s="374"/>
      <c r="BK255" s="374"/>
      <c r="BL255" s="389"/>
      <c r="BM255" s="397"/>
      <c r="BN255" s="389"/>
      <c r="BO255" s="419" t="str">
        <f t="shared" si="106"/>
        <v/>
      </c>
      <c r="BP255" s="389"/>
      <c r="BQ255" s="397"/>
      <c r="BR255" s="419"/>
      <c r="BS255" s="419"/>
      <c r="BT255" s="419"/>
      <c r="BU255" s="432"/>
      <c r="BV255" s="419"/>
      <c r="BW255" s="419"/>
      <c r="BX255" s="419"/>
      <c r="BY255" s="389"/>
      <c r="BZ255" s="389"/>
      <c r="CA255" s="389"/>
      <c r="CB255" s="389"/>
      <c r="CC255" s="389"/>
      <c r="CD255" s="389"/>
      <c r="CE255" s="389"/>
      <c r="CF255" s="389"/>
      <c r="CG255" s="389"/>
      <c r="CH255" s="389"/>
      <c r="CI255" s="389"/>
      <c r="CJ255" s="422"/>
      <c r="CK255" s="422"/>
      <c r="CL255" s="422"/>
      <c r="CM255" s="422"/>
      <c r="CN255" s="422"/>
      <c r="CO255" s="422"/>
      <c r="CP255" s="422"/>
      <c r="CQ255" s="432"/>
      <c r="CR255" s="431" t="str">
        <f t="shared" si="118"/>
        <v/>
      </c>
      <c r="CS255" s="35" t="str">
        <f t="shared" si="119"/>
        <v>Direct or WHSE.</v>
      </c>
      <c r="CT255" s="411"/>
      <c r="CW255" s="153" t="str">
        <f t="shared" si="98"/>
        <v/>
      </c>
      <c r="CX255" s="153" t="str">
        <f t="shared" si="98"/>
        <v/>
      </c>
      <c r="CY255" s="153" t="str">
        <f t="shared" si="120"/>
        <v/>
      </c>
    </row>
    <row r="256" spans="1:103" ht="19.5" customHeight="1">
      <c r="A256" s="10">
        <v>234</v>
      </c>
      <c r="B256" s="373"/>
      <c r="C256" s="373"/>
      <c r="D256" s="396"/>
      <c r="E256" s="375"/>
      <c r="F256" s="373"/>
      <c r="G256" s="373"/>
      <c r="H256" s="376"/>
      <c r="I256" s="377"/>
      <c r="J256" s="378"/>
      <c r="K256" s="379"/>
      <c r="L256" s="374"/>
      <c r="M256" s="380" t="str">
        <f t="shared" ca="1" si="99"/>
        <v/>
      </c>
      <c r="N256" s="373"/>
      <c r="O256" s="381"/>
      <c r="P256" s="381"/>
      <c r="Q256" s="382"/>
      <c r="R256" s="381"/>
      <c r="S256" s="383"/>
      <c r="T256" s="384" t="str">
        <f t="shared" si="100"/>
        <v/>
      </c>
      <c r="U256" s="385"/>
      <c r="V256" s="384" t="str">
        <f t="shared" si="101"/>
        <v/>
      </c>
      <c r="W256" s="386"/>
      <c r="X256" s="386" t="str">
        <f t="shared" si="102"/>
        <v/>
      </c>
      <c r="Y256" s="386" t="str">
        <f t="shared" si="107"/>
        <v/>
      </c>
      <c r="Z256" s="386" t="str">
        <f t="shared" si="108"/>
        <v/>
      </c>
      <c r="AA256" s="387"/>
      <c r="AB256" s="386" t="str">
        <f t="shared" si="109"/>
        <v/>
      </c>
      <c r="AC256" s="386" t="str">
        <f t="shared" si="110"/>
        <v/>
      </c>
      <c r="AD256" s="386" t="str">
        <f t="shared" si="111"/>
        <v/>
      </c>
      <c r="AE256" s="386" t="str">
        <f t="shared" si="112"/>
        <v/>
      </c>
      <c r="AF256" s="386" t="str">
        <f t="shared" si="113"/>
        <v/>
      </c>
      <c r="AG256" s="386" t="str">
        <f t="shared" si="114"/>
        <v/>
      </c>
      <c r="AH256" s="386" t="str">
        <f t="shared" si="115"/>
        <v/>
      </c>
      <c r="AI256" s="386" t="str">
        <f t="shared" si="103"/>
        <v/>
      </c>
      <c r="AJ256" s="386" t="str">
        <f t="shared" si="104"/>
        <v/>
      </c>
      <c r="AK256" s="386" t="str">
        <f t="shared" si="105"/>
        <v/>
      </c>
      <c r="AL256" s="388"/>
      <c r="AM256" s="388"/>
      <c r="AN256" s="388"/>
      <c r="AO256" s="388"/>
      <c r="AP256" s="402" t="str">
        <f t="shared" si="116"/>
        <v/>
      </c>
      <c r="AQ256" s="388"/>
      <c r="AR256" s="388"/>
      <c r="AS256" s="388"/>
      <c r="AT256" s="388"/>
      <c r="AU256" s="402" t="str">
        <f t="shared" si="117"/>
        <v/>
      </c>
      <c r="AV256" s="389"/>
      <c r="AW256" s="381"/>
      <c r="AX256" s="381"/>
      <c r="AY256" s="373"/>
      <c r="AZ256" s="390"/>
      <c r="BA256" s="390"/>
      <c r="BB256" s="391"/>
      <c r="BC256" s="392"/>
      <c r="BD256" s="393"/>
      <c r="BE256" s="393"/>
      <c r="BF256" s="393"/>
      <c r="BG256" s="394"/>
      <c r="BH256" s="395"/>
      <c r="BI256" s="374"/>
      <c r="BJ256" s="374"/>
      <c r="BK256" s="374"/>
      <c r="BL256" s="389"/>
      <c r="BM256" s="397"/>
      <c r="BN256" s="389"/>
      <c r="BO256" s="419" t="str">
        <f t="shared" si="106"/>
        <v/>
      </c>
      <c r="BP256" s="389"/>
      <c r="BQ256" s="397"/>
      <c r="BR256" s="419"/>
      <c r="BS256" s="419"/>
      <c r="BT256" s="419"/>
      <c r="BU256" s="432"/>
      <c r="BV256" s="419"/>
      <c r="BW256" s="419"/>
      <c r="BX256" s="419"/>
      <c r="BY256" s="389"/>
      <c r="BZ256" s="389"/>
      <c r="CA256" s="389"/>
      <c r="CB256" s="389"/>
      <c r="CC256" s="389"/>
      <c r="CD256" s="389"/>
      <c r="CE256" s="389"/>
      <c r="CF256" s="389"/>
      <c r="CG256" s="389"/>
      <c r="CH256" s="389"/>
      <c r="CI256" s="389"/>
      <c r="CJ256" s="422"/>
      <c r="CK256" s="422"/>
      <c r="CL256" s="422"/>
      <c r="CM256" s="422"/>
      <c r="CN256" s="422"/>
      <c r="CO256" s="422"/>
      <c r="CP256" s="422"/>
      <c r="CQ256" s="432"/>
      <c r="CR256" s="431" t="str">
        <f t="shared" si="118"/>
        <v/>
      </c>
      <c r="CS256" s="35" t="str">
        <f t="shared" si="119"/>
        <v>Direct or WHSE.</v>
      </c>
      <c r="CT256" s="411"/>
      <c r="CW256" s="153" t="str">
        <f t="shared" si="98"/>
        <v/>
      </c>
      <c r="CX256" s="153" t="str">
        <f t="shared" si="98"/>
        <v/>
      </c>
      <c r="CY256" s="153" t="str">
        <f t="shared" si="120"/>
        <v/>
      </c>
    </row>
    <row r="257" spans="1:103" ht="19.5" customHeight="1">
      <c r="A257" s="10">
        <v>235</v>
      </c>
      <c r="B257" s="373"/>
      <c r="C257" s="373"/>
      <c r="D257" s="396"/>
      <c r="E257" s="375"/>
      <c r="F257" s="373"/>
      <c r="G257" s="373"/>
      <c r="H257" s="376"/>
      <c r="I257" s="377"/>
      <c r="J257" s="378"/>
      <c r="K257" s="379"/>
      <c r="L257" s="374"/>
      <c r="M257" s="380" t="str">
        <f t="shared" ca="1" si="99"/>
        <v/>
      </c>
      <c r="N257" s="373"/>
      <c r="O257" s="381"/>
      <c r="P257" s="381"/>
      <c r="Q257" s="382"/>
      <c r="R257" s="381"/>
      <c r="S257" s="383"/>
      <c r="T257" s="384" t="str">
        <f t="shared" si="100"/>
        <v/>
      </c>
      <c r="U257" s="385"/>
      <c r="V257" s="384" t="str">
        <f t="shared" si="101"/>
        <v/>
      </c>
      <c r="W257" s="386"/>
      <c r="X257" s="386" t="str">
        <f t="shared" si="102"/>
        <v/>
      </c>
      <c r="Y257" s="386" t="str">
        <f t="shared" si="107"/>
        <v/>
      </c>
      <c r="Z257" s="386" t="str">
        <f t="shared" si="108"/>
        <v/>
      </c>
      <c r="AA257" s="387"/>
      <c r="AB257" s="386" t="str">
        <f t="shared" si="109"/>
        <v/>
      </c>
      <c r="AC257" s="386" t="str">
        <f t="shared" si="110"/>
        <v/>
      </c>
      <c r="AD257" s="386" t="str">
        <f t="shared" si="111"/>
        <v/>
      </c>
      <c r="AE257" s="386" t="str">
        <f t="shared" si="112"/>
        <v/>
      </c>
      <c r="AF257" s="386" t="str">
        <f t="shared" si="113"/>
        <v/>
      </c>
      <c r="AG257" s="386" t="str">
        <f t="shared" si="114"/>
        <v/>
      </c>
      <c r="AH257" s="386" t="str">
        <f t="shared" si="115"/>
        <v/>
      </c>
      <c r="AI257" s="386" t="str">
        <f t="shared" si="103"/>
        <v/>
      </c>
      <c r="AJ257" s="386" t="str">
        <f t="shared" si="104"/>
        <v/>
      </c>
      <c r="AK257" s="386" t="str">
        <f t="shared" si="105"/>
        <v/>
      </c>
      <c r="AL257" s="388"/>
      <c r="AM257" s="388"/>
      <c r="AN257" s="388"/>
      <c r="AO257" s="388"/>
      <c r="AP257" s="402" t="str">
        <f t="shared" si="116"/>
        <v/>
      </c>
      <c r="AQ257" s="388"/>
      <c r="AR257" s="388"/>
      <c r="AS257" s="388"/>
      <c r="AT257" s="388"/>
      <c r="AU257" s="402" t="str">
        <f t="shared" si="117"/>
        <v/>
      </c>
      <c r="AV257" s="389"/>
      <c r="AW257" s="381"/>
      <c r="AX257" s="381"/>
      <c r="AY257" s="373"/>
      <c r="AZ257" s="390"/>
      <c r="BA257" s="390"/>
      <c r="BB257" s="391"/>
      <c r="BC257" s="392"/>
      <c r="BD257" s="393"/>
      <c r="BE257" s="393"/>
      <c r="BF257" s="393"/>
      <c r="BG257" s="394"/>
      <c r="BH257" s="395"/>
      <c r="BI257" s="374"/>
      <c r="BJ257" s="374"/>
      <c r="BK257" s="374"/>
      <c r="BL257" s="389"/>
      <c r="BM257" s="397"/>
      <c r="BN257" s="389"/>
      <c r="BO257" s="419" t="str">
        <f t="shared" si="106"/>
        <v/>
      </c>
      <c r="BP257" s="389"/>
      <c r="BQ257" s="397"/>
      <c r="BR257" s="419"/>
      <c r="BS257" s="419"/>
      <c r="BT257" s="419"/>
      <c r="BU257" s="432"/>
      <c r="BV257" s="419"/>
      <c r="BW257" s="419"/>
      <c r="BX257" s="419"/>
      <c r="BY257" s="389"/>
      <c r="BZ257" s="389"/>
      <c r="CA257" s="389"/>
      <c r="CB257" s="389"/>
      <c r="CC257" s="389"/>
      <c r="CD257" s="389"/>
      <c r="CE257" s="389"/>
      <c r="CF257" s="389"/>
      <c r="CG257" s="389"/>
      <c r="CH257" s="389"/>
      <c r="CI257" s="389"/>
      <c r="CJ257" s="422"/>
      <c r="CK257" s="422"/>
      <c r="CL257" s="422"/>
      <c r="CM257" s="422"/>
      <c r="CN257" s="422"/>
      <c r="CO257" s="422"/>
      <c r="CP257" s="422"/>
      <c r="CQ257" s="432"/>
      <c r="CR257" s="431" t="str">
        <f t="shared" si="118"/>
        <v/>
      </c>
      <c r="CS257" s="35" t="str">
        <f t="shared" si="119"/>
        <v>Direct or WHSE.</v>
      </c>
      <c r="CT257" s="411"/>
      <c r="CW257" s="153" t="str">
        <f t="shared" si="98"/>
        <v/>
      </c>
      <c r="CX257" s="153" t="str">
        <f t="shared" si="98"/>
        <v/>
      </c>
      <c r="CY257" s="153" t="str">
        <f t="shared" si="120"/>
        <v/>
      </c>
    </row>
    <row r="258" spans="1:103" ht="19.5" customHeight="1">
      <c r="A258" s="10">
        <v>236</v>
      </c>
      <c r="B258" s="373"/>
      <c r="C258" s="373"/>
      <c r="D258" s="396"/>
      <c r="E258" s="375"/>
      <c r="F258" s="373"/>
      <c r="G258" s="373"/>
      <c r="H258" s="376"/>
      <c r="I258" s="377"/>
      <c r="J258" s="378"/>
      <c r="K258" s="379"/>
      <c r="L258" s="374"/>
      <c r="M258" s="380" t="str">
        <f t="shared" ca="1" si="99"/>
        <v/>
      </c>
      <c r="N258" s="373"/>
      <c r="O258" s="381"/>
      <c r="P258" s="381"/>
      <c r="Q258" s="382"/>
      <c r="R258" s="381"/>
      <c r="S258" s="383"/>
      <c r="T258" s="384" t="str">
        <f t="shared" si="100"/>
        <v/>
      </c>
      <c r="U258" s="385"/>
      <c r="V258" s="384" t="str">
        <f t="shared" si="101"/>
        <v/>
      </c>
      <c r="W258" s="386"/>
      <c r="X258" s="386" t="str">
        <f t="shared" si="102"/>
        <v/>
      </c>
      <c r="Y258" s="386" t="str">
        <f t="shared" si="107"/>
        <v/>
      </c>
      <c r="Z258" s="386" t="str">
        <f t="shared" si="108"/>
        <v/>
      </c>
      <c r="AA258" s="387"/>
      <c r="AB258" s="386" t="str">
        <f t="shared" si="109"/>
        <v/>
      </c>
      <c r="AC258" s="386" t="str">
        <f t="shared" si="110"/>
        <v/>
      </c>
      <c r="AD258" s="386" t="str">
        <f t="shared" si="111"/>
        <v/>
      </c>
      <c r="AE258" s="386" t="str">
        <f t="shared" si="112"/>
        <v/>
      </c>
      <c r="AF258" s="386" t="str">
        <f t="shared" si="113"/>
        <v/>
      </c>
      <c r="AG258" s="386" t="str">
        <f t="shared" si="114"/>
        <v/>
      </c>
      <c r="AH258" s="386" t="str">
        <f t="shared" si="115"/>
        <v/>
      </c>
      <c r="AI258" s="386" t="str">
        <f t="shared" si="103"/>
        <v/>
      </c>
      <c r="AJ258" s="386" t="str">
        <f t="shared" si="104"/>
        <v/>
      </c>
      <c r="AK258" s="386" t="str">
        <f t="shared" si="105"/>
        <v/>
      </c>
      <c r="AL258" s="388"/>
      <c r="AM258" s="388"/>
      <c r="AN258" s="388"/>
      <c r="AO258" s="388"/>
      <c r="AP258" s="402" t="str">
        <f t="shared" si="116"/>
        <v/>
      </c>
      <c r="AQ258" s="388"/>
      <c r="AR258" s="388"/>
      <c r="AS258" s="388"/>
      <c r="AT258" s="388"/>
      <c r="AU258" s="402" t="str">
        <f t="shared" si="117"/>
        <v/>
      </c>
      <c r="AV258" s="389"/>
      <c r="AW258" s="381"/>
      <c r="AX258" s="381"/>
      <c r="AY258" s="373"/>
      <c r="AZ258" s="390"/>
      <c r="BA258" s="390"/>
      <c r="BB258" s="391"/>
      <c r="BC258" s="392"/>
      <c r="BD258" s="393"/>
      <c r="BE258" s="393"/>
      <c r="BF258" s="393"/>
      <c r="BG258" s="394"/>
      <c r="BH258" s="395"/>
      <c r="BI258" s="374"/>
      <c r="BJ258" s="374"/>
      <c r="BK258" s="374"/>
      <c r="BL258" s="389"/>
      <c r="BM258" s="397"/>
      <c r="BN258" s="389"/>
      <c r="BO258" s="419" t="str">
        <f t="shared" si="106"/>
        <v/>
      </c>
      <c r="BP258" s="389"/>
      <c r="BQ258" s="397"/>
      <c r="BR258" s="419"/>
      <c r="BS258" s="419"/>
      <c r="BT258" s="419"/>
      <c r="BU258" s="432"/>
      <c r="BV258" s="419"/>
      <c r="BW258" s="419"/>
      <c r="BX258" s="419"/>
      <c r="BY258" s="389"/>
      <c r="BZ258" s="389"/>
      <c r="CA258" s="389"/>
      <c r="CB258" s="389"/>
      <c r="CC258" s="389"/>
      <c r="CD258" s="389"/>
      <c r="CE258" s="389"/>
      <c r="CF258" s="389"/>
      <c r="CG258" s="389"/>
      <c r="CH258" s="389"/>
      <c r="CI258" s="389"/>
      <c r="CJ258" s="422"/>
      <c r="CK258" s="422"/>
      <c r="CL258" s="422"/>
      <c r="CM258" s="422"/>
      <c r="CN258" s="422"/>
      <c r="CO258" s="422"/>
      <c r="CP258" s="422"/>
      <c r="CQ258" s="432"/>
      <c r="CR258" s="431" t="str">
        <f t="shared" si="118"/>
        <v/>
      </c>
      <c r="CS258" s="35" t="str">
        <f t="shared" si="119"/>
        <v>Direct or WHSE.</v>
      </c>
      <c r="CT258" s="411"/>
      <c r="CW258" s="153" t="str">
        <f t="shared" si="98"/>
        <v/>
      </c>
      <c r="CX258" s="153" t="str">
        <f t="shared" si="98"/>
        <v/>
      </c>
      <c r="CY258" s="153" t="str">
        <f t="shared" si="120"/>
        <v/>
      </c>
    </row>
    <row r="259" spans="1:103" ht="19.5" customHeight="1">
      <c r="A259" s="10">
        <v>237</v>
      </c>
      <c r="B259" s="373"/>
      <c r="C259" s="373"/>
      <c r="D259" s="396"/>
      <c r="E259" s="375"/>
      <c r="F259" s="373"/>
      <c r="G259" s="373"/>
      <c r="H259" s="376"/>
      <c r="I259" s="377"/>
      <c r="J259" s="378"/>
      <c r="K259" s="379"/>
      <c r="L259" s="374"/>
      <c r="M259" s="380" t="str">
        <f t="shared" ca="1" si="99"/>
        <v/>
      </c>
      <c r="N259" s="373"/>
      <c r="O259" s="381"/>
      <c r="P259" s="381"/>
      <c r="Q259" s="382"/>
      <c r="R259" s="381"/>
      <c r="S259" s="383"/>
      <c r="T259" s="384" t="str">
        <f t="shared" si="100"/>
        <v/>
      </c>
      <c r="U259" s="385"/>
      <c r="V259" s="384" t="str">
        <f t="shared" si="101"/>
        <v/>
      </c>
      <c r="W259" s="386"/>
      <c r="X259" s="386" t="str">
        <f t="shared" si="102"/>
        <v/>
      </c>
      <c r="Y259" s="386" t="str">
        <f t="shared" si="107"/>
        <v/>
      </c>
      <c r="Z259" s="386" t="str">
        <f t="shared" si="108"/>
        <v/>
      </c>
      <c r="AA259" s="387"/>
      <c r="AB259" s="386" t="str">
        <f t="shared" si="109"/>
        <v/>
      </c>
      <c r="AC259" s="386" t="str">
        <f t="shared" si="110"/>
        <v/>
      </c>
      <c r="AD259" s="386" t="str">
        <f t="shared" si="111"/>
        <v/>
      </c>
      <c r="AE259" s="386" t="str">
        <f t="shared" si="112"/>
        <v/>
      </c>
      <c r="AF259" s="386" t="str">
        <f t="shared" si="113"/>
        <v/>
      </c>
      <c r="AG259" s="386" t="str">
        <f t="shared" si="114"/>
        <v/>
      </c>
      <c r="AH259" s="386" t="str">
        <f t="shared" si="115"/>
        <v/>
      </c>
      <c r="AI259" s="386" t="str">
        <f t="shared" si="103"/>
        <v/>
      </c>
      <c r="AJ259" s="386" t="str">
        <f t="shared" si="104"/>
        <v/>
      </c>
      <c r="AK259" s="386" t="str">
        <f t="shared" si="105"/>
        <v/>
      </c>
      <c r="AL259" s="388"/>
      <c r="AM259" s="388"/>
      <c r="AN259" s="388"/>
      <c r="AO259" s="388"/>
      <c r="AP259" s="402" t="str">
        <f t="shared" si="116"/>
        <v/>
      </c>
      <c r="AQ259" s="388"/>
      <c r="AR259" s="388"/>
      <c r="AS259" s="388"/>
      <c r="AT259" s="388"/>
      <c r="AU259" s="402" t="str">
        <f t="shared" si="117"/>
        <v/>
      </c>
      <c r="AV259" s="389"/>
      <c r="AW259" s="381"/>
      <c r="AX259" s="381"/>
      <c r="AY259" s="373"/>
      <c r="AZ259" s="390"/>
      <c r="BA259" s="390"/>
      <c r="BB259" s="391"/>
      <c r="BC259" s="392"/>
      <c r="BD259" s="393"/>
      <c r="BE259" s="393"/>
      <c r="BF259" s="393"/>
      <c r="BG259" s="394"/>
      <c r="BH259" s="395"/>
      <c r="BI259" s="374"/>
      <c r="BJ259" s="374"/>
      <c r="BK259" s="374"/>
      <c r="BL259" s="389"/>
      <c r="BM259" s="397"/>
      <c r="BN259" s="389"/>
      <c r="BO259" s="419" t="str">
        <f t="shared" si="106"/>
        <v/>
      </c>
      <c r="BP259" s="389"/>
      <c r="BQ259" s="397"/>
      <c r="BR259" s="419"/>
      <c r="BS259" s="419"/>
      <c r="BT259" s="419"/>
      <c r="BU259" s="432"/>
      <c r="BV259" s="419"/>
      <c r="BW259" s="419"/>
      <c r="BX259" s="419"/>
      <c r="BY259" s="389"/>
      <c r="BZ259" s="389"/>
      <c r="CA259" s="389"/>
      <c r="CB259" s="389"/>
      <c r="CC259" s="389"/>
      <c r="CD259" s="389"/>
      <c r="CE259" s="389"/>
      <c r="CF259" s="389"/>
      <c r="CG259" s="389"/>
      <c r="CH259" s="389"/>
      <c r="CI259" s="389"/>
      <c r="CJ259" s="422"/>
      <c r="CK259" s="422"/>
      <c r="CL259" s="422"/>
      <c r="CM259" s="422"/>
      <c r="CN259" s="422"/>
      <c r="CO259" s="422"/>
      <c r="CP259" s="422"/>
      <c r="CQ259" s="432"/>
      <c r="CR259" s="431" t="str">
        <f t="shared" si="118"/>
        <v/>
      </c>
      <c r="CS259" s="35" t="str">
        <f t="shared" si="119"/>
        <v>Direct or WHSE.</v>
      </c>
      <c r="CT259" s="411"/>
      <c r="CW259" s="153" t="str">
        <f t="shared" si="98"/>
        <v/>
      </c>
      <c r="CX259" s="153" t="str">
        <f t="shared" si="98"/>
        <v/>
      </c>
      <c r="CY259" s="153" t="str">
        <f t="shared" si="120"/>
        <v/>
      </c>
    </row>
    <row r="260" spans="1:103" ht="19.5" customHeight="1">
      <c r="A260" s="10">
        <v>238</v>
      </c>
      <c r="B260" s="373"/>
      <c r="C260" s="373"/>
      <c r="D260" s="396"/>
      <c r="E260" s="375"/>
      <c r="F260" s="373"/>
      <c r="G260" s="373"/>
      <c r="H260" s="376"/>
      <c r="I260" s="377"/>
      <c r="J260" s="378"/>
      <c r="K260" s="379"/>
      <c r="L260" s="374"/>
      <c r="M260" s="380" t="str">
        <f t="shared" ca="1" si="99"/>
        <v/>
      </c>
      <c r="N260" s="373"/>
      <c r="O260" s="381"/>
      <c r="P260" s="381"/>
      <c r="Q260" s="382"/>
      <c r="R260" s="381"/>
      <c r="S260" s="383"/>
      <c r="T260" s="384" t="str">
        <f t="shared" si="100"/>
        <v/>
      </c>
      <c r="U260" s="385"/>
      <c r="V260" s="384" t="str">
        <f t="shared" si="101"/>
        <v/>
      </c>
      <c r="W260" s="386"/>
      <c r="X260" s="386" t="str">
        <f t="shared" si="102"/>
        <v/>
      </c>
      <c r="Y260" s="386" t="str">
        <f t="shared" si="107"/>
        <v/>
      </c>
      <c r="Z260" s="386" t="str">
        <f t="shared" si="108"/>
        <v/>
      </c>
      <c r="AA260" s="387"/>
      <c r="AB260" s="386" t="str">
        <f t="shared" si="109"/>
        <v/>
      </c>
      <c r="AC260" s="386" t="str">
        <f t="shared" si="110"/>
        <v/>
      </c>
      <c r="AD260" s="386" t="str">
        <f t="shared" si="111"/>
        <v/>
      </c>
      <c r="AE260" s="386" t="str">
        <f t="shared" si="112"/>
        <v/>
      </c>
      <c r="AF260" s="386" t="str">
        <f t="shared" si="113"/>
        <v/>
      </c>
      <c r="AG260" s="386" t="str">
        <f t="shared" si="114"/>
        <v/>
      </c>
      <c r="AH260" s="386" t="str">
        <f t="shared" si="115"/>
        <v/>
      </c>
      <c r="AI260" s="386" t="str">
        <f t="shared" si="103"/>
        <v/>
      </c>
      <c r="AJ260" s="386" t="str">
        <f t="shared" si="104"/>
        <v/>
      </c>
      <c r="AK260" s="386" t="str">
        <f t="shared" si="105"/>
        <v/>
      </c>
      <c r="AL260" s="388"/>
      <c r="AM260" s="388"/>
      <c r="AN260" s="388"/>
      <c r="AO260" s="388"/>
      <c r="AP260" s="402" t="str">
        <f t="shared" si="116"/>
        <v/>
      </c>
      <c r="AQ260" s="388"/>
      <c r="AR260" s="388"/>
      <c r="AS260" s="388"/>
      <c r="AT260" s="388"/>
      <c r="AU260" s="402" t="str">
        <f t="shared" si="117"/>
        <v/>
      </c>
      <c r="AV260" s="389"/>
      <c r="AW260" s="381"/>
      <c r="AX260" s="381"/>
      <c r="AY260" s="373"/>
      <c r="AZ260" s="390"/>
      <c r="BA260" s="390"/>
      <c r="BB260" s="391"/>
      <c r="BC260" s="392"/>
      <c r="BD260" s="393"/>
      <c r="BE260" s="393"/>
      <c r="BF260" s="393"/>
      <c r="BG260" s="394"/>
      <c r="BH260" s="395"/>
      <c r="BI260" s="374"/>
      <c r="BJ260" s="374"/>
      <c r="BK260" s="374"/>
      <c r="BL260" s="389"/>
      <c r="BM260" s="397"/>
      <c r="BN260" s="389"/>
      <c r="BO260" s="419" t="str">
        <f t="shared" si="106"/>
        <v/>
      </c>
      <c r="BP260" s="389"/>
      <c r="BQ260" s="397"/>
      <c r="BR260" s="419"/>
      <c r="BS260" s="419"/>
      <c r="BT260" s="419"/>
      <c r="BU260" s="432"/>
      <c r="BV260" s="419"/>
      <c r="BW260" s="419"/>
      <c r="BX260" s="419"/>
      <c r="BY260" s="389"/>
      <c r="BZ260" s="389"/>
      <c r="CA260" s="389"/>
      <c r="CB260" s="389"/>
      <c r="CC260" s="389"/>
      <c r="CD260" s="389"/>
      <c r="CE260" s="389"/>
      <c r="CF260" s="389"/>
      <c r="CG260" s="389"/>
      <c r="CH260" s="389"/>
      <c r="CI260" s="389"/>
      <c r="CJ260" s="422"/>
      <c r="CK260" s="422"/>
      <c r="CL260" s="422"/>
      <c r="CM260" s="422"/>
      <c r="CN260" s="422"/>
      <c r="CO260" s="422"/>
      <c r="CP260" s="422"/>
      <c r="CQ260" s="432"/>
      <c r="CR260" s="431" t="str">
        <f t="shared" si="118"/>
        <v/>
      </c>
      <c r="CS260" s="35" t="str">
        <f t="shared" si="119"/>
        <v>Direct or WHSE.</v>
      </c>
      <c r="CT260" s="411"/>
      <c r="CW260" s="153" t="str">
        <f t="shared" si="98"/>
        <v/>
      </c>
      <c r="CX260" s="153" t="str">
        <f t="shared" si="98"/>
        <v/>
      </c>
      <c r="CY260" s="153" t="str">
        <f t="shared" si="120"/>
        <v/>
      </c>
    </row>
    <row r="261" spans="1:103" ht="19.5" customHeight="1">
      <c r="A261" s="10">
        <v>239</v>
      </c>
      <c r="B261" s="373"/>
      <c r="C261" s="373"/>
      <c r="D261" s="396"/>
      <c r="E261" s="375"/>
      <c r="F261" s="373"/>
      <c r="G261" s="373"/>
      <c r="H261" s="376"/>
      <c r="I261" s="377"/>
      <c r="J261" s="378"/>
      <c r="K261" s="379"/>
      <c r="L261" s="374"/>
      <c r="M261" s="380" t="str">
        <f t="shared" ca="1" si="99"/>
        <v/>
      </c>
      <c r="N261" s="373"/>
      <c r="O261" s="381"/>
      <c r="P261" s="381"/>
      <c r="Q261" s="382"/>
      <c r="R261" s="381"/>
      <c r="S261" s="383"/>
      <c r="T261" s="384" t="str">
        <f t="shared" si="100"/>
        <v/>
      </c>
      <c r="U261" s="385"/>
      <c r="V261" s="384" t="str">
        <f t="shared" si="101"/>
        <v/>
      </c>
      <c r="W261" s="386"/>
      <c r="X261" s="386" t="str">
        <f t="shared" si="102"/>
        <v/>
      </c>
      <c r="Y261" s="386" t="str">
        <f t="shared" si="107"/>
        <v/>
      </c>
      <c r="Z261" s="386" t="str">
        <f t="shared" si="108"/>
        <v/>
      </c>
      <c r="AA261" s="387"/>
      <c r="AB261" s="386" t="str">
        <f t="shared" si="109"/>
        <v/>
      </c>
      <c r="AC261" s="386" t="str">
        <f t="shared" si="110"/>
        <v/>
      </c>
      <c r="AD261" s="386" t="str">
        <f t="shared" si="111"/>
        <v/>
      </c>
      <c r="AE261" s="386" t="str">
        <f t="shared" si="112"/>
        <v/>
      </c>
      <c r="AF261" s="386" t="str">
        <f t="shared" si="113"/>
        <v/>
      </c>
      <c r="AG261" s="386" t="str">
        <f t="shared" si="114"/>
        <v/>
      </c>
      <c r="AH261" s="386" t="str">
        <f t="shared" si="115"/>
        <v/>
      </c>
      <c r="AI261" s="386" t="str">
        <f t="shared" si="103"/>
        <v/>
      </c>
      <c r="AJ261" s="386" t="str">
        <f t="shared" si="104"/>
        <v/>
      </c>
      <c r="AK261" s="386" t="str">
        <f t="shared" si="105"/>
        <v/>
      </c>
      <c r="AL261" s="388"/>
      <c r="AM261" s="388"/>
      <c r="AN261" s="388"/>
      <c r="AO261" s="388"/>
      <c r="AP261" s="402" t="str">
        <f t="shared" si="116"/>
        <v/>
      </c>
      <c r="AQ261" s="388"/>
      <c r="AR261" s="388"/>
      <c r="AS261" s="388"/>
      <c r="AT261" s="388"/>
      <c r="AU261" s="402" t="str">
        <f t="shared" si="117"/>
        <v/>
      </c>
      <c r="AV261" s="389"/>
      <c r="AW261" s="381"/>
      <c r="AX261" s="381"/>
      <c r="AY261" s="373"/>
      <c r="AZ261" s="390"/>
      <c r="BA261" s="390"/>
      <c r="BB261" s="391"/>
      <c r="BC261" s="392"/>
      <c r="BD261" s="393"/>
      <c r="BE261" s="393"/>
      <c r="BF261" s="393"/>
      <c r="BG261" s="394"/>
      <c r="BH261" s="395"/>
      <c r="BI261" s="374"/>
      <c r="BJ261" s="374"/>
      <c r="BK261" s="374"/>
      <c r="BL261" s="389"/>
      <c r="BM261" s="397"/>
      <c r="BN261" s="389"/>
      <c r="BO261" s="419" t="str">
        <f t="shared" si="106"/>
        <v/>
      </c>
      <c r="BP261" s="389"/>
      <c r="BQ261" s="397"/>
      <c r="BR261" s="419"/>
      <c r="BS261" s="419"/>
      <c r="BT261" s="419"/>
      <c r="BU261" s="432"/>
      <c r="BV261" s="419"/>
      <c r="BW261" s="419"/>
      <c r="BX261" s="419"/>
      <c r="BY261" s="389"/>
      <c r="BZ261" s="389"/>
      <c r="CA261" s="389"/>
      <c r="CB261" s="389"/>
      <c r="CC261" s="389"/>
      <c r="CD261" s="389"/>
      <c r="CE261" s="389"/>
      <c r="CF261" s="389"/>
      <c r="CG261" s="389"/>
      <c r="CH261" s="389"/>
      <c r="CI261" s="389"/>
      <c r="CJ261" s="422"/>
      <c r="CK261" s="422"/>
      <c r="CL261" s="422"/>
      <c r="CM261" s="422"/>
      <c r="CN261" s="422"/>
      <c r="CO261" s="422"/>
      <c r="CP261" s="422"/>
      <c r="CQ261" s="432"/>
      <c r="CR261" s="431" t="str">
        <f t="shared" si="118"/>
        <v/>
      </c>
      <c r="CS261" s="35" t="str">
        <f t="shared" si="119"/>
        <v>Direct or WHSE.</v>
      </c>
      <c r="CT261" s="411"/>
      <c r="CW261" s="153" t="str">
        <f t="shared" si="98"/>
        <v/>
      </c>
      <c r="CX261" s="153" t="str">
        <f t="shared" si="98"/>
        <v/>
      </c>
      <c r="CY261" s="153" t="str">
        <f t="shared" si="120"/>
        <v/>
      </c>
    </row>
    <row r="262" spans="1:103" ht="19.5" customHeight="1">
      <c r="A262" s="10">
        <v>240</v>
      </c>
      <c r="B262" s="373"/>
      <c r="C262" s="373"/>
      <c r="D262" s="396"/>
      <c r="E262" s="375"/>
      <c r="F262" s="373"/>
      <c r="G262" s="373"/>
      <c r="H262" s="376"/>
      <c r="I262" s="377"/>
      <c r="J262" s="378"/>
      <c r="K262" s="379"/>
      <c r="L262" s="374"/>
      <c r="M262" s="380" t="str">
        <f t="shared" ca="1" si="99"/>
        <v/>
      </c>
      <c r="N262" s="373"/>
      <c r="O262" s="381"/>
      <c r="P262" s="381"/>
      <c r="Q262" s="382"/>
      <c r="R262" s="381"/>
      <c r="S262" s="383"/>
      <c r="T262" s="384" t="str">
        <f t="shared" si="100"/>
        <v/>
      </c>
      <c r="U262" s="385"/>
      <c r="V262" s="384" t="str">
        <f t="shared" si="101"/>
        <v/>
      </c>
      <c r="W262" s="386"/>
      <c r="X262" s="386" t="str">
        <f t="shared" si="102"/>
        <v/>
      </c>
      <c r="Y262" s="386" t="str">
        <f t="shared" si="107"/>
        <v/>
      </c>
      <c r="Z262" s="386" t="str">
        <f t="shared" si="108"/>
        <v/>
      </c>
      <c r="AA262" s="387"/>
      <c r="AB262" s="386" t="str">
        <f t="shared" si="109"/>
        <v/>
      </c>
      <c r="AC262" s="386" t="str">
        <f t="shared" si="110"/>
        <v/>
      </c>
      <c r="AD262" s="386" t="str">
        <f t="shared" si="111"/>
        <v/>
      </c>
      <c r="AE262" s="386" t="str">
        <f t="shared" si="112"/>
        <v/>
      </c>
      <c r="AF262" s="386" t="str">
        <f t="shared" si="113"/>
        <v/>
      </c>
      <c r="AG262" s="386" t="str">
        <f t="shared" si="114"/>
        <v/>
      </c>
      <c r="AH262" s="386" t="str">
        <f t="shared" si="115"/>
        <v/>
      </c>
      <c r="AI262" s="386" t="str">
        <f t="shared" si="103"/>
        <v/>
      </c>
      <c r="AJ262" s="386" t="str">
        <f t="shared" si="104"/>
        <v/>
      </c>
      <c r="AK262" s="386" t="str">
        <f t="shared" si="105"/>
        <v/>
      </c>
      <c r="AL262" s="388"/>
      <c r="AM262" s="388"/>
      <c r="AN262" s="388"/>
      <c r="AO262" s="388"/>
      <c r="AP262" s="402" t="str">
        <f t="shared" si="116"/>
        <v/>
      </c>
      <c r="AQ262" s="388"/>
      <c r="AR262" s="388"/>
      <c r="AS262" s="388"/>
      <c r="AT262" s="388"/>
      <c r="AU262" s="402" t="str">
        <f t="shared" si="117"/>
        <v/>
      </c>
      <c r="AV262" s="389"/>
      <c r="AW262" s="381"/>
      <c r="AX262" s="381"/>
      <c r="AY262" s="373"/>
      <c r="AZ262" s="390"/>
      <c r="BA262" s="390"/>
      <c r="BB262" s="391"/>
      <c r="BC262" s="392"/>
      <c r="BD262" s="393"/>
      <c r="BE262" s="393"/>
      <c r="BF262" s="393"/>
      <c r="BG262" s="394"/>
      <c r="BH262" s="395"/>
      <c r="BI262" s="374"/>
      <c r="BJ262" s="374"/>
      <c r="BK262" s="374"/>
      <c r="BL262" s="389"/>
      <c r="BM262" s="397"/>
      <c r="BN262" s="389"/>
      <c r="BO262" s="419" t="str">
        <f t="shared" si="106"/>
        <v/>
      </c>
      <c r="BP262" s="389"/>
      <c r="BQ262" s="397"/>
      <c r="BR262" s="419"/>
      <c r="BS262" s="419"/>
      <c r="BT262" s="419"/>
      <c r="BU262" s="432"/>
      <c r="BV262" s="419"/>
      <c r="BW262" s="419"/>
      <c r="BX262" s="419"/>
      <c r="BY262" s="389"/>
      <c r="BZ262" s="389"/>
      <c r="CA262" s="389"/>
      <c r="CB262" s="389"/>
      <c r="CC262" s="389"/>
      <c r="CD262" s="389"/>
      <c r="CE262" s="389"/>
      <c r="CF262" s="389"/>
      <c r="CG262" s="389"/>
      <c r="CH262" s="389"/>
      <c r="CI262" s="389"/>
      <c r="CJ262" s="422"/>
      <c r="CK262" s="422"/>
      <c r="CL262" s="422"/>
      <c r="CM262" s="422"/>
      <c r="CN262" s="422"/>
      <c r="CO262" s="422"/>
      <c r="CP262" s="422"/>
      <c r="CQ262" s="432"/>
      <c r="CR262" s="431" t="str">
        <f t="shared" si="118"/>
        <v/>
      </c>
      <c r="CS262" s="35" t="str">
        <f t="shared" si="119"/>
        <v>Direct or WHSE.</v>
      </c>
      <c r="CT262" s="411"/>
      <c r="CW262" s="153" t="str">
        <f t="shared" si="98"/>
        <v/>
      </c>
      <c r="CX262" s="153" t="str">
        <f t="shared" si="98"/>
        <v/>
      </c>
      <c r="CY262" s="153" t="str">
        <f t="shared" si="120"/>
        <v/>
      </c>
    </row>
    <row r="263" spans="1:103" ht="19.5" customHeight="1">
      <c r="A263" s="10">
        <v>241</v>
      </c>
      <c r="B263" s="373"/>
      <c r="C263" s="373"/>
      <c r="D263" s="396"/>
      <c r="E263" s="375"/>
      <c r="F263" s="373"/>
      <c r="G263" s="373"/>
      <c r="H263" s="376"/>
      <c r="I263" s="377"/>
      <c r="J263" s="378"/>
      <c r="K263" s="379"/>
      <c r="L263" s="374"/>
      <c r="M263" s="380" t="str">
        <f t="shared" ca="1" si="99"/>
        <v/>
      </c>
      <c r="N263" s="373"/>
      <c r="O263" s="381"/>
      <c r="P263" s="381"/>
      <c r="Q263" s="382"/>
      <c r="R263" s="381"/>
      <c r="S263" s="383"/>
      <c r="T263" s="384" t="str">
        <f t="shared" si="100"/>
        <v/>
      </c>
      <c r="U263" s="385"/>
      <c r="V263" s="384" t="str">
        <f t="shared" si="101"/>
        <v/>
      </c>
      <c r="W263" s="386"/>
      <c r="X263" s="386" t="str">
        <f t="shared" si="102"/>
        <v/>
      </c>
      <c r="Y263" s="386" t="str">
        <f t="shared" si="107"/>
        <v/>
      </c>
      <c r="Z263" s="386" t="str">
        <f t="shared" si="108"/>
        <v/>
      </c>
      <c r="AA263" s="387"/>
      <c r="AB263" s="386" t="str">
        <f t="shared" si="109"/>
        <v/>
      </c>
      <c r="AC263" s="386" t="str">
        <f t="shared" si="110"/>
        <v/>
      </c>
      <c r="AD263" s="386" t="str">
        <f t="shared" si="111"/>
        <v/>
      </c>
      <c r="AE263" s="386" t="str">
        <f t="shared" si="112"/>
        <v/>
      </c>
      <c r="AF263" s="386" t="str">
        <f t="shared" si="113"/>
        <v/>
      </c>
      <c r="AG263" s="386" t="str">
        <f t="shared" si="114"/>
        <v/>
      </c>
      <c r="AH263" s="386" t="str">
        <f t="shared" si="115"/>
        <v/>
      </c>
      <c r="AI263" s="386" t="str">
        <f t="shared" si="103"/>
        <v/>
      </c>
      <c r="AJ263" s="386" t="str">
        <f t="shared" si="104"/>
        <v/>
      </c>
      <c r="AK263" s="386" t="str">
        <f t="shared" si="105"/>
        <v/>
      </c>
      <c r="AL263" s="388"/>
      <c r="AM263" s="388"/>
      <c r="AN263" s="388"/>
      <c r="AO263" s="388"/>
      <c r="AP263" s="402" t="str">
        <f t="shared" si="116"/>
        <v/>
      </c>
      <c r="AQ263" s="388"/>
      <c r="AR263" s="388"/>
      <c r="AS263" s="388"/>
      <c r="AT263" s="388"/>
      <c r="AU263" s="402" t="str">
        <f t="shared" si="117"/>
        <v/>
      </c>
      <c r="AV263" s="389"/>
      <c r="AW263" s="381"/>
      <c r="AX263" s="381"/>
      <c r="AY263" s="373"/>
      <c r="AZ263" s="390"/>
      <c r="BA263" s="390"/>
      <c r="BB263" s="391"/>
      <c r="BC263" s="392"/>
      <c r="BD263" s="393"/>
      <c r="BE263" s="393"/>
      <c r="BF263" s="393"/>
      <c r="BG263" s="394"/>
      <c r="BH263" s="395"/>
      <c r="BI263" s="374"/>
      <c r="BJ263" s="374"/>
      <c r="BK263" s="374"/>
      <c r="BL263" s="389"/>
      <c r="BM263" s="397"/>
      <c r="BN263" s="389"/>
      <c r="BO263" s="419" t="str">
        <f t="shared" si="106"/>
        <v/>
      </c>
      <c r="BP263" s="389"/>
      <c r="BQ263" s="397"/>
      <c r="BR263" s="419"/>
      <c r="BS263" s="419"/>
      <c r="BT263" s="419"/>
      <c r="BU263" s="432"/>
      <c r="BV263" s="419"/>
      <c r="BW263" s="419"/>
      <c r="BX263" s="419"/>
      <c r="BY263" s="389"/>
      <c r="BZ263" s="389"/>
      <c r="CA263" s="389"/>
      <c r="CB263" s="389"/>
      <c r="CC263" s="389"/>
      <c r="CD263" s="389"/>
      <c r="CE263" s="389"/>
      <c r="CF263" s="389"/>
      <c r="CG263" s="389"/>
      <c r="CH263" s="389"/>
      <c r="CI263" s="389"/>
      <c r="CJ263" s="422"/>
      <c r="CK263" s="422"/>
      <c r="CL263" s="422"/>
      <c r="CM263" s="422"/>
      <c r="CN263" s="422"/>
      <c r="CO263" s="422"/>
      <c r="CP263" s="422"/>
      <c r="CQ263" s="432"/>
      <c r="CR263" s="431" t="str">
        <f t="shared" si="118"/>
        <v/>
      </c>
      <c r="CS263" s="35" t="str">
        <f t="shared" si="119"/>
        <v>Direct or WHSE.</v>
      </c>
      <c r="CT263" s="411"/>
      <c r="CW263" s="153" t="str">
        <f t="shared" si="98"/>
        <v/>
      </c>
      <c r="CX263" s="153" t="str">
        <f t="shared" si="98"/>
        <v/>
      </c>
      <c r="CY263" s="153" t="str">
        <f t="shared" si="120"/>
        <v/>
      </c>
    </row>
    <row r="264" spans="1:103" ht="19.5" customHeight="1">
      <c r="A264" s="10">
        <v>242</v>
      </c>
      <c r="B264" s="373"/>
      <c r="C264" s="373"/>
      <c r="D264" s="396"/>
      <c r="E264" s="375"/>
      <c r="F264" s="373"/>
      <c r="G264" s="373"/>
      <c r="H264" s="376"/>
      <c r="I264" s="377"/>
      <c r="J264" s="378"/>
      <c r="K264" s="379"/>
      <c r="L264" s="374"/>
      <c r="M264" s="380" t="str">
        <f t="shared" ca="1" si="99"/>
        <v/>
      </c>
      <c r="N264" s="373"/>
      <c r="O264" s="381"/>
      <c r="P264" s="381"/>
      <c r="Q264" s="382"/>
      <c r="R264" s="381"/>
      <c r="S264" s="383"/>
      <c r="T264" s="384" t="str">
        <f t="shared" si="100"/>
        <v/>
      </c>
      <c r="U264" s="385"/>
      <c r="V264" s="384" t="str">
        <f t="shared" si="101"/>
        <v/>
      </c>
      <c r="W264" s="386"/>
      <c r="X264" s="386" t="str">
        <f t="shared" si="102"/>
        <v/>
      </c>
      <c r="Y264" s="386" t="str">
        <f t="shared" si="107"/>
        <v/>
      </c>
      <c r="Z264" s="386" t="str">
        <f t="shared" si="108"/>
        <v/>
      </c>
      <c r="AA264" s="387"/>
      <c r="AB264" s="386" t="str">
        <f t="shared" si="109"/>
        <v/>
      </c>
      <c r="AC264" s="386" t="str">
        <f t="shared" si="110"/>
        <v/>
      </c>
      <c r="AD264" s="386" t="str">
        <f t="shared" si="111"/>
        <v/>
      </c>
      <c r="AE264" s="386" t="str">
        <f t="shared" si="112"/>
        <v/>
      </c>
      <c r="AF264" s="386" t="str">
        <f t="shared" si="113"/>
        <v/>
      </c>
      <c r="AG264" s="386" t="str">
        <f t="shared" si="114"/>
        <v/>
      </c>
      <c r="AH264" s="386" t="str">
        <f t="shared" si="115"/>
        <v/>
      </c>
      <c r="AI264" s="386" t="str">
        <f t="shared" si="103"/>
        <v/>
      </c>
      <c r="AJ264" s="386" t="str">
        <f t="shared" si="104"/>
        <v/>
      </c>
      <c r="AK264" s="386" t="str">
        <f t="shared" si="105"/>
        <v/>
      </c>
      <c r="AL264" s="388"/>
      <c r="AM264" s="388"/>
      <c r="AN264" s="388"/>
      <c r="AO264" s="388"/>
      <c r="AP264" s="402" t="str">
        <f t="shared" si="116"/>
        <v/>
      </c>
      <c r="AQ264" s="388"/>
      <c r="AR264" s="388"/>
      <c r="AS264" s="388"/>
      <c r="AT264" s="388"/>
      <c r="AU264" s="402" t="str">
        <f t="shared" si="117"/>
        <v/>
      </c>
      <c r="AV264" s="389"/>
      <c r="AW264" s="381"/>
      <c r="AX264" s="381"/>
      <c r="AY264" s="373"/>
      <c r="AZ264" s="390"/>
      <c r="BA264" s="390"/>
      <c r="BB264" s="391"/>
      <c r="BC264" s="392"/>
      <c r="BD264" s="393"/>
      <c r="BE264" s="393"/>
      <c r="BF264" s="393"/>
      <c r="BG264" s="394"/>
      <c r="BH264" s="395"/>
      <c r="BI264" s="374"/>
      <c r="BJ264" s="374"/>
      <c r="BK264" s="374"/>
      <c r="BL264" s="389"/>
      <c r="BM264" s="397"/>
      <c r="BN264" s="389"/>
      <c r="BO264" s="419" t="str">
        <f t="shared" si="106"/>
        <v/>
      </c>
      <c r="BP264" s="389"/>
      <c r="BQ264" s="397"/>
      <c r="BR264" s="419"/>
      <c r="BS264" s="419"/>
      <c r="BT264" s="419"/>
      <c r="BU264" s="432"/>
      <c r="BV264" s="419"/>
      <c r="BW264" s="419"/>
      <c r="BX264" s="419"/>
      <c r="BY264" s="389"/>
      <c r="BZ264" s="389"/>
      <c r="CA264" s="389"/>
      <c r="CB264" s="389"/>
      <c r="CC264" s="389"/>
      <c r="CD264" s="389"/>
      <c r="CE264" s="389"/>
      <c r="CF264" s="389"/>
      <c r="CG264" s="389"/>
      <c r="CH264" s="389"/>
      <c r="CI264" s="389"/>
      <c r="CJ264" s="422"/>
      <c r="CK264" s="422"/>
      <c r="CL264" s="422"/>
      <c r="CM264" s="422"/>
      <c r="CN264" s="422"/>
      <c r="CO264" s="422"/>
      <c r="CP264" s="422"/>
      <c r="CQ264" s="432"/>
      <c r="CR264" s="431" t="str">
        <f t="shared" si="118"/>
        <v/>
      </c>
      <c r="CS264" s="35" t="str">
        <f t="shared" si="119"/>
        <v>Direct or WHSE.</v>
      </c>
      <c r="CT264" s="411"/>
      <c r="CW264" s="153" t="str">
        <f t="shared" si="98"/>
        <v/>
      </c>
      <c r="CX264" s="153" t="str">
        <f t="shared" si="98"/>
        <v/>
      </c>
      <c r="CY264" s="153" t="str">
        <f t="shared" si="120"/>
        <v/>
      </c>
    </row>
    <row r="265" spans="1:103" ht="19.5" customHeight="1">
      <c r="A265" s="10">
        <v>243</v>
      </c>
      <c r="B265" s="373"/>
      <c r="C265" s="373"/>
      <c r="D265" s="396"/>
      <c r="E265" s="375"/>
      <c r="F265" s="373"/>
      <c r="G265" s="373"/>
      <c r="H265" s="376"/>
      <c r="I265" s="377"/>
      <c r="J265" s="378"/>
      <c r="K265" s="379"/>
      <c r="L265" s="374"/>
      <c r="M265" s="380" t="str">
        <f t="shared" ca="1" si="99"/>
        <v/>
      </c>
      <c r="N265" s="373"/>
      <c r="O265" s="381"/>
      <c r="P265" s="381"/>
      <c r="Q265" s="382"/>
      <c r="R265" s="381"/>
      <c r="S265" s="383"/>
      <c r="T265" s="384" t="str">
        <f t="shared" si="100"/>
        <v/>
      </c>
      <c r="U265" s="385"/>
      <c r="V265" s="384" t="str">
        <f t="shared" si="101"/>
        <v/>
      </c>
      <c r="W265" s="386"/>
      <c r="X265" s="386" t="str">
        <f t="shared" si="102"/>
        <v/>
      </c>
      <c r="Y265" s="386" t="str">
        <f t="shared" si="107"/>
        <v/>
      </c>
      <c r="Z265" s="386" t="str">
        <f t="shared" si="108"/>
        <v/>
      </c>
      <c r="AA265" s="387"/>
      <c r="AB265" s="386" t="str">
        <f t="shared" si="109"/>
        <v/>
      </c>
      <c r="AC265" s="386" t="str">
        <f t="shared" si="110"/>
        <v/>
      </c>
      <c r="AD265" s="386" t="str">
        <f t="shared" si="111"/>
        <v/>
      </c>
      <c r="AE265" s="386" t="str">
        <f t="shared" si="112"/>
        <v/>
      </c>
      <c r="AF265" s="386" t="str">
        <f t="shared" si="113"/>
        <v/>
      </c>
      <c r="AG265" s="386" t="str">
        <f t="shared" si="114"/>
        <v/>
      </c>
      <c r="AH265" s="386" t="str">
        <f t="shared" si="115"/>
        <v/>
      </c>
      <c r="AI265" s="386" t="str">
        <f t="shared" si="103"/>
        <v/>
      </c>
      <c r="AJ265" s="386" t="str">
        <f t="shared" si="104"/>
        <v/>
      </c>
      <c r="AK265" s="386" t="str">
        <f t="shared" si="105"/>
        <v/>
      </c>
      <c r="AL265" s="388"/>
      <c r="AM265" s="388"/>
      <c r="AN265" s="388"/>
      <c r="AO265" s="388"/>
      <c r="AP265" s="402" t="str">
        <f t="shared" si="116"/>
        <v/>
      </c>
      <c r="AQ265" s="388"/>
      <c r="AR265" s="388"/>
      <c r="AS265" s="388"/>
      <c r="AT265" s="388"/>
      <c r="AU265" s="402" t="str">
        <f t="shared" si="117"/>
        <v/>
      </c>
      <c r="AV265" s="389"/>
      <c r="AW265" s="381"/>
      <c r="AX265" s="381"/>
      <c r="AY265" s="373"/>
      <c r="AZ265" s="390"/>
      <c r="BA265" s="390"/>
      <c r="BB265" s="391"/>
      <c r="BC265" s="392"/>
      <c r="BD265" s="393"/>
      <c r="BE265" s="393"/>
      <c r="BF265" s="393"/>
      <c r="BG265" s="394"/>
      <c r="BH265" s="395"/>
      <c r="BI265" s="374"/>
      <c r="BJ265" s="374"/>
      <c r="BK265" s="374"/>
      <c r="BL265" s="389"/>
      <c r="BM265" s="397"/>
      <c r="BN265" s="389"/>
      <c r="BO265" s="419" t="str">
        <f t="shared" si="106"/>
        <v/>
      </c>
      <c r="BP265" s="389"/>
      <c r="BQ265" s="397"/>
      <c r="BR265" s="419"/>
      <c r="BS265" s="419"/>
      <c r="BT265" s="419"/>
      <c r="BU265" s="432"/>
      <c r="BV265" s="419"/>
      <c r="BW265" s="419"/>
      <c r="BX265" s="419"/>
      <c r="BY265" s="389"/>
      <c r="BZ265" s="389"/>
      <c r="CA265" s="389"/>
      <c r="CB265" s="389"/>
      <c r="CC265" s="389"/>
      <c r="CD265" s="389"/>
      <c r="CE265" s="389"/>
      <c r="CF265" s="389"/>
      <c r="CG265" s="389"/>
      <c r="CH265" s="389"/>
      <c r="CI265" s="389"/>
      <c r="CJ265" s="422"/>
      <c r="CK265" s="422"/>
      <c r="CL265" s="422"/>
      <c r="CM265" s="422"/>
      <c r="CN265" s="422"/>
      <c r="CO265" s="422"/>
      <c r="CP265" s="422"/>
      <c r="CQ265" s="432"/>
      <c r="CR265" s="431" t="str">
        <f t="shared" si="118"/>
        <v/>
      </c>
      <c r="CS265" s="35" t="str">
        <f t="shared" si="119"/>
        <v>Direct or WHSE.</v>
      </c>
      <c r="CT265" s="411"/>
      <c r="CW265" s="153" t="str">
        <f t="shared" si="98"/>
        <v/>
      </c>
      <c r="CX265" s="153" t="str">
        <f t="shared" si="98"/>
        <v/>
      </c>
      <c r="CY265" s="153" t="str">
        <f t="shared" si="120"/>
        <v/>
      </c>
    </row>
    <row r="266" spans="1:103" ht="19.5" customHeight="1">
      <c r="A266" s="10">
        <v>244</v>
      </c>
      <c r="B266" s="373"/>
      <c r="C266" s="373"/>
      <c r="D266" s="396"/>
      <c r="E266" s="375"/>
      <c r="F266" s="373"/>
      <c r="G266" s="373"/>
      <c r="H266" s="376"/>
      <c r="I266" s="377"/>
      <c r="J266" s="378"/>
      <c r="K266" s="379"/>
      <c r="L266" s="374"/>
      <c r="M266" s="380" t="str">
        <f t="shared" ca="1" si="99"/>
        <v/>
      </c>
      <c r="N266" s="373"/>
      <c r="O266" s="381"/>
      <c r="P266" s="381"/>
      <c r="Q266" s="382"/>
      <c r="R266" s="381"/>
      <c r="S266" s="383"/>
      <c r="T266" s="384" t="str">
        <f t="shared" si="100"/>
        <v/>
      </c>
      <c r="U266" s="385"/>
      <c r="V266" s="384" t="str">
        <f t="shared" si="101"/>
        <v/>
      </c>
      <c r="W266" s="386"/>
      <c r="X266" s="386" t="str">
        <f t="shared" si="102"/>
        <v/>
      </c>
      <c r="Y266" s="386" t="str">
        <f t="shared" si="107"/>
        <v/>
      </c>
      <c r="Z266" s="386" t="str">
        <f t="shared" si="108"/>
        <v/>
      </c>
      <c r="AA266" s="387"/>
      <c r="AB266" s="386" t="str">
        <f t="shared" si="109"/>
        <v/>
      </c>
      <c r="AC266" s="386" t="str">
        <f t="shared" si="110"/>
        <v/>
      </c>
      <c r="AD266" s="386" t="str">
        <f t="shared" si="111"/>
        <v/>
      </c>
      <c r="AE266" s="386" t="str">
        <f t="shared" si="112"/>
        <v/>
      </c>
      <c r="AF266" s="386" t="str">
        <f t="shared" si="113"/>
        <v/>
      </c>
      <c r="AG266" s="386" t="str">
        <f t="shared" si="114"/>
        <v/>
      </c>
      <c r="AH266" s="386" t="str">
        <f t="shared" si="115"/>
        <v/>
      </c>
      <c r="AI266" s="386" t="str">
        <f t="shared" si="103"/>
        <v/>
      </c>
      <c r="AJ266" s="386" t="str">
        <f t="shared" si="104"/>
        <v/>
      </c>
      <c r="AK266" s="386" t="str">
        <f t="shared" si="105"/>
        <v/>
      </c>
      <c r="AL266" s="388"/>
      <c r="AM266" s="388"/>
      <c r="AN266" s="388"/>
      <c r="AO266" s="388"/>
      <c r="AP266" s="402" t="str">
        <f t="shared" si="116"/>
        <v/>
      </c>
      <c r="AQ266" s="388"/>
      <c r="AR266" s="388"/>
      <c r="AS266" s="388"/>
      <c r="AT266" s="388"/>
      <c r="AU266" s="402" t="str">
        <f t="shared" si="117"/>
        <v/>
      </c>
      <c r="AV266" s="389"/>
      <c r="AW266" s="381"/>
      <c r="AX266" s="381"/>
      <c r="AY266" s="373"/>
      <c r="AZ266" s="390"/>
      <c r="BA266" s="390"/>
      <c r="BB266" s="391"/>
      <c r="BC266" s="392"/>
      <c r="BD266" s="393"/>
      <c r="BE266" s="393"/>
      <c r="BF266" s="393"/>
      <c r="BG266" s="394"/>
      <c r="BH266" s="395"/>
      <c r="BI266" s="374"/>
      <c r="BJ266" s="374"/>
      <c r="BK266" s="374"/>
      <c r="BL266" s="389"/>
      <c r="BM266" s="397"/>
      <c r="BN266" s="389"/>
      <c r="BO266" s="419" t="str">
        <f t="shared" si="106"/>
        <v/>
      </c>
      <c r="BP266" s="389"/>
      <c r="BQ266" s="397"/>
      <c r="BR266" s="419"/>
      <c r="BS266" s="419"/>
      <c r="BT266" s="419"/>
      <c r="BU266" s="432"/>
      <c r="BV266" s="419"/>
      <c r="BW266" s="419"/>
      <c r="BX266" s="419"/>
      <c r="BY266" s="389"/>
      <c r="BZ266" s="389"/>
      <c r="CA266" s="389"/>
      <c r="CB266" s="389"/>
      <c r="CC266" s="389"/>
      <c r="CD266" s="389"/>
      <c r="CE266" s="389"/>
      <c r="CF266" s="389"/>
      <c r="CG266" s="389"/>
      <c r="CH266" s="389"/>
      <c r="CI266" s="389"/>
      <c r="CJ266" s="422"/>
      <c r="CK266" s="422"/>
      <c r="CL266" s="422"/>
      <c r="CM266" s="422"/>
      <c r="CN266" s="422"/>
      <c r="CO266" s="422"/>
      <c r="CP266" s="422"/>
      <c r="CQ266" s="432"/>
      <c r="CR266" s="431" t="str">
        <f t="shared" si="118"/>
        <v/>
      </c>
      <c r="CS266" s="35" t="str">
        <f t="shared" si="119"/>
        <v>Direct or WHSE.</v>
      </c>
      <c r="CT266" s="411"/>
      <c r="CW266" s="153" t="str">
        <f t="shared" si="98"/>
        <v/>
      </c>
      <c r="CX266" s="153" t="str">
        <f t="shared" si="98"/>
        <v/>
      </c>
      <c r="CY266" s="153" t="str">
        <f t="shared" si="120"/>
        <v/>
      </c>
    </row>
    <row r="267" spans="1:103" ht="19.5" customHeight="1">
      <c r="A267" s="10">
        <v>245</v>
      </c>
      <c r="B267" s="373"/>
      <c r="C267" s="373"/>
      <c r="D267" s="396"/>
      <c r="E267" s="375"/>
      <c r="F267" s="373"/>
      <c r="G267" s="373"/>
      <c r="H267" s="376"/>
      <c r="I267" s="377"/>
      <c r="J267" s="378"/>
      <c r="K267" s="379"/>
      <c r="L267" s="374"/>
      <c r="M267" s="380" t="str">
        <f t="shared" ca="1" si="99"/>
        <v/>
      </c>
      <c r="N267" s="373"/>
      <c r="O267" s="381"/>
      <c r="P267" s="381"/>
      <c r="Q267" s="382"/>
      <c r="R267" s="381"/>
      <c r="S267" s="383"/>
      <c r="T267" s="384" t="str">
        <f t="shared" si="100"/>
        <v/>
      </c>
      <c r="U267" s="385"/>
      <c r="V267" s="384" t="str">
        <f t="shared" si="101"/>
        <v/>
      </c>
      <c r="W267" s="386"/>
      <c r="X267" s="386" t="str">
        <f t="shared" si="102"/>
        <v/>
      </c>
      <c r="Y267" s="386" t="str">
        <f t="shared" si="107"/>
        <v/>
      </c>
      <c r="Z267" s="386" t="str">
        <f t="shared" si="108"/>
        <v/>
      </c>
      <c r="AA267" s="387"/>
      <c r="AB267" s="386" t="str">
        <f t="shared" si="109"/>
        <v/>
      </c>
      <c r="AC267" s="386" t="str">
        <f t="shared" si="110"/>
        <v/>
      </c>
      <c r="AD267" s="386" t="str">
        <f t="shared" si="111"/>
        <v/>
      </c>
      <c r="AE267" s="386" t="str">
        <f t="shared" si="112"/>
        <v/>
      </c>
      <c r="AF267" s="386" t="str">
        <f t="shared" si="113"/>
        <v/>
      </c>
      <c r="AG267" s="386" t="str">
        <f t="shared" si="114"/>
        <v/>
      </c>
      <c r="AH267" s="386" t="str">
        <f t="shared" si="115"/>
        <v/>
      </c>
      <c r="AI267" s="386" t="str">
        <f t="shared" si="103"/>
        <v/>
      </c>
      <c r="AJ267" s="386" t="str">
        <f t="shared" si="104"/>
        <v/>
      </c>
      <c r="AK267" s="386" t="str">
        <f t="shared" si="105"/>
        <v/>
      </c>
      <c r="AL267" s="388"/>
      <c r="AM267" s="388"/>
      <c r="AN267" s="388"/>
      <c r="AO267" s="388"/>
      <c r="AP267" s="402" t="str">
        <f t="shared" si="116"/>
        <v/>
      </c>
      <c r="AQ267" s="388"/>
      <c r="AR267" s="388"/>
      <c r="AS267" s="388"/>
      <c r="AT267" s="388"/>
      <c r="AU267" s="402" t="str">
        <f t="shared" si="117"/>
        <v/>
      </c>
      <c r="AV267" s="389"/>
      <c r="AW267" s="381"/>
      <c r="AX267" s="381"/>
      <c r="AY267" s="373"/>
      <c r="AZ267" s="390"/>
      <c r="BA267" s="390"/>
      <c r="BB267" s="391"/>
      <c r="BC267" s="392"/>
      <c r="BD267" s="393"/>
      <c r="BE267" s="393"/>
      <c r="BF267" s="393"/>
      <c r="BG267" s="394"/>
      <c r="BH267" s="395"/>
      <c r="BI267" s="374"/>
      <c r="BJ267" s="374"/>
      <c r="BK267" s="374"/>
      <c r="BL267" s="389"/>
      <c r="BM267" s="397"/>
      <c r="BN267" s="389"/>
      <c r="BO267" s="419" t="str">
        <f t="shared" si="106"/>
        <v/>
      </c>
      <c r="BP267" s="389"/>
      <c r="BQ267" s="397"/>
      <c r="BR267" s="419"/>
      <c r="BS267" s="419"/>
      <c r="BT267" s="419"/>
      <c r="BU267" s="432"/>
      <c r="BV267" s="419"/>
      <c r="BW267" s="419"/>
      <c r="BX267" s="419"/>
      <c r="BY267" s="389"/>
      <c r="BZ267" s="389"/>
      <c r="CA267" s="389"/>
      <c r="CB267" s="389"/>
      <c r="CC267" s="389"/>
      <c r="CD267" s="389"/>
      <c r="CE267" s="389"/>
      <c r="CF267" s="389"/>
      <c r="CG267" s="389"/>
      <c r="CH267" s="389"/>
      <c r="CI267" s="389"/>
      <c r="CJ267" s="422"/>
      <c r="CK267" s="422"/>
      <c r="CL267" s="422"/>
      <c r="CM267" s="422"/>
      <c r="CN267" s="422"/>
      <c r="CO267" s="422"/>
      <c r="CP267" s="422"/>
      <c r="CQ267" s="432"/>
      <c r="CR267" s="431" t="str">
        <f t="shared" si="118"/>
        <v/>
      </c>
      <c r="CS267" s="35" t="str">
        <f t="shared" si="119"/>
        <v>Direct or WHSE.</v>
      </c>
      <c r="CT267" s="411"/>
      <c r="CW267" s="153" t="str">
        <f t="shared" si="98"/>
        <v/>
      </c>
      <c r="CX267" s="153" t="str">
        <f t="shared" si="98"/>
        <v/>
      </c>
      <c r="CY267" s="153" t="str">
        <f t="shared" si="120"/>
        <v/>
      </c>
    </row>
    <row r="268" spans="1:103" ht="19.5" customHeight="1">
      <c r="A268" s="10">
        <v>246</v>
      </c>
      <c r="B268" s="373"/>
      <c r="C268" s="373"/>
      <c r="D268" s="396"/>
      <c r="E268" s="375"/>
      <c r="F268" s="373"/>
      <c r="G268" s="373"/>
      <c r="H268" s="376"/>
      <c r="I268" s="377"/>
      <c r="J268" s="378"/>
      <c r="K268" s="379"/>
      <c r="L268" s="374"/>
      <c r="M268" s="380" t="str">
        <f t="shared" ca="1" si="99"/>
        <v/>
      </c>
      <c r="N268" s="373"/>
      <c r="O268" s="381"/>
      <c r="P268" s="381"/>
      <c r="Q268" s="382"/>
      <c r="R268" s="381"/>
      <c r="S268" s="383"/>
      <c r="T268" s="384" t="str">
        <f t="shared" si="100"/>
        <v/>
      </c>
      <c r="U268" s="385"/>
      <c r="V268" s="384" t="str">
        <f t="shared" si="101"/>
        <v/>
      </c>
      <c r="W268" s="386"/>
      <c r="X268" s="386" t="str">
        <f t="shared" si="102"/>
        <v/>
      </c>
      <c r="Y268" s="386" t="str">
        <f t="shared" si="107"/>
        <v/>
      </c>
      <c r="Z268" s="386" t="str">
        <f t="shared" si="108"/>
        <v/>
      </c>
      <c r="AA268" s="387"/>
      <c r="AB268" s="386" t="str">
        <f t="shared" si="109"/>
        <v/>
      </c>
      <c r="AC268" s="386" t="str">
        <f t="shared" si="110"/>
        <v/>
      </c>
      <c r="AD268" s="386" t="str">
        <f t="shared" si="111"/>
        <v/>
      </c>
      <c r="AE268" s="386" t="str">
        <f t="shared" si="112"/>
        <v/>
      </c>
      <c r="AF268" s="386" t="str">
        <f t="shared" si="113"/>
        <v/>
      </c>
      <c r="AG268" s="386" t="str">
        <f t="shared" si="114"/>
        <v/>
      </c>
      <c r="AH268" s="386" t="str">
        <f t="shared" si="115"/>
        <v/>
      </c>
      <c r="AI268" s="386" t="str">
        <f t="shared" si="103"/>
        <v/>
      </c>
      <c r="AJ268" s="386" t="str">
        <f t="shared" si="104"/>
        <v/>
      </c>
      <c r="AK268" s="386" t="str">
        <f t="shared" si="105"/>
        <v/>
      </c>
      <c r="AL268" s="388"/>
      <c r="AM268" s="388"/>
      <c r="AN268" s="388"/>
      <c r="AO268" s="388"/>
      <c r="AP268" s="402" t="str">
        <f t="shared" si="116"/>
        <v/>
      </c>
      <c r="AQ268" s="388"/>
      <c r="AR268" s="388"/>
      <c r="AS268" s="388"/>
      <c r="AT268" s="388"/>
      <c r="AU268" s="402" t="str">
        <f t="shared" si="117"/>
        <v/>
      </c>
      <c r="AV268" s="389"/>
      <c r="AW268" s="381"/>
      <c r="AX268" s="381"/>
      <c r="AY268" s="373"/>
      <c r="AZ268" s="390"/>
      <c r="BA268" s="390"/>
      <c r="BB268" s="391"/>
      <c r="BC268" s="392"/>
      <c r="BD268" s="393"/>
      <c r="BE268" s="393"/>
      <c r="BF268" s="393"/>
      <c r="BG268" s="394"/>
      <c r="BH268" s="395"/>
      <c r="BI268" s="374"/>
      <c r="BJ268" s="374"/>
      <c r="BK268" s="374"/>
      <c r="BL268" s="389"/>
      <c r="BM268" s="397"/>
      <c r="BN268" s="389"/>
      <c r="BO268" s="419" t="str">
        <f t="shared" si="106"/>
        <v/>
      </c>
      <c r="BP268" s="389"/>
      <c r="BQ268" s="397"/>
      <c r="BR268" s="419"/>
      <c r="BS268" s="419"/>
      <c r="BT268" s="419"/>
      <c r="BU268" s="432"/>
      <c r="BV268" s="419"/>
      <c r="BW268" s="419"/>
      <c r="BX268" s="419"/>
      <c r="BY268" s="389"/>
      <c r="BZ268" s="389"/>
      <c r="CA268" s="389"/>
      <c r="CB268" s="389"/>
      <c r="CC268" s="389"/>
      <c r="CD268" s="389"/>
      <c r="CE268" s="389"/>
      <c r="CF268" s="389"/>
      <c r="CG268" s="389"/>
      <c r="CH268" s="389"/>
      <c r="CI268" s="389"/>
      <c r="CJ268" s="422"/>
      <c r="CK268" s="422"/>
      <c r="CL268" s="422"/>
      <c r="CM268" s="422"/>
      <c r="CN268" s="422"/>
      <c r="CO268" s="422"/>
      <c r="CP268" s="422"/>
      <c r="CQ268" s="432"/>
      <c r="CR268" s="431" t="str">
        <f t="shared" si="118"/>
        <v/>
      </c>
      <c r="CS268" s="35" t="str">
        <f t="shared" si="119"/>
        <v>Direct or WHSE.</v>
      </c>
      <c r="CT268" s="411"/>
      <c r="CW268" s="153" t="str">
        <f t="shared" si="98"/>
        <v/>
      </c>
      <c r="CX268" s="153" t="str">
        <f t="shared" si="98"/>
        <v/>
      </c>
      <c r="CY268" s="153" t="str">
        <f t="shared" si="120"/>
        <v/>
      </c>
    </row>
    <row r="269" spans="1:103" ht="19.5" customHeight="1">
      <c r="A269" s="10">
        <v>247</v>
      </c>
      <c r="B269" s="373"/>
      <c r="C269" s="373"/>
      <c r="D269" s="396"/>
      <c r="E269" s="375"/>
      <c r="F269" s="373"/>
      <c r="G269" s="373"/>
      <c r="H269" s="376"/>
      <c r="I269" s="377"/>
      <c r="J269" s="378"/>
      <c r="K269" s="379"/>
      <c r="L269" s="374"/>
      <c r="M269" s="380" t="str">
        <f t="shared" ca="1" si="99"/>
        <v/>
      </c>
      <c r="N269" s="373"/>
      <c r="O269" s="381"/>
      <c r="P269" s="381"/>
      <c r="Q269" s="382"/>
      <c r="R269" s="381"/>
      <c r="S269" s="383"/>
      <c r="T269" s="384" t="str">
        <f t="shared" si="100"/>
        <v/>
      </c>
      <c r="U269" s="385"/>
      <c r="V269" s="384" t="str">
        <f t="shared" si="101"/>
        <v/>
      </c>
      <c r="W269" s="386"/>
      <c r="X269" s="386" t="str">
        <f t="shared" si="102"/>
        <v/>
      </c>
      <c r="Y269" s="386" t="str">
        <f t="shared" si="107"/>
        <v/>
      </c>
      <c r="Z269" s="386" t="str">
        <f t="shared" si="108"/>
        <v/>
      </c>
      <c r="AA269" s="387"/>
      <c r="AB269" s="386" t="str">
        <f t="shared" si="109"/>
        <v/>
      </c>
      <c r="AC269" s="386" t="str">
        <f t="shared" si="110"/>
        <v/>
      </c>
      <c r="AD269" s="386" t="str">
        <f t="shared" si="111"/>
        <v/>
      </c>
      <c r="AE269" s="386" t="str">
        <f t="shared" si="112"/>
        <v/>
      </c>
      <c r="AF269" s="386" t="str">
        <f t="shared" si="113"/>
        <v/>
      </c>
      <c r="AG269" s="386" t="str">
        <f t="shared" si="114"/>
        <v/>
      </c>
      <c r="AH269" s="386" t="str">
        <f t="shared" si="115"/>
        <v/>
      </c>
      <c r="AI269" s="386" t="str">
        <f t="shared" si="103"/>
        <v/>
      </c>
      <c r="AJ269" s="386" t="str">
        <f t="shared" si="104"/>
        <v/>
      </c>
      <c r="AK269" s="386" t="str">
        <f t="shared" si="105"/>
        <v/>
      </c>
      <c r="AL269" s="388"/>
      <c r="AM269" s="388"/>
      <c r="AN269" s="388"/>
      <c r="AO269" s="388"/>
      <c r="AP269" s="402" t="str">
        <f t="shared" si="116"/>
        <v/>
      </c>
      <c r="AQ269" s="388"/>
      <c r="AR269" s="388"/>
      <c r="AS269" s="388"/>
      <c r="AT269" s="388"/>
      <c r="AU269" s="402" t="str">
        <f t="shared" si="117"/>
        <v/>
      </c>
      <c r="AV269" s="389"/>
      <c r="AW269" s="381"/>
      <c r="AX269" s="381"/>
      <c r="AY269" s="373"/>
      <c r="AZ269" s="390"/>
      <c r="BA269" s="390"/>
      <c r="BB269" s="391"/>
      <c r="BC269" s="392"/>
      <c r="BD269" s="393"/>
      <c r="BE269" s="393"/>
      <c r="BF269" s="393"/>
      <c r="BG269" s="394"/>
      <c r="BH269" s="395"/>
      <c r="BI269" s="374"/>
      <c r="BJ269" s="374"/>
      <c r="BK269" s="374"/>
      <c r="BL269" s="389"/>
      <c r="BM269" s="397"/>
      <c r="BN269" s="389"/>
      <c r="BO269" s="419" t="str">
        <f t="shared" si="106"/>
        <v/>
      </c>
      <c r="BP269" s="389"/>
      <c r="BQ269" s="397"/>
      <c r="BR269" s="419"/>
      <c r="BS269" s="419"/>
      <c r="BT269" s="419"/>
      <c r="BU269" s="432"/>
      <c r="BV269" s="419"/>
      <c r="BW269" s="419"/>
      <c r="BX269" s="419"/>
      <c r="BY269" s="389"/>
      <c r="BZ269" s="389"/>
      <c r="CA269" s="389"/>
      <c r="CB269" s="389"/>
      <c r="CC269" s="389"/>
      <c r="CD269" s="389"/>
      <c r="CE269" s="389"/>
      <c r="CF269" s="389"/>
      <c r="CG269" s="389"/>
      <c r="CH269" s="389"/>
      <c r="CI269" s="389"/>
      <c r="CJ269" s="422"/>
      <c r="CK269" s="422"/>
      <c r="CL269" s="422"/>
      <c r="CM269" s="422"/>
      <c r="CN269" s="422"/>
      <c r="CO269" s="422"/>
      <c r="CP269" s="422"/>
      <c r="CQ269" s="432"/>
      <c r="CR269" s="431" t="str">
        <f t="shared" si="118"/>
        <v/>
      </c>
      <c r="CS269" s="35" t="str">
        <f t="shared" si="119"/>
        <v>Direct or WHSE.</v>
      </c>
      <c r="CT269" s="411"/>
      <c r="CW269" s="153" t="str">
        <f t="shared" si="98"/>
        <v/>
      </c>
      <c r="CX269" s="153" t="str">
        <f t="shared" si="98"/>
        <v/>
      </c>
      <c r="CY269" s="153" t="str">
        <f t="shared" si="120"/>
        <v/>
      </c>
    </row>
    <row r="270" spans="1:103" ht="19.5" customHeight="1">
      <c r="A270" s="10">
        <v>248</v>
      </c>
      <c r="B270" s="373"/>
      <c r="C270" s="373"/>
      <c r="D270" s="396"/>
      <c r="E270" s="375"/>
      <c r="F270" s="373"/>
      <c r="G270" s="373"/>
      <c r="H270" s="376"/>
      <c r="I270" s="377"/>
      <c r="J270" s="378"/>
      <c r="K270" s="379"/>
      <c r="L270" s="374"/>
      <c r="M270" s="380" t="str">
        <f t="shared" ca="1" si="99"/>
        <v/>
      </c>
      <c r="N270" s="373"/>
      <c r="O270" s="381"/>
      <c r="P270" s="381"/>
      <c r="Q270" s="382"/>
      <c r="R270" s="381"/>
      <c r="S270" s="383"/>
      <c r="T270" s="384" t="str">
        <f t="shared" si="100"/>
        <v/>
      </c>
      <c r="U270" s="385"/>
      <c r="V270" s="384" t="str">
        <f t="shared" si="101"/>
        <v/>
      </c>
      <c r="W270" s="386"/>
      <c r="X270" s="386" t="str">
        <f t="shared" si="102"/>
        <v/>
      </c>
      <c r="Y270" s="386" t="str">
        <f t="shared" si="107"/>
        <v/>
      </c>
      <c r="Z270" s="386" t="str">
        <f t="shared" si="108"/>
        <v/>
      </c>
      <c r="AA270" s="387"/>
      <c r="AB270" s="386" t="str">
        <f t="shared" si="109"/>
        <v/>
      </c>
      <c r="AC270" s="386" t="str">
        <f t="shared" si="110"/>
        <v/>
      </c>
      <c r="AD270" s="386" t="str">
        <f t="shared" si="111"/>
        <v/>
      </c>
      <c r="AE270" s="386" t="str">
        <f t="shared" si="112"/>
        <v/>
      </c>
      <c r="AF270" s="386" t="str">
        <f t="shared" si="113"/>
        <v/>
      </c>
      <c r="AG270" s="386" t="str">
        <f t="shared" si="114"/>
        <v/>
      </c>
      <c r="AH270" s="386" t="str">
        <f t="shared" si="115"/>
        <v/>
      </c>
      <c r="AI270" s="386" t="str">
        <f t="shared" si="103"/>
        <v/>
      </c>
      <c r="AJ270" s="386" t="str">
        <f t="shared" si="104"/>
        <v/>
      </c>
      <c r="AK270" s="386" t="str">
        <f t="shared" si="105"/>
        <v/>
      </c>
      <c r="AL270" s="388"/>
      <c r="AM270" s="388"/>
      <c r="AN270" s="388"/>
      <c r="AO270" s="388"/>
      <c r="AP270" s="402" t="str">
        <f t="shared" si="116"/>
        <v/>
      </c>
      <c r="AQ270" s="388"/>
      <c r="AR270" s="388"/>
      <c r="AS270" s="388"/>
      <c r="AT270" s="388"/>
      <c r="AU270" s="402" t="str">
        <f t="shared" si="117"/>
        <v/>
      </c>
      <c r="AV270" s="389"/>
      <c r="AW270" s="381"/>
      <c r="AX270" s="381"/>
      <c r="AY270" s="373"/>
      <c r="AZ270" s="390"/>
      <c r="BA270" s="390"/>
      <c r="BB270" s="391"/>
      <c r="BC270" s="392"/>
      <c r="BD270" s="393"/>
      <c r="BE270" s="393"/>
      <c r="BF270" s="393"/>
      <c r="BG270" s="394"/>
      <c r="BH270" s="395"/>
      <c r="BI270" s="374"/>
      <c r="BJ270" s="374"/>
      <c r="BK270" s="374"/>
      <c r="BL270" s="389"/>
      <c r="BM270" s="397"/>
      <c r="BN270" s="389"/>
      <c r="BO270" s="419" t="str">
        <f t="shared" si="106"/>
        <v/>
      </c>
      <c r="BP270" s="389"/>
      <c r="BQ270" s="397"/>
      <c r="BR270" s="419"/>
      <c r="BS270" s="419"/>
      <c r="BT270" s="419"/>
      <c r="BU270" s="432"/>
      <c r="BV270" s="419"/>
      <c r="BW270" s="419"/>
      <c r="BX270" s="419"/>
      <c r="BY270" s="389"/>
      <c r="BZ270" s="389"/>
      <c r="CA270" s="389"/>
      <c r="CB270" s="389"/>
      <c r="CC270" s="389"/>
      <c r="CD270" s="389"/>
      <c r="CE270" s="389"/>
      <c r="CF270" s="389"/>
      <c r="CG270" s="389"/>
      <c r="CH270" s="389"/>
      <c r="CI270" s="389"/>
      <c r="CJ270" s="422"/>
      <c r="CK270" s="422"/>
      <c r="CL270" s="422"/>
      <c r="CM270" s="422"/>
      <c r="CN270" s="422"/>
      <c r="CO270" s="422"/>
      <c r="CP270" s="422"/>
      <c r="CQ270" s="432"/>
      <c r="CR270" s="431" t="str">
        <f t="shared" si="118"/>
        <v/>
      </c>
      <c r="CS270" s="35" t="str">
        <f t="shared" si="119"/>
        <v>Direct or WHSE.</v>
      </c>
      <c r="CT270" s="411"/>
      <c r="CW270" s="153" t="str">
        <f t="shared" si="98"/>
        <v/>
      </c>
      <c r="CX270" s="153" t="str">
        <f t="shared" si="98"/>
        <v/>
      </c>
      <c r="CY270" s="153" t="str">
        <f t="shared" si="120"/>
        <v/>
      </c>
    </row>
    <row r="271" spans="1:103" ht="19.5" customHeight="1">
      <c r="A271" s="10">
        <v>249</v>
      </c>
      <c r="B271" s="373"/>
      <c r="C271" s="373"/>
      <c r="D271" s="396"/>
      <c r="E271" s="375"/>
      <c r="F271" s="373"/>
      <c r="G271" s="373"/>
      <c r="H271" s="376"/>
      <c r="I271" s="377"/>
      <c r="J271" s="378"/>
      <c r="K271" s="379"/>
      <c r="L271" s="374"/>
      <c r="M271" s="380" t="str">
        <f t="shared" ca="1" si="99"/>
        <v/>
      </c>
      <c r="N271" s="373"/>
      <c r="O271" s="381"/>
      <c r="P271" s="381"/>
      <c r="Q271" s="382"/>
      <c r="R271" s="381"/>
      <c r="S271" s="383"/>
      <c r="T271" s="384" t="str">
        <f t="shared" si="100"/>
        <v/>
      </c>
      <c r="U271" s="385"/>
      <c r="V271" s="384" t="str">
        <f t="shared" si="101"/>
        <v/>
      </c>
      <c r="W271" s="386"/>
      <c r="X271" s="386" t="str">
        <f t="shared" si="102"/>
        <v/>
      </c>
      <c r="Y271" s="386" t="str">
        <f t="shared" si="107"/>
        <v/>
      </c>
      <c r="Z271" s="386" t="str">
        <f t="shared" si="108"/>
        <v/>
      </c>
      <c r="AA271" s="387"/>
      <c r="AB271" s="386" t="str">
        <f t="shared" si="109"/>
        <v/>
      </c>
      <c r="AC271" s="386" t="str">
        <f t="shared" si="110"/>
        <v/>
      </c>
      <c r="AD271" s="386" t="str">
        <f t="shared" si="111"/>
        <v/>
      </c>
      <c r="AE271" s="386" t="str">
        <f t="shared" si="112"/>
        <v/>
      </c>
      <c r="AF271" s="386" t="str">
        <f t="shared" si="113"/>
        <v/>
      </c>
      <c r="AG271" s="386" t="str">
        <f t="shared" si="114"/>
        <v/>
      </c>
      <c r="AH271" s="386" t="str">
        <f t="shared" si="115"/>
        <v/>
      </c>
      <c r="AI271" s="386" t="str">
        <f t="shared" si="103"/>
        <v/>
      </c>
      <c r="AJ271" s="386" t="str">
        <f t="shared" si="104"/>
        <v/>
      </c>
      <c r="AK271" s="386" t="str">
        <f t="shared" si="105"/>
        <v/>
      </c>
      <c r="AL271" s="388"/>
      <c r="AM271" s="388"/>
      <c r="AN271" s="388"/>
      <c r="AO271" s="388"/>
      <c r="AP271" s="402" t="str">
        <f t="shared" si="116"/>
        <v/>
      </c>
      <c r="AQ271" s="388"/>
      <c r="AR271" s="388"/>
      <c r="AS271" s="388"/>
      <c r="AT271" s="388"/>
      <c r="AU271" s="402" t="str">
        <f t="shared" si="117"/>
        <v/>
      </c>
      <c r="AV271" s="389"/>
      <c r="AW271" s="381"/>
      <c r="AX271" s="381"/>
      <c r="AY271" s="373"/>
      <c r="AZ271" s="390"/>
      <c r="BA271" s="390"/>
      <c r="BB271" s="391"/>
      <c r="BC271" s="392"/>
      <c r="BD271" s="393"/>
      <c r="BE271" s="393"/>
      <c r="BF271" s="393"/>
      <c r="BG271" s="394"/>
      <c r="BH271" s="395"/>
      <c r="BI271" s="374"/>
      <c r="BJ271" s="374"/>
      <c r="BK271" s="374"/>
      <c r="BL271" s="389"/>
      <c r="BM271" s="397"/>
      <c r="BN271" s="389"/>
      <c r="BO271" s="419" t="str">
        <f t="shared" si="106"/>
        <v/>
      </c>
      <c r="BP271" s="389"/>
      <c r="BQ271" s="397"/>
      <c r="BR271" s="419"/>
      <c r="BS271" s="419"/>
      <c r="BT271" s="419"/>
      <c r="BU271" s="432"/>
      <c r="BV271" s="419"/>
      <c r="BW271" s="419"/>
      <c r="BX271" s="419"/>
      <c r="BY271" s="389"/>
      <c r="BZ271" s="389"/>
      <c r="CA271" s="389"/>
      <c r="CB271" s="389"/>
      <c r="CC271" s="389"/>
      <c r="CD271" s="389"/>
      <c r="CE271" s="389"/>
      <c r="CF271" s="389"/>
      <c r="CG271" s="389"/>
      <c r="CH271" s="389"/>
      <c r="CI271" s="389"/>
      <c r="CJ271" s="422"/>
      <c r="CK271" s="422"/>
      <c r="CL271" s="422"/>
      <c r="CM271" s="422"/>
      <c r="CN271" s="422"/>
      <c r="CO271" s="422"/>
      <c r="CP271" s="422"/>
      <c r="CQ271" s="432"/>
      <c r="CR271" s="431" t="str">
        <f t="shared" si="118"/>
        <v/>
      </c>
      <c r="CS271" s="35" t="str">
        <f t="shared" si="119"/>
        <v>Direct or WHSE.</v>
      </c>
      <c r="CT271" s="411"/>
      <c r="CW271" s="153" t="str">
        <f t="shared" si="98"/>
        <v/>
      </c>
      <c r="CX271" s="153" t="str">
        <f t="shared" si="98"/>
        <v/>
      </c>
      <c r="CY271" s="153" t="str">
        <f t="shared" si="120"/>
        <v/>
      </c>
    </row>
    <row r="272" spans="1:103" ht="19.5" customHeight="1" thickBot="1">
      <c r="A272" s="10">
        <v>250</v>
      </c>
      <c r="B272" s="373"/>
      <c r="C272" s="373"/>
      <c r="D272" s="396"/>
      <c r="E272" s="375"/>
      <c r="F272" s="373"/>
      <c r="G272" s="373"/>
      <c r="H272" s="376"/>
      <c r="I272" s="377"/>
      <c r="J272" s="378"/>
      <c r="K272" s="379"/>
      <c r="L272" s="374"/>
      <c r="M272" s="380" t="str">
        <f t="shared" ca="1" si="99"/>
        <v/>
      </c>
      <c r="N272" s="373"/>
      <c r="O272" s="381"/>
      <c r="P272" s="381"/>
      <c r="Q272" s="382"/>
      <c r="R272" s="381"/>
      <c r="S272" s="383"/>
      <c r="T272" s="384" t="str">
        <f t="shared" si="100"/>
        <v/>
      </c>
      <c r="U272" s="385"/>
      <c r="V272" s="384" t="str">
        <f t="shared" si="101"/>
        <v/>
      </c>
      <c r="W272" s="386"/>
      <c r="X272" s="386" t="str">
        <f t="shared" si="102"/>
        <v/>
      </c>
      <c r="Y272" s="386" t="str">
        <f t="shared" si="107"/>
        <v/>
      </c>
      <c r="Z272" s="386" t="str">
        <f t="shared" si="108"/>
        <v/>
      </c>
      <c r="AA272" s="387"/>
      <c r="AB272" s="386" t="str">
        <f t="shared" si="109"/>
        <v/>
      </c>
      <c r="AC272" s="386" t="str">
        <f t="shared" si="110"/>
        <v/>
      </c>
      <c r="AD272" s="386" t="str">
        <f t="shared" si="111"/>
        <v/>
      </c>
      <c r="AE272" s="386" t="str">
        <f t="shared" si="112"/>
        <v/>
      </c>
      <c r="AF272" s="386" t="str">
        <f t="shared" si="113"/>
        <v/>
      </c>
      <c r="AG272" s="386" t="str">
        <f t="shared" si="114"/>
        <v/>
      </c>
      <c r="AH272" s="386" t="str">
        <f t="shared" si="115"/>
        <v/>
      </c>
      <c r="AI272" s="386" t="str">
        <f t="shared" si="103"/>
        <v/>
      </c>
      <c r="AJ272" s="386" t="str">
        <f t="shared" si="104"/>
        <v/>
      </c>
      <c r="AK272" s="386" t="str">
        <f t="shared" si="105"/>
        <v/>
      </c>
      <c r="AL272" s="388"/>
      <c r="AM272" s="388"/>
      <c r="AN272" s="388"/>
      <c r="AO272" s="388"/>
      <c r="AP272" s="402" t="str">
        <f t="shared" si="116"/>
        <v/>
      </c>
      <c r="AQ272" s="388"/>
      <c r="AR272" s="388"/>
      <c r="AS272" s="388"/>
      <c r="AT272" s="388"/>
      <c r="AU272" s="402" t="str">
        <f t="shared" si="117"/>
        <v/>
      </c>
      <c r="AV272" s="389"/>
      <c r="AW272" s="381"/>
      <c r="AX272" s="381"/>
      <c r="AY272" s="373"/>
      <c r="AZ272" s="390"/>
      <c r="BA272" s="390"/>
      <c r="BB272" s="391"/>
      <c r="BC272" s="392"/>
      <c r="BD272" s="393"/>
      <c r="BE272" s="393"/>
      <c r="BF272" s="393"/>
      <c r="BG272" s="394"/>
      <c r="BH272" s="395"/>
      <c r="BI272" s="374"/>
      <c r="BJ272" s="374"/>
      <c r="BK272" s="374"/>
      <c r="BL272" s="389"/>
      <c r="BM272" s="397"/>
      <c r="BN272" s="389"/>
      <c r="BO272" s="419" t="str">
        <f t="shared" si="106"/>
        <v/>
      </c>
      <c r="BP272" s="389"/>
      <c r="BQ272" s="397"/>
      <c r="BR272" s="419"/>
      <c r="BS272" s="419"/>
      <c r="BT272" s="419"/>
      <c r="BU272" s="432"/>
      <c r="BV272" s="419"/>
      <c r="BW272" s="419"/>
      <c r="BX272" s="419"/>
      <c r="BY272" s="389"/>
      <c r="BZ272" s="389"/>
      <c r="CA272" s="389"/>
      <c r="CB272" s="389"/>
      <c r="CC272" s="389"/>
      <c r="CD272" s="389"/>
      <c r="CE272" s="389"/>
      <c r="CF272" s="389"/>
      <c r="CG272" s="389"/>
      <c r="CH272" s="389"/>
      <c r="CI272" s="389"/>
      <c r="CJ272" s="422"/>
      <c r="CK272" s="422"/>
      <c r="CL272" s="422"/>
      <c r="CM272" s="422"/>
      <c r="CN272" s="422"/>
      <c r="CO272" s="422"/>
      <c r="CP272" s="422"/>
      <c r="CQ272" s="432"/>
      <c r="CR272" s="431" t="str">
        <f t="shared" si="118"/>
        <v/>
      </c>
      <c r="CS272" s="35" t="str">
        <f t="shared" si="119"/>
        <v>Direct or WHSE.</v>
      </c>
      <c r="CT272" s="411"/>
      <c r="CW272" s="154" t="str">
        <f t="shared" si="98"/>
        <v/>
      </c>
      <c r="CX272" s="154" t="str">
        <f t="shared" si="98"/>
        <v/>
      </c>
      <c r="CY272" s="154" t="str">
        <f t="shared" si="120"/>
        <v/>
      </c>
    </row>
    <row r="273" spans="1:106">
      <c r="A273" s="420" t="s">
        <v>390</v>
      </c>
      <c r="B273" s="420" t="s">
        <v>390</v>
      </c>
      <c r="C273" s="420" t="s">
        <v>390</v>
      </c>
      <c r="D273" s="420" t="s">
        <v>390</v>
      </c>
      <c r="E273" s="420" t="s">
        <v>390</v>
      </c>
      <c r="F273" s="420" t="s">
        <v>390</v>
      </c>
      <c r="G273" s="420" t="s">
        <v>390</v>
      </c>
      <c r="H273" s="420" t="s">
        <v>390</v>
      </c>
      <c r="I273" s="420" t="s">
        <v>390</v>
      </c>
      <c r="J273" s="420" t="s">
        <v>390</v>
      </c>
      <c r="K273" s="420" t="s">
        <v>390</v>
      </c>
      <c r="L273" s="420" t="s">
        <v>390</v>
      </c>
      <c r="M273" s="420" t="s">
        <v>390</v>
      </c>
      <c r="N273" s="420" t="s">
        <v>390</v>
      </c>
      <c r="O273" s="420" t="s">
        <v>390</v>
      </c>
      <c r="P273" s="420" t="s">
        <v>390</v>
      </c>
      <c r="Q273" s="420" t="s">
        <v>390</v>
      </c>
      <c r="R273" s="420" t="s">
        <v>390</v>
      </c>
      <c r="S273" s="420" t="s">
        <v>390</v>
      </c>
      <c r="T273" s="420" t="s">
        <v>390</v>
      </c>
      <c r="U273" s="420" t="s">
        <v>390</v>
      </c>
      <c r="V273" s="420" t="s">
        <v>390</v>
      </c>
      <c r="W273" s="420" t="s">
        <v>390</v>
      </c>
      <c r="X273" s="420" t="s">
        <v>390</v>
      </c>
      <c r="Y273" s="420" t="s">
        <v>390</v>
      </c>
      <c r="Z273" s="420" t="s">
        <v>390</v>
      </c>
      <c r="AA273" s="420" t="s">
        <v>390</v>
      </c>
      <c r="AB273" s="420" t="s">
        <v>390</v>
      </c>
      <c r="AC273" s="420" t="s">
        <v>390</v>
      </c>
      <c r="AD273" s="420" t="s">
        <v>390</v>
      </c>
      <c r="AE273" s="420" t="s">
        <v>390</v>
      </c>
      <c r="AF273" s="420" t="s">
        <v>390</v>
      </c>
      <c r="AG273" s="420" t="s">
        <v>390</v>
      </c>
      <c r="AH273" s="420" t="s">
        <v>390</v>
      </c>
      <c r="AI273" s="420" t="s">
        <v>390</v>
      </c>
      <c r="AJ273" s="420" t="s">
        <v>390</v>
      </c>
      <c r="AK273" s="420" t="s">
        <v>390</v>
      </c>
      <c r="AL273" s="420" t="s">
        <v>390</v>
      </c>
      <c r="AM273" s="420" t="s">
        <v>390</v>
      </c>
      <c r="AN273" s="420" t="s">
        <v>390</v>
      </c>
      <c r="AO273" s="420" t="s">
        <v>390</v>
      </c>
      <c r="AP273" s="420" t="s">
        <v>390</v>
      </c>
      <c r="AQ273" s="420" t="s">
        <v>390</v>
      </c>
      <c r="AR273" s="420" t="s">
        <v>390</v>
      </c>
      <c r="AS273" s="420" t="s">
        <v>390</v>
      </c>
      <c r="AT273" s="420" t="s">
        <v>390</v>
      </c>
      <c r="AU273" s="420" t="s">
        <v>390</v>
      </c>
      <c r="AV273" s="420" t="s">
        <v>390</v>
      </c>
      <c r="AW273" s="420" t="s">
        <v>390</v>
      </c>
      <c r="AX273" s="420" t="s">
        <v>390</v>
      </c>
      <c r="AY273" s="420" t="s">
        <v>390</v>
      </c>
      <c r="AZ273" s="420" t="s">
        <v>390</v>
      </c>
      <c r="BA273" s="420" t="s">
        <v>390</v>
      </c>
      <c r="BB273" s="420" t="s">
        <v>390</v>
      </c>
      <c r="BC273" s="420" t="s">
        <v>390</v>
      </c>
      <c r="BD273" s="420" t="s">
        <v>390</v>
      </c>
      <c r="BE273" s="420" t="s">
        <v>390</v>
      </c>
      <c r="BF273" s="420" t="s">
        <v>390</v>
      </c>
      <c r="BG273" s="420" t="s">
        <v>390</v>
      </c>
      <c r="BH273" s="420" t="s">
        <v>390</v>
      </c>
      <c r="BI273" s="420" t="s">
        <v>390</v>
      </c>
      <c r="BJ273" s="420" t="s">
        <v>390</v>
      </c>
      <c r="BK273" s="420" t="s">
        <v>390</v>
      </c>
      <c r="BL273" s="420" t="s">
        <v>390</v>
      </c>
      <c r="BM273" s="420" t="s">
        <v>390</v>
      </c>
      <c r="BN273" s="420" t="s">
        <v>390</v>
      </c>
      <c r="BO273" s="420" t="s">
        <v>390</v>
      </c>
      <c r="BP273" s="420" t="s">
        <v>390</v>
      </c>
      <c r="BQ273" s="420" t="s">
        <v>390</v>
      </c>
      <c r="BR273" s="420" t="s">
        <v>390</v>
      </c>
      <c r="BS273" s="420" t="s">
        <v>390</v>
      </c>
      <c r="BT273" s="420" t="s">
        <v>390</v>
      </c>
      <c r="BU273" s="420" t="s">
        <v>390</v>
      </c>
      <c r="BV273" s="420" t="s">
        <v>390</v>
      </c>
      <c r="BW273" s="420" t="s">
        <v>390</v>
      </c>
      <c r="BX273" s="420" t="s">
        <v>390</v>
      </c>
      <c r="BY273" s="420" t="s">
        <v>390</v>
      </c>
      <c r="BZ273" s="420" t="s">
        <v>390</v>
      </c>
      <c r="CA273" s="420" t="s">
        <v>390</v>
      </c>
      <c r="CB273" s="420" t="s">
        <v>390</v>
      </c>
      <c r="CC273" s="420" t="s">
        <v>390</v>
      </c>
      <c r="CD273" s="420" t="s">
        <v>390</v>
      </c>
      <c r="CE273" s="420" t="s">
        <v>390</v>
      </c>
      <c r="CF273" s="420" t="s">
        <v>390</v>
      </c>
      <c r="CG273" s="420" t="s">
        <v>390</v>
      </c>
      <c r="CH273" s="420" t="s">
        <v>390</v>
      </c>
      <c r="CI273" s="420" t="s">
        <v>390</v>
      </c>
      <c r="CJ273" s="420" t="s">
        <v>390</v>
      </c>
      <c r="CK273" s="420" t="s">
        <v>390</v>
      </c>
      <c r="CL273" s="420" t="s">
        <v>390</v>
      </c>
      <c r="CM273" s="420" t="s">
        <v>390</v>
      </c>
      <c r="CN273" s="420" t="s">
        <v>390</v>
      </c>
      <c r="CO273" s="420" t="s">
        <v>390</v>
      </c>
      <c r="CP273" s="420" t="s">
        <v>390</v>
      </c>
      <c r="CQ273" s="420" t="s">
        <v>390</v>
      </c>
      <c r="CR273" s="420" t="s">
        <v>390</v>
      </c>
      <c r="CS273" s="420" t="s">
        <v>390</v>
      </c>
      <c r="CT273" s="420" t="s">
        <v>390</v>
      </c>
      <c r="CU273" s="420" t="s">
        <v>390</v>
      </c>
      <c r="CV273" s="420" t="s">
        <v>390</v>
      </c>
      <c r="CW273" s="420" t="s">
        <v>390</v>
      </c>
      <c r="CX273" s="420" t="s">
        <v>390</v>
      </c>
      <c r="CY273" s="420" t="s">
        <v>390</v>
      </c>
      <c r="CZ273" s="420" t="s">
        <v>390</v>
      </c>
      <c r="DA273" s="420" t="s">
        <v>390</v>
      </c>
      <c r="DB273" s="420" t="s">
        <v>390</v>
      </c>
    </row>
    <row r="274" spans="1:106"/>
  </sheetData>
  <sheetProtection password="E6A8" sheet="1" objects="1" scenarios="1" selectLockedCells="1"/>
  <mergeCells count="82">
    <mergeCell ref="X3:Y3"/>
    <mergeCell ref="AP18:AP21"/>
    <mergeCell ref="Y12:AG12"/>
    <mergeCell ref="CT5:CT21"/>
    <mergeCell ref="CS3:CS21"/>
    <mergeCell ref="X4:AF10"/>
    <mergeCell ref="CR3:CR21"/>
    <mergeCell ref="AZ17:BH17"/>
    <mergeCell ref="AZ16:BH16"/>
    <mergeCell ref="AZ18:AZ21"/>
    <mergeCell ref="BI16:BK16"/>
    <mergeCell ref="BI17:BK17"/>
    <mergeCell ref="AY18:AY21"/>
    <mergeCell ref="BQ16:BQ17"/>
    <mergeCell ref="BU16:BU17"/>
    <mergeCell ref="J3:L3"/>
    <mergeCell ref="J8:L8"/>
    <mergeCell ref="J11:L11"/>
    <mergeCell ref="N11:O11"/>
    <mergeCell ref="N7:O7"/>
    <mergeCell ref="N8:O8"/>
    <mergeCell ref="N9:O9"/>
    <mergeCell ref="N6:O6"/>
    <mergeCell ref="J5:L5"/>
    <mergeCell ref="N5:O5"/>
    <mergeCell ref="J10:L10"/>
    <mergeCell ref="J9:L9"/>
    <mergeCell ref="N10:O10"/>
    <mergeCell ref="F11:H11"/>
    <mergeCell ref="F9:H9"/>
    <mergeCell ref="F8:H8"/>
    <mergeCell ref="A7:D7"/>
    <mergeCell ref="A9:D9"/>
    <mergeCell ref="A8:D8"/>
    <mergeCell ref="I4:I6"/>
    <mergeCell ref="J4:L4"/>
    <mergeCell ref="G16:G21"/>
    <mergeCell ref="A2:C2"/>
    <mergeCell ref="E2:F2"/>
    <mergeCell ref="G2:H2"/>
    <mergeCell ref="A4:D4"/>
    <mergeCell ref="G3:H3"/>
    <mergeCell ref="F4:G4"/>
    <mergeCell ref="B3:C3"/>
    <mergeCell ref="A13:C13"/>
    <mergeCell ref="G13:H13"/>
    <mergeCell ref="F7:G7"/>
    <mergeCell ref="A11:D11"/>
    <mergeCell ref="A10:D10"/>
    <mergeCell ref="F10:H10"/>
    <mergeCell ref="Q16:Q21"/>
    <mergeCell ref="CQ17:CQ20"/>
    <mergeCell ref="BM16:BM17"/>
    <mergeCell ref="A5:D5"/>
    <mergeCell ref="W16:AK16"/>
    <mergeCell ref="S17:AK17"/>
    <mergeCell ref="C16:C21"/>
    <mergeCell ref="F16:F21"/>
    <mergeCell ref="J17:J21"/>
    <mergeCell ref="L17:L21"/>
    <mergeCell ref="K17:K21"/>
    <mergeCell ref="F6:G6"/>
    <mergeCell ref="J7:L7"/>
    <mergeCell ref="F5:G5"/>
    <mergeCell ref="J6:L6"/>
    <mergeCell ref="A6:D6"/>
    <mergeCell ref="BN16:BP17"/>
    <mergeCell ref="BR16:BT17"/>
    <mergeCell ref="BV16:BX17"/>
    <mergeCell ref="CU5:CU21"/>
    <mergeCell ref="J12:U12"/>
    <mergeCell ref="AW18:AW21"/>
    <mergeCell ref="AU18:AU21"/>
    <mergeCell ref="AQ16:AU16"/>
    <mergeCell ref="AQ17:AU17"/>
    <mergeCell ref="AL16:AP16"/>
    <mergeCell ref="AL17:AP17"/>
    <mergeCell ref="J15:M15"/>
    <mergeCell ref="J16:M16"/>
    <mergeCell ref="M17:M21"/>
    <mergeCell ref="S16:U16"/>
    <mergeCell ref="R16:R21"/>
  </mergeCells>
  <phoneticPr fontId="0" type="noConversion"/>
  <conditionalFormatting sqref="M3">
    <cfRule type="expression" dxfId="147" priority="363" stopIfTrue="1">
      <formula>IF(H10="",1,0)</formula>
    </cfRule>
    <cfRule type="expression" dxfId="146" priority="364" stopIfTrue="1">
      <formula>IF(H10&gt;0,1,0)</formula>
    </cfRule>
  </conditionalFormatting>
  <conditionalFormatting sqref="M4">
    <cfRule type="expression" dxfId="145" priority="365" stopIfTrue="1">
      <formula>IF(H11="",1,0)</formula>
    </cfRule>
    <cfRule type="expression" dxfId="144" priority="366" stopIfTrue="1">
      <formula>IF(H11&gt;0,1,0)</formula>
    </cfRule>
  </conditionalFormatting>
  <conditionalFormatting sqref="N3">
    <cfRule type="expression" dxfId="143" priority="367" stopIfTrue="1">
      <formula>IF(E10="",1,0)</formula>
    </cfRule>
    <cfRule type="expression" dxfId="142" priority="368" stopIfTrue="1">
      <formula>IF(E10&gt;0,1,0)</formula>
    </cfRule>
  </conditionalFormatting>
  <conditionalFormatting sqref="N4">
    <cfRule type="expression" dxfId="141" priority="369" stopIfTrue="1">
      <formula>IF(E11="",1,0)</formula>
    </cfRule>
    <cfRule type="expression" dxfId="140" priority="370" stopIfTrue="1">
      <formula>IF(E11&gt;0,1,0)</formula>
    </cfRule>
  </conditionalFormatting>
  <conditionalFormatting sqref="J3:L3">
    <cfRule type="expression" dxfId="139" priority="371" stopIfTrue="1">
      <formula>IF(E10="",1,0)</formula>
    </cfRule>
    <cfRule type="expression" dxfId="138" priority="372" stopIfTrue="1">
      <formula>IF(E10&gt;0,1,0)</formula>
    </cfRule>
  </conditionalFormatting>
  <conditionalFormatting sqref="J4:L4">
    <cfRule type="expression" dxfId="137" priority="373" stopIfTrue="1">
      <formula>IF(E11="",1,0)</formula>
    </cfRule>
    <cfRule type="expression" dxfId="136" priority="374" stopIfTrue="1">
      <formula>IF(E11&gt;0,1,0)</formula>
    </cfRule>
  </conditionalFormatting>
  <conditionalFormatting sqref="R23:R272">
    <cfRule type="expression" dxfId="135" priority="375" stopIfTrue="1">
      <formula>IF(Q23="",1,0)</formula>
    </cfRule>
    <cfRule type="expression" dxfId="134" priority="376" stopIfTrue="1">
      <formula>IF(Q23="Y",1,0)</formula>
    </cfRule>
  </conditionalFormatting>
  <conditionalFormatting sqref="C23:C272">
    <cfRule type="expression" dxfId="133" priority="377" stopIfTrue="1">
      <formula>IF($N$5="",1,0)</formula>
    </cfRule>
    <cfRule type="expression" dxfId="132" priority="378" stopIfTrue="1">
      <formula>IF($N$5="S",IF(I23&lt;&gt;"",IF(C23="",1,0),0),0)</formula>
    </cfRule>
    <cfRule type="expression" dxfId="131" priority="379" stopIfTrue="1">
      <formula>IF($N$5="C",IF(I23&lt;&gt;"",IF(C23="",1,0),0),0)</formula>
    </cfRule>
  </conditionalFormatting>
  <conditionalFormatting sqref="U8">
    <cfRule type="expression" dxfId="130" priority="380" stopIfTrue="1">
      <formula>IF(N5="R",0,1)</formula>
    </cfRule>
  </conditionalFormatting>
  <conditionalFormatting sqref="AZ23:BH272">
    <cfRule type="expression" dxfId="129" priority="381" stopIfTrue="1">
      <formula>IF($AY23="",1,0)</formula>
    </cfRule>
    <cfRule type="expression" dxfId="128" priority="382" stopIfTrue="1">
      <formula>IF($AY23="Y",1,0)</formula>
    </cfRule>
    <cfRule type="expression" dxfId="127" priority="383" stopIfTrue="1">
      <formula>IF($AY23="N",1,0)</formula>
    </cfRule>
  </conditionalFormatting>
  <conditionalFormatting sqref="S23:S272">
    <cfRule type="expression" dxfId="126" priority="384" stopIfTrue="1">
      <formula>IF(E$10="",1,0)</formula>
    </cfRule>
  </conditionalFormatting>
  <conditionalFormatting sqref="T23:T272">
    <cfRule type="expression" dxfId="125" priority="385" stopIfTrue="1">
      <formula>IF(E$10="",1,0)</formula>
    </cfRule>
  </conditionalFormatting>
  <conditionalFormatting sqref="V23:V272">
    <cfRule type="expression" dxfId="124" priority="386" stopIfTrue="1">
      <formula>IF(E$11="",1,0)</formula>
    </cfRule>
  </conditionalFormatting>
  <conditionalFormatting sqref="U23:U272">
    <cfRule type="expression" dxfId="123" priority="387" stopIfTrue="1">
      <formula>IF(E$11="",1,0)</formula>
    </cfRule>
  </conditionalFormatting>
  <conditionalFormatting sqref="K23:K272">
    <cfRule type="expression" dxfId="122" priority="388" stopIfTrue="1">
      <formula>IF(J23="A",1,0)</formula>
    </cfRule>
  </conditionalFormatting>
  <conditionalFormatting sqref="L23:M272">
    <cfRule type="expression" dxfId="121" priority="389" stopIfTrue="1">
      <formula>IF($N$3="D",1,0)</formula>
    </cfRule>
    <cfRule type="expression" dxfId="120" priority="390" stopIfTrue="1">
      <formula>IF($N$6="S",1,0)</formula>
    </cfRule>
  </conditionalFormatting>
  <conditionalFormatting sqref="J23:J272">
    <cfRule type="expression" dxfId="119" priority="391" stopIfTrue="1">
      <formula>IF($N$3="D",1,0)</formula>
    </cfRule>
    <cfRule type="expression" dxfId="118" priority="392" stopIfTrue="1">
      <formula>IF($N$6="S",1,0)</formula>
    </cfRule>
  </conditionalFormatting>
  <conditionalFormatting sqref="P23:P272">
    <cfRule type="expression" dxfId="117" priority="393" stopIfTrue="1">
      <formula>IF(C23="",1,0)</formula>
    </cfRule>
    <cfRule type="expression" dxfId="116" priority="394" stopIfTrue="1">
      <formula>IF(C23&lt;&gt;"C",1,0)</formula>
    </cfRule>
  </conditionalFormatting>
  <conditionalFormatting sqref="BL23">
    <cfRule type="expression" dxfId="115" priority="360">
      <formula>IF(BL23="",0,1)</formula>
    </cfRule>
    <cfRule type="expression" dxfId="114" priority="361" stopIfTrue="1">
      <formula>IF(B23="",0,1)</formula>
    </cfRule>
  </conditionalFormatting>
  <conditionalFormatting sqref="BM23">
    <cfRule type="expression" dxfId="113" priority="352" stopIfTrue="1">
      <formula>IF(BM23="",0,1)</formula>
    </cfRule>
    <cfRule type="expression" dxfId="112" priority="353" stopIfTrue="1">
      <formula>IF(B23="",0,1)</formula>
    </cfRule>
  </conditionalFormatting>
  <conditionalFormatting sqref="BZ24:CI24">
    <cfRule type="expression" dxfId="111" priority="332">
      <formula>IF(BZ24="",0,1)</formula>
    </cfRule>
    <cfRule type="expression" dxfId="110" priority="333" stopIfTrue="1">
      <formula>IF(M24="",0,1)</formula>
    </cfRule>
  </conditionalFormatting>
  <conditionalFormatting sqref="BZ25:CI272">
    <cfRule type="expression" dxfId="109" priority="330">
      <formula>IF(BZ25="",0,1)</formula>
    </cfRule>
    <cfRule type="expression" dxfId="108" priority="331" stopIfTrue="1">
      <formula>IF(M25="",0,1)</formula>
    </cfRule>
  </conditionalFormatting>
  <conditionalFormatting sqref="BY23:CI23">
    <cfRule type="expression" dxfId="107" priority="328">
      <formula>IF(BY23="",0,1)</formula>
    </cfRule>
    <cfRule type="expression" dxfId="106" priority="329" stopIfTrue="1">
      <formula>IF(L23="",0,1)</formula>
    </cfRule>
  </conditionalFormatting>
  <conditionalFormatting sqref="BM24">
    <cfRule type="expression" dxfId="105" priority="315" stopIfTrue="1">
      <formula>IF(BM24="",0,1)</formula>
    </cfRule>
    <cfRule type="expression" dxfId="104" priority="316" stopIfTrue="1">
      <formula>IF(B24="",0,1)</formula>
    </cfRule>
  </conditionalFormatting>
  <conditionalFormatting sqref="BL24">
    <cfRule type="expression" dxfId="103" priority="309">
      <formula>IF(BL24="",0,1)</formula>
    </cfRule>
    <cfRule type="expression" dxfId="102" priority="310" stopIfTrue="1">
      <formula>IF(B24="",0,1)</formula>
    </cfRule>
  </conditionalFormatting>
  <conditionalFormatting sqref="BL25:BL272">
    <cfRule type="expression" dxfId="101" priority="297">
      <formula>IF(BL25="",0,1)</formula>
    </cfRule>
    <cfRule type="expression" dxfId="100" priority="298" stopIfTrue="1">
      <formula>IF(B25="",0,1)</formula>
    </cfRule>
  </conditionalFormatting>
  <conditionalFormatting sqref="BQ23">
    <cfRule type="expression" dxfId="99" priority="279" stopIfTrue="1">
      <formula>IF(BQ23="",0,1)</formula>
    </cfRule>
    <cfRule type="expression" dxfId="98" priority="280" stopIfTrue="1">
      <formula>IF(B23="",0,1)</formula>
    </cfRule>
  </conditionalFormatting>
  <conditionalFormatting sqref="BM25:BM272">
    <cfRule type="expression" dxfId="97" priority="229" stopIfTrue="1">
      <formula>IF(BM25="",0,1)</formula>
    </cfRule>
    <cfRule type="expression" dxfId="96" priority="230" stopIfTrue="1">
      <formula>IF(B25="",0,1)</formula>
    </cfRule>
  </conditionalFormatting>
  <conditionalFormatting sqref="BR24">
    <cfRule type="expression" dxfId="95" priority="221">
      <formula>IF(BR24="",0,1)</formula>
    </cfRule>
    <cfRule type="expression" dxfId="94" priority="222">
      <formula>IF(BQ24="",1,O)</formula>
    </cfRule>
    <cfRule type="expression" dxfId="93" priority="223">
      <formula>IF(BQ24="YES",1,0)</formula>
    </cfRule>
  </conditionalFormatting>
  <conditionalFormatting sqref="BR25:BR272">
    <cfRule type="expression" dxfId="92" priority="218">
      <formula>IF(BR25="",0,1)</formula>
    </cfRule>
    <cfRule type="expression" dxfId="91" priority="219">
      <formula>IF(BQ25="",1,O)</formula>
    </cfRule>
    <cfRule type="expression" dxfId="90" priority="220">
      <formula>IF(BQ25="YES",1,0)</formula>
    </cfRule>
  </conditionalFormatting>
  <conditionalFormatting sqref="BQ24">
    <cfRule type="expression" dxfId="89" priority="214" stopIfTrue="1">
      <formula>IF(BQ24="",0,1)</formula>
    </cfRule>
    <cfRule type="expression" dxfId="88" priority="215" stopIfTrue="1">
      <formula>IF(B24="",0,1)</formula>
    </cfRule>
  </conditionalFormatting>
  <conditionalFormatting sqref="BQ25:BQ272">
    <cfRule type="expression" dxfId="87" priority="212" stopIfTrue="1">
      <formula>IF(BQ25="",0,1)</formula>
    </cfRule>
    <cfRule type="expression" dxfId="86" priority="213" stopIfTrue="1">
      <formula>IF(B25="",0,1)</formula>
    </cfRule>
  </conditionalFormatting>
  <conditionalFormatting sqref="BT23">
    <cfRule type="expression" dxfId="85" priority="200">
      <formula>IF(BT23="",0,1)</formula>
    </cfRule>
    <cfRule type="expression" dxfId="84" priority="201">
      <formula>IF(BQ23="",1,O)</formula>
    </cfRule>
    <cfRule type="expression" dxfId="83" priority="202">
      <formula>IF(BQ23="YES",1,0)</formula>
    </cfRule>
  </conditionalFormatting>
  <conditionalFormatting sqref="BT24">
    <cfRule type="expression" dxfId="82" priority="194">
      <formula>IF(BT24="",0,1)</formula>
    </cfRule>
    <cfRule type="expression" dxfId="81" priority="195">
      <formula>IF(BQ24="",1,O)</formula>
    </cfRule>
    <cfRule type="expression" dxfId="80" priority="196">
      <formula>IF(BQ24="YES",1,0)</formula>
    </cfRule>
  </conditionalFormatting>
  <conditionalFormatting sqref="BU23">
    <cfRule type="expression" dxfId="79" priority="187" stopIfTrue="1">
      <formula>IF(BU23="",0,1)</formula>
    </cfRule>
    <cfRule type="expression" dxfId="78" priority="188" stopIfTrue="1">
      <formula>IF(B23="",0,1)</formula>
    </cfRule>
  </conditionalFormatting>
  <conditionalFormatting sqref="BU24">
    <cfRule type="expression" dxfId="77" priority="183" stopIfTrue="1">
      <formula>IF(BU24="",0,1)</formula>
    </cfRule>
    <cfRule type="expression" dxfId="76" priority="184" stopIfTrue="1">
      <formula>IF(B24="",0,1)</formula>
    </cfRule>
  </conditionalFormatting>
  <conditionalFormatting sqref="BU25:BU272">
    <cfRule type="expression" dxfId="75" priority="181" stopIfTrue="1">
      <formula>IF(BU25="",0,1)</formula>
    </cfRule>
    <cfRule type="expression" dxfId="74" priority="182" stopIfTrue="1">
      <formula>IF(B25="",0,1)</formula>
    </cfRule>
  </conditionalFormatting>
  <conditionalFormatting sqref="BX23">
    <cfRule type="expression" dxfId="73" priority="82">
      <formula>IF(BX23="",0,1)</formula>
    </cfRule>
    <cfRule type="expression" dxfId="72" priority="83">
      <formula>IF(BU23="",1,O)</formula>
    </cfRule>
    <cfRule type="expression" dxfId="71" priority="84">
      <formula>IF(BU23="YES",1,0)</formula>
    </cfRule>
  </conditionalFormatting>
  <conditionalFormatting sqref="BT25:BT272">
    <cfRule type="expression" dxfId="70" priority="133">
      <formula>IF(BT25="",0,1)</formula>
    </cfRule>
    <cfRule type="expression" dxfId="69" priority="134">
      <formula>IF(BQ25="",1,O)</formula>
    </cfRule>
    <cfRule type="expression" dxfId="68" priority="135">
      <formula>IF(BQ25="YES",1,0)</formula>
    </cfRule>
  </conditionalFormatting>
  <conditionalFormatting sqref="BY25:BY272">
    <cfRule type="expression" dxfId="67" priority="121">
      <formula>IF(BY25="",0,1)</formula>
    </cfRule>
    <cfRule type="expression" dxfId="66" priority="122" stopIfTrue="1">
      <formula>IF(L25="",0,1)</formula>
    </cfRule>
  </conditionalFormatting>
  <conditionalFormatting sqref="BY24">
    <cfRule type="expression" dxfId="65" priority="123">
      <formula>IF(BY24="",0,1)</formula>
    </cfRule>
    <cfRule type="expression" dxfId="64" priority="124" stopIfTrue="1">
      <formula>IF(L24="",0,1)</formula>
    </cfRule>
  </conditionalFormatting>
  <conditionalFormatting sqref="BR23">
    <cfRule type="expression" dxfId="63" priority="237">
      <formula>IF(BR23="",0,1)</formula>
    </cfRule>
    <cfRule type="expression" dxfId="62" priority="238">
      <formula>IF(BQ23="",1,O)</formula>
    </cfRule>
    <cfRule type="expression" dxfId="61" priority="239">
      <formula>IF(BQ23="YES",1,0)</formula>
    </cfRule>
  </conditionalFormatting>
  <conditionalFormatting sqref="BS23">
    <cfRule type="expression" dxfId="60" priority="100">
      <formula>IF(BS23="",0,1)</formula>
    </cfRule>
    <cfRule type="expression" dxfId="59" priority="101">
      <formula>IF(BQ23="",1,O)</formula>
    </cfRule>
    <cfRule type="expression" dxfId="58" priority="102">
      <formula>IF(BQ23="YES",1,0)</formula>
    </cfRule>
  </conditionalFormatting>
  <conditionalFormatting sqref="BS24">
    <cfRule type="expression" dxfId="57" priority="91">
      <formula>IF(BS24="",0,1)</formula>
    </cfRule>
    <cfRule type="expression" dxfId="56" priority="92">
      <formula>IF(BQ24="",1,O)</formula>
    </cfRule>
    <cfRule type="expression" dxfId="55" priority="93">
      <formula>IF(BQ24="YES",1,0)</formula>
    </cfRule>
  </conditionalFormatting>
  <conditionalFormatting sqref="BS25:BS272">
    <cfRule type="expression" dxfId="54" priority="88">
      <formula>IF(BS25="",0,1)</formula>
    </cfRule>
    <cfRule type="expression" dxfId="53" priority="89">
      <formula>IF(BQ25="",1,O)</formula>
    </cfRule>
    <cfRule type="expression" dxfId="52" priority="90">
      <formula>IF(BQ25="YES",1,0)</formula>
    </cfRule>
  </conditionalFormatting>
  <conditionalFormatting sqref="BV23">
    <cfRule type="expression" dxfId="51" priority="85">
      <formula>IF(BV23="",0,1)</formula>
    </cfRule>
    <cfRule type="expression" dxfId="50" priority="86">
      <formula>IF(BU23="",1,O)</formula>
    </cfRule>
    <cfRule type="expression" dxfId="49" priority="87">
      <formula>IF(BU23="YES",1,0)</formula>
    </cfRule>
  </conditionalFormatting>
  <conditionalFormatting sqref="BW23">
    <cfRule type="expression" dxfId="48" priority="79">
      <formula>IF(BW23="",0,1)</formula>
    </cfRule>
    <cfRule type="expression" dxfId="47" priority="80">
      <formula>IF(BU23="",1,O)</formula>
    </cfRule>
    <cfRule type="expression" dxfId="46" priority="81">
      <formula>IF(BU23="YES",1,0)</formula>
    </cfRule>
  </conditionalFormatting>
  <conditionalFormatting sqref="BP25:BP272">
    <cfRule type="expression" dxfId="45" priority="7">
      <formula>IF(BP25="",0,1)</formula>
    </cfRule>
    <cfRule type="expression" dxfId="44" priority="8">
      <formula>IF(BM25="",1,O)</formula>
    </cfRule>
    <cfRule type="expression" dxfId="43" priority="9">
      <formula>IF(BM25="YES",1,0)</formula>
    </cfRule>
  </conditionalFormatting>
  <conditionalFormatting sqref="BO25:BO272">
    <cfRule type="expression" dxfId="42" priority="4">
      <formula>IF(BO25="",0,1)</formula>
    </cfRule>
    <cfRule type="expression" dxfId="41" priority="5">
      <formula>IF(BM25="",1,O)</formula>
    </cfRule>
    <cfRule type="expression" dxfId="40" priority="6">
      <formula>IF(BM25="YES",1,0)</formula>
    </cfRule>
  </conditionalFormatting>
  <conditionalFormatting sqref="BX24">
    <cfRule type="expression" dxfId="39" priority="64">
      <formula>IF(BX24="",0,1)</formula>
    </cfRule>
    <cfRule type="expression" dxfId="38" priority="65">
      <formula>IF(BU24="",1,O)</formula>
    </cfRule>
    <cfRule type="expression" dxfId="37" priority="66">
      <formula>IF(BU24="YES",1,0)</formula>
    </cfRule>
  </conditionalFormatting>
  <conditionalFormatting sqref="BV24">
    <cfRule type="expression" dxfId="36" priority="67">
      <formula>IF(BV24="",0,1)</formula>
    </cfRule>
    <cfRule type="expression" dxfId="35" priority="68">
      <formula>IF(BU24="",1,O)</formula>
    </cfRule>
    <cfRule type="expression" dxfId="34" priority="69">
      <formula>IF(BU24="YES",1,0)</formula>
    </cfRule>
  </conditionalFormatting>
  <conditionalFormatting sqref="BW24">
    <cfRule type="expression" dxfId="33" priority="61">
      <formula>IF(BW24="",0,1)</formula>
    </cfRule>
    <cfRule type="expression" dxfId="32" priority="62">
      <formula>IF(BU24="",1,O)</formula>
    </cfRule>
    <cfRule type="expression" dxfId="31" priority="63">
      <formula>IF(BU24="YES",1,0)</formula>
    </cfRule>
  </conditionalFormatting>
  <conditionalFormatting sqref="BV25:BV272">
    <cfRule type="expression" dxfId="30" priority="49">
      <formula>IF(BV25="",0,1)</formula>
    </cfRule>
    <cfRule type="expression" dxfId="29" priority="50">
      <formula>IF(BU25="",1,O)</formula>
    </cfRule>
    <cfRule type="expression" dxfId="28" priority="51">
      <formula>IF(BU25="YES",1,0)</formula>
    </cfRule>
  </conditionalFormatting>
  <conditionalFormatting sqref="BW25:BW272">
    <cfRule type="expression" dxfId="27" priority="43">
      <formula>IF(BW25="",0,1)</formula>
    </cfRule>
    <cfRule type="expression" dxfId="26" priority="44">
      <formula>IF(BU25="",1,O)</formula>
    </cfRule>
    <cfRule type="expression" dxfId="25" priority="45">
      <formula>IF(BU25="YES",1,0)</formula>
    </cfRule>
  </conditionalFormatting>
  <conditionalFormatting sqref="BX25:BX272">
    <cfRule type="expression" dxfId="24" priority="40">
      <formula>IF(BX25="",0,1)</formula>
    </cfRule>
    <cfRule type="expression" dxfId="23" priority="41">
      <formula>IF(BU25="",1,O)</formula>
    </cfRule>
    <cfRule type="expression" dxfId="22" priority="42">
      <formula>IF(BU25="YES",1,0)</formula>
    </cfRule>
  </conditionalFormatting>
  <conditionalFormatting sqref="BN23">
    <cfRule type="expression" dxfId="21" priority="37">
      <formula>IF(BN23="",0,1)</formula>
    </cfRule>
    <cfRule type="expression" dxfId="20" priority="38">
      <formula>IF(BM23="",1,O)</formula>
    </cfRule>
    <cfRule type="expression" dxfId="19" priority="39">
      <formula>IF(BM23="YES",1,0)</formula>
    </cfRule>
  </conditionalFormatting>
  <conditionalFormatting sqref="BP23">
    <cfRule type="expression" dxfId="18" priority="34">
      <formula>IF(BP23="",0,1)</formula>
    </cfRule>
    <cfRule type="expression" dxfId="17" priority="35">
      <formula>IF(BM23="",1,O)</formula>
    </cfRule>
    <cfRule type="expression" dxfId="16" priority="36">
      <formula>IF(BM23="YES",1,0)</formula>
    </cfRule>
  </conditionalFormatting>
  <conditionalFormatting sqref="BO23">
    <cfRule type="expression" dxfId="15" priority="31">
      <formula>IF(BO23="",0,1)</formula>
    </cfRule>
    <cfRule type="expression" dxfId="14" priority="32">
      <formula>IF(BM23="",1,O)</formula>
    </cfRule>
    <cfRule type="expression" dxfId="13" priority="33">
      <formula>IF(BM23="YES",1,0)</formula>
    </cfRule>
  </conditionalFormatting>
  <conditionalFormatting sqref="BN24">
    <cfRule type="expression" dxfId="12" priority="19">
      <formula>IF(BN24="",0,1)</formula>
    </cfRule>
    <cfRule type="expression" dxfId="11" priority="20">
      <formula>IF(BM24="",1,O)</formula>
    </cfRule>
    <cfRule type="expression" dxfId="10" priority="21">
      <formula>IF(BM24="YES",1,0)</formula>
    </cfRule>
  </conditionalFormatting>
  <conditionalFormatting sqref="BP24">
    <cfRule type="expression" dxfId="9" priority="16">
      <formula>IF(BP24="",0,1)</formula>
    </cfRule>
    <cfRule type="expression" dxfId="8" priority="17">
      <formula>IF(BM24="",1,O)</formula>
    </cfRule>
    <cfRule type="expression" dxfId="7" priority="18">
      <formula>IF(BM24="YES",1,0)</formula>
    </cfRule>
  </conditionalFormatting>
  <conditionalFormatting sqref="BO24">
    <cfRule type="expression" dxfId="6" priority="13">
      <formula>IF(BO24="",0,1)</formula>
    </cfRule>
    <cfRule type="expression" dxfId="5" priority="14">
      <formula>IF(BM24="",1,O)</formula>
    </cfRule>
    <cfRule type="expression" dxfId="4" priority="15">
      <formula>IF(BM24="YES",1,0)</formula>
    </cfRule>
  </conditionalFormatting>
  <conditionalFormatting sqref="BN25:BN272">
    <cfRule type="expression" dxfId="3" priority="1">
      <formula>IF(BN25="",0,1)</formula>
    </cfRule>
    <cfRule type="expression" dxfId="2" priority="2">
      <formula>IF(BM25="",1,O)</formula>
    </cfRule>
    <cfRule type="expression" dxfId="1" priority="3">
      <formula>IF(BM25="YES",1,0)</formula>
    </cfRule>
  </conditionalFormatting>
  <dataValidations xWindow="1005" yWindow="325" count="150">
    <dataValidation type="decimal" operator="greaterThanOrEqual" showInputMessage="1" showErrorMessage="1" errorTitle="CANADA Retail in EACHES" error="CANADA Retail has to be greater." promptTitle="CANADA Retail in EACHES" prompt="Please enter the CANADIAN ZONE RETAIL in Canadian currency for this item in eaches according to the Canadian GRID." sqref="AA23">
      <formula1>IF(U23="",IF(S23="",W23,S23),U23)</formula1>
    </dataValidation>
    <dataValidation type="whole" operator="lessThanOrEqual" allowBlank="1" showInputMessage="1" showErrorMessage="1" errorTitle="Inner Pack Qty" error="Inner pack cannot be greater than your Master case pack value." promptTitle="Inner Pack Qty" prompt="Enter the Number of eaches in the INNER PACK.  This must be multiple of the the Master Case Pack." sqref="O23">
      <formula1>N23</formula1>
    </dataValidation>
    <dataValidation type="decimal" operator="greaterThanOrEqual" allowBlank="1" showInputMessage="1" showErrorMessage="1" errorTitle="BASE 1 Retail in EACHES" error="This amount has to be greater than cost._x000a_" promptTitle="BASE 1 Retail in EACHES" prompt="Please enter the RETAIL in US Currency for this item in eaches." sqref="W23">
      <formula1>S23</formula1>
    </dataValidation>
    <dataValidation type="decimal" operator="greaterThanOrEqual" allowBlank="1" showInputMessage="1" showErrorMessage="1" errorTitle="BASE 2 Retail in EACHES" error="This amount has to be greater than cost._x000a_" promptTitle="BASE 2 Retail in EACHES" prompt="Please enter the RETAIL in US Currency for this item in eaches." sqref="X23">
      <formula1>S23</formula1>
    </dataValidation>
    <dataValidation type="decimal" operator="greaterThanOrEqual" allowBlank="1" showInputMessage="1" showErrorMessage="1" errorTitle=" TEST Retail in EACHES" error="This amount has to be greater than cost._x000a_" promptTitle=" TEST Retail in EACHES" prompt="Please enter the in US Currency for this item in eaches." sqref="Y23">
      <formula1>S23</formula1>
    </dataValidation>
    <dataValidation type="decimal" operator="greaterThanOrEqual" allowBlank="1" showInputMessage="1" showErrorMessage="1" errorTitle="HIGH 2 Retail in EACHES" error="This amount has to be greater than cost._x000a_" promptTitle="HIGH 2 Retail in EACHES" prompt="Please enter the RETAIL in US Currency for this item in eaches." sqref="AB23">
      <formula1>S23</formula1>
    </dataValidation>
    <dataValidation type="decimal" operator="greaterThanOrEqual" allowBlank="1" showInputMessage="1" showErrorMessage="1" errorTitle="SMALL MARKET Retail in EACHES" error="This amount has to be greater than cost._x000a_" promptTitle="SMALL MARKET Retail in EACHES" prompt="Please enter the RETAIL in US Currency for this item in eaches." sqref="AD23">
      <formula1>S23</formula1>
    </dataValidation>
    <dataValidation type="decimal" operator="greaterThanOrEqual" allowBlank="1" showInputMessage="1" showErrorMessage="1" errorTitle="MANHATTAN Retail in EACHES" error="This amount has to be greater than cost._x000a_" promptTitle="MANHATTAN Retail in EACHES" prompt="Please enter the RETAIL in US Currency for this item in eaches." sqref="AI23">
      <formula1>Q23</formula1>
    </dataValidation>
    <dataValidation type="decimal" operator="greaterThanOrEqual" allowBlank="1" showInputMessage="1" showErrorMessage="1" errorTitle=" ALASKA Retail in EACHES" error="This amount has to be greater than cost._x000a_" promptTitle=" ALASKA Retail in EACHES" prompt="Please enter the ALASKA ZONE RETAIL in US Currency for this item in eaches." sqref="Z23">
      <formula1>S23</formula1>
    </dataValidation>
    <dataValidation type="date" operator="greaterThanOrEqual" allowBlank="1" showInputMessage="1" showErrorMessage="1" errorTitle="CONVERSION DATE" error="Must be a DATE greater than NOW + 14." promptTitle="CONVERSION DATE" prompt="TODAYS DATE PLUS 14 DAYS PLUS LEAD TIME." sqref="M23">
      <formula1>TODAY()+L23+14</formula1>
    </dataValidation>
    <dataValidation type="decimal" operator="greaterThanOrEqual" allowBlank="1" showInputMessage="1" showErrorMessage="1" errorTitle="LOW 1 Retail in EACHES" error="This amount has to be greater than cost._x000a_" promptTitle="LOW 1 Retail in EACHES" prompt="Please enter the RETAIL in US Currency for this item in eaches." sqref="AG23">
      <formula1>S23</formula1>
    </dataValidation>
    <dataValidation type="decimal" operator="greaterThanOrEqual" allowBlank="1" showInputMessage="1" showErrorMessage="1" errorTitle="BASE 3 Retail in EACHES" error="This amount has to be greater than cost._x000a_" promptTitle="BASE 3 Retail in EACHES" prompt="Please enter the RETAIL in US Currency for this item in eaches." sqref="AF23">
      <formula1>S23</formula1>
    </dataValidation>
    <dataValidation type="decimal" operator="greaterThanOrEqual" allowBlank="1" showInputMessage="1" showErrorMessage="1" errorTitle="HIGH 1 Retail in EACHES" error="This amount has to be greater than cost._x000a_" promptTitle="HIGH 1 Retail in EACHES" prompt="Please enter the RETAIL in US Currency for this item in eaches." sqref="AE23">
      <formula1>S23</formula1>
    </dataValidation>
    <dataValidation type="decimal" operator="greaterThanOrEqual" allowBlank="1" showInputMessage="1" showErrorMessage="1" errorTitle="HIGH 3 Retail in EACHES" error="This amount has to be greater than cost._x000a_" promptTitle="HIGH 3 Retail in EACHES" prompt="Please enter the RETAIL in US Currency for this item in eaches." sqref="AC23">
      <formula1>S23</formula1>
    </dataValidation>
    <dataValidation type="date" operator="greaterThanOrEqual" allowBlank="1" showErrorMessage="1" errorTitle="CONVERSION DATE" error="Must be a DATE greater than NOW + 14." promptTitle="CONVERSION DATE" prompt="TODAYS DATE PLUS 14 DAYS PLUS LEAD TIME." sqref="M24:M272">
      <formula1>TODAY()+L24+14</formula1>
    </dataValidation>
    <dataValidation type="whole" operator="lessThanOrEqual" allowBlank="1" showErrorMessage="1" errorTitle="Inner Pack Qty" error="Inner pack cannot be greater than your Master case pack value." promptTitle="Inner Pack Qty" prompt="Enter the Number of eaches in the INNER PACK.  This must be multiple of the the Master Case Pack." sqref="O24:O272">
      <formula1>N24</formula1>
    </dataValidation>
    <dataValidation type="decimal" operator="greaterThanOrEqual" allowBlank="1" showErrorMessage="1" errorTitle="BASE 1 Retail in EACHES" error="This amount has to be greater than cost._x000a_" promptTitle="BASE 1 Retail in EACHES" prompt="Please enter the RETAIL in US Currency for this item in eaches." sqref="W24:W272">
      <formula1>S24</formula1>
    </dataValidation>
    <dataValidation type="decimal" operator="greaterThanOrEqual" allowBlank="1" showErrorMessage="1" errorTitle="BASE 2 Retail in EACHES" error="This amount has to be greater than cost._x000a_" promptTitle="BASE 2 Retail in EACHES" prompt="Please enter the RETAIL in US Currency for this item in eaches." sqref="X24:X272">
      <formula1>S24</formula1>
    </dataValidation>
    <dataValidation type="decimal" operator="greaterThanOrEqual" allowBlank="1" showErrorMessage="1" errorTitle=" TEST Retail in EACHES" error="This amount has to be greater than cost._x000a_" promptTitle=" TEST Retail in EACHES" prompt="Please enter the in US Currency for this item in eaches." sqref="Y24:Y272">
      <formula1>S24</formula1>
    </dataValidation>
    <dataValidation type="decimal" operator="greaterThanOrEqual" allowBlank="1" showErrorMessage="1" errorTitle=" ALASKA Retail in EACHES" error="This amount has to be greater than cost._x000a_" promptTitle=" ALASKA Retail in EACHES" prompt="Please enter the ALASKA ZONE RETAIL in US Currency for this item in eaches." sqref="Z24:Z272">
      <formula1>S24</formula1>
    </dataValidation>
    <dataValidation type="decimal" operator="greaterThanOrEqual" showErrorMessage="1" errorTitle="CANADA Retail in EACHES" error="CANADA Retail has to be greater." promptTitle="CANADA Retail in EACHES" prompt="Please enter the CANADIAN ZONE RETAIL in Canadian currency for this item in eaches according to the Canadian GRID." sqref="AA24:AA272">
      <formula1>IF(U24="",IF(S24="",W24,S24),U24)</formula1>
    </dataValidation>
    <dataValidation type="decimal" operator="greaterThanOrEqual" allowBlank="1" showErrorMessage="1" errorTitle="HIGH 2 Retail in EACHES" error="This amount has to be greater than cost._x000a_" promptTitle="HIGH 2 Retail in EACHES" prompt="Please enter the RETAIL in US Currency for this item in eaches." sqref="AB24:AB272">
      <formula1>S24</formula1>
    </dataValidation>
    <dataValidation type="decimal" operator="greaterThanOrEqual" allowBlank="1" showErrorMessage="1" errorTitle="HIGH 3 Retail in EACHES" error="This amount has to be greater than cost._x000a_" promptTitle="HIGH 3 Retail in EACHES" prompt="Please enter the RETAIL in US Currency for this item in eaches." sqref="AC24:AC272">
      <formula1>S24</formula1>
    </dataValidation>
    <dataValidation type="decimal" operator="greaterThanOrEqual" allowBlank="1" showErrorMessage="1" errorTitle="SMALL MARKET Retail in EACHES" error="This amount has to be greater than cost._x000a_" promptTitle="SMALL MARKET Retail in EACHES" prompt="Please enter the RETAIL in US Currency for this item in eaches." sqref="AD24:AD272">
      <formula1>S24</formula1>
    </dataValidation>
    <dataValidation type="decimal" operator="greaterThanOrEqual" allowBlank="1" showErrorMessage="1" errorTitle="HIGH 1 Retail in EACHES" error="This amount has to be greater than cost._x000a_" promptTitle="HIGH 1 Retail in EACHES" prompt="Please enter the RETAIL in US Currency for this item in eaches." sqref="AE24:AE272">
      <formula1>S24</formula1>
    </dataValidation>
    <dataValidation type="decimal" operator="greaterThanOrEqual" allowBlank="1" showErrorMessage="1" errorTitle="BASE 3 Retail in EACHES" error="This amount has to be greater than cost._x000a_" promptTitle="BASE 3 Retail in EACHES" prompt="Please enter the RETAIL in US Currency for this item in eaches." sqref="AF24:AF272">
      <formula1>S24</formula1>
    </dataValidation>
    <dataValidation type="decimal" operator="greaterThanOrEqual" allowBlank="1" showErrorMessage="1" errorTitle="LOW 1 Retail in EACHES" error="This amount has to be greater than cost._x000a_" promptTitle="LOW 1 Retail in EACHES" prompt="Please enter the RETAIL in US Currency for this item in eaches." sqref="AG24:AG272">
      <formula1>S24</formula1>
    </dataValidation>
    <dataValidation type="decimal" operator="greaterThanOrEqual" allowBlank="1" showErrorMessage="1" errorTitle="MANHATTAN Retail in EACHES" error="This amount has to be greater than cost._x000a_" promptTitle="MANHATTAN Retail in EACHES" prompt="Please enter the RETAIL in US Currency for this item in eaches." sqref="AI24:AI272">
      <formula1>Q24</formula1>
    </dataValidation>
    <dataValidation type="list" showDropDown="1" showInputMessage="1" showErrorMessage="1" errorTitle="HAZARDOUS" error="Enter the correct letter._x000a_Enter &quot;Y&quot; for Yes or &quot;N&quot; for No._x000a_Use UPPER case letters" promptTitle="HAZARDOUS" prompt="If the item is HAZARDOUS, you must answer this question as &quot;Y&quot; for YES; otherwise enter &quot;N&quot; for NO. If item is HAZARDOUS you must fill out the HAZARDOUS MATERIAL columns 41-49 and also Upload the PDF verison of your MSDS file before Sku's can be assigned." sqref="AY23">
      <formula1>"Y,N"</formula1>
    </dataValidation>
    <dataValidation type="decimal" operator="greaterThan" allowBlank="1" showInputMessage="1" promptTitle="Inner Case Pack Height" prompt="Enter the Inner Case Pack Height in inches." sqref="AL23">
      <formula1>0</formula1>
    </dataValidation>
    <dataValidation type="decimal" operator="greaterThan" allowBlank="1" showInputMessage="1" promptTitle="Inner Case Pack Width" prompt="Enter the Inner Case Pack Width in inches." sqref="AM23">
      <formula1>0</formula1>
    </dataValidation>
    <dataValidation type="decimal" operator="greaterThan" allowBlank="1" showInputMessage="1" promptTitle="Inner Case Pack Length" prompt="Enter the Inner Case Pack Length in inches." sqref="AN23">
      <formula1>0</formula1>
    </dataValidation>
    <dataValidation type="decimal" operator="greaterThan" allowBlank="1" showInputMessage="1" promptTitle="Inner Case Pack Weight" prompt="Enter the Inner Case Pack Weight in pounds." sqref="AO23">
      <formula1>0</formula1>
    </dataValidation>
    <dataValidation type="decimal" operator="greaterThan" allowBlank="1" showInputMessage="1" promptTitle="Master Case Pack Length" prompt="Enter the Master Case Pack Length in inches." sqref="AS23">
      <formula1>0</formula1>
    </dataValidation>
    <dataValidation type="decimal" operator="greaterThan" allowBlank="1" showInputMessage="1" promptTitle="Master Case Pack Weight" prompt="Enter the Master Case Pack Weight in pounds." sqref="AT23">
      <formula1>0</formula1>
    </dataValidation>
    <dataValidation type="decimal" operator="greaterThan" allowBlank="1" showInputMessage="1" promptTitle="Master Case Pack Width" prompt="Enter the Master Case Pack Width in inches." sqref="AR23">
      <formula1>0</formula1>
    </dataValidation>
    <dataValidation type="decimal" operator="greaterThan" allowBlank="1" showInputMessage="1" promptTitle="Master Case Pack Height" prompt="Enter the Master Case Pack Height in inches." sqref="AQ23">
      <formula1>0</formula1>
    </dataValidation>
    <dataValidation type="decimal" operator="greaterThan" allowBlank="1" promptTitle="Inner Case Pack Height" prompt="Enter the Inner Case Pack Height in inches." sqref="AL24:AL272">
      <formula1>0</formula1>
    </dataValidation>
    <dataValidation type="decimal" operator="greaterThan" allowBlank="1" promptTitle="Inner Case Pack Width" prompt="Enter the Inner Case Pack Width in inches." sqref="AM24:AM272">
      <formula1>0</formula1>
    </dataValidation>
    <dataValidation type="decimal" operator="greaterThan" allowBlank="1" promptTitle="Inner Case Pack Length" prompt="Enter the Inner Case Pack Length in inches." sqref="AN24:AN272">
      <formula1>0</formula1>
    </dataValidation>
    <dataValidation type="decimal" operator="greaterThan" allowBlank="1" promptTitle="Inner Case Pack Weight" prompt="Enter the Inner Case Pack Weight in pounds." sqref="AO24:AO272">
      <formula1>0</formula1>
    </dataValidation>
    <dataValidation type="decimal" operator="greaterThan" allowBlank="1" promptTitle="Master Case Pack Height" prompt="Enter the Master Case Pack Height in inches." sqref="AQ24:AQ272">
      <formula1>0</formula1>
    </dataValidation>
    <dataValidation type="decimal" operator="greaterThan" allowBlank="1" promptTitle="Master Case Pack Width" prompt="Enter the Master Case Pack Width in inches." sqref="AR24:AR272">
      <formula1>0</formula1>
    </dataValidation>
    <dataValidation type="decimal" operator="greaterThan" allowBlank="1" promptTitle="Master Case Pack Length" prompt="Enter the Master Case Pack Length in inches." sqref="AS24:AS272">
      <formula1>0</formula1>
    </dataValidation>
    <dataValidation type="decimal" operator="greaterThan" allowBlank="1" promptTitle="Master Case Pack Weight" prompt="Enter the Master Case Pack Weight in pounds." sqref="AT24:AT272">
      <formula1>0</formula1>
    </dataValidation>
    <dataValidation allowBlank="1" showInputMessage="1" promptTitle="INNER CASE PACK CUBE" prompt="This is a calculated field.  Do not enter anything here._x000a_" sqref="AP23"/>
    <dataValidation allowBlank="1" showInputMessage="1" promptTitle="MASTER CASE PACK CUBE" prompt="This is a calculated field.  Do not enter anything here._x000a_" sqref="AU23"/>
    <dataValidation allowBlank="1" promptTitle="INNER CASE PACK CUBE" prompt="This is a calculated field.  Do not enter anything here._x000a_" sqref="AP24:AP272"/>
    <dataValidation allowBlank="1" promptTitle="MASTER CASE PACK CUBE" prompt="This is a calculated field.  Do not enter anything here._x000a_" sqref="AU24:AU272"/>
    <dataValidation allowBlank="1" sqref="BB8:BC8 BB6:BC6 BB4:BC4 V24:V272"/>
    <dataValidation type="textLength" allowBlank="1" showInputMessage="1" showErrorMessage="1" errorTitle="Manufacture City" error="Enter the City where these items were manufactured." promptTitle="Manufacture City" prompt="Enter the City where these items were manufactured." sqref="BE23">
      <formula1>0</formula1>
      <formula2>100</formula2>
    </dataValidation>
    <dataValidation type="textLength" allowBlank="1" showInputMessage="1" showErrorMessage="1" errorTitle="Manufacture Name" error="Enter the name of who manufactured these items." promptTitle="Manufacture Name" prompt="Enter the name of who manufactured these items." sqref="BD23">
      <formula1>0</formula1>
      <formula2>100</formula2>
    </dataValidation>
    <dataValidation type="list" showDropDown="1" showInputMessage="1" showErrorMessage="1" errorTitle="Flammable" error="Enter the first letter only - &quot;Y&quot; for YES or &quot;N&quot; for NO." promptTitle="Flammable" prompt="Enter &quot;Y&quot; for Yes or &quot;N&quot; for No." sqref="AZ23">
      <formula1>"Y,N"</formula1>
    </dataValidation>
    <dataValidation type="decimal" allowBlank="1" showInputMessage="1" showErrorMessage="1" errorTitle="Container Size for Each unit" error="Enter a number greater than 0" promptTitle="Container Size for Each unit" prompt="Enter the volume this container holds. i.e. &quot;2&quot; for 2 oz." sqref="BB23">
      <formula1>0</formula1>
      <formula2>99999999999999900000</formula2>
    </dataValidation>
    <dataValidation type="list" showDropDown="1" showInputMessage="1" showErrorMessage="1" errorTitle="Container Type" error="MAKE SURE YOUR UPPER CASE IS ON AND THAT YOU TYPE THE WORD(S)." promptTitle="Container Type" prompt="Must choose one of the following: BAG, BOX, CAN, GLASS BTL/JUG, PLASTIC BTL/JUG, OTHER, TUBE, PLASTIC WRAP" sqref="BA23">
      <formula1>"BAG, BOX, CAN, GLASS BTL/JUG, PLASTIC BTL/JUG, OTHER, TUBE, PLASTIC WRAP"</formula1>
    </dataValidation>
    <dataValidation type="list" allowBlank="1" showDropDown="1" showInputMessage="1" showErrorMessage="1" errorTitle="TAX UDA" error="MUST ENTER A VALUE FROM 1 TO 9." promptTitle="TAX UDA" prompt="1 - GENERAL MERCHANDISE_x000a_2 - FOOD/BEVERAGE/CANDY/GUM/MINT_x000a_3 - ACCESSORIES/CLOTHING WEARABLE BY HUMANS_x000a_4 - NOTIONS AND LINENS_x000a_5 - FLAGS, NO KITS_x000a_6 - CLASSES/PARTIES_x000a_7 - MAGAZINES/BOOKS/SOFTWARE_x000a_8 - ART/SCHOOL SUPPLIES - NO KITS_x000a_9 - MISC." sqref="AW23">
      <formula1>"1,2,3,4,5,6,7,8,9"</formula1>
    </dataValidation>
    <dataValidation type="whole" allowBlank="1" showInputMessage="1" showErrorMessage="1" errorTitle="TAX VALUE UDA" error="ENTER A NUMBER BETWEEN 1 AND 1000." promptTitle="TAX VALUE UDA" prompt="BETWEEN 1 AND 1000" sqref="AX23">
      <formula1>1</formula1>
      <formula2>1000</formula2>
    </dataValidation>
    <dataValidation type="textLength" allowBlank="1" showInputMessage="1" showErrorMessage="1" errorTitle="Manufacture State" error="Enter the State where these items were manufactured." promptTitle="Manufacture State" prompt="Enter the State where these items were manufactured." sqref="BF23">
      <formula1>0</formula1>
      <formula2>100</formula2>
    </dataValidation>
    <dataValidation type="list" allowBlank="1" showDropDown="1" showErrorMessage="1" errorTitle="TAX UDA" error="MUST ENTER A VALUE FROM 1 TO 9." promptTitle="TAX UDA" prompt="1 - GENERAL MERCHANDISE_x000a_2 - FOOD/BEVERAGE/CANDY/GUM/MINT_x000a_3 - ACCESSORIES/CLOTHING WEARABLE BY HUMANS_x000a_4 - NOTIONS AND LINENS_x000a_5 - FLAGS, NO KITS_x000a_6 - CLASSES/PARTIES_x000a_7 - MAGAZINES/BOOKS/SOFTWARE_x000a_8 - ART/SCHOOL SUPPLIES - NO KITS_x000a_9 - MISC." sqref="AW24:AW272">
      <formula1>"1,2,3,4,5,6,7,8,9"</formula1>
    </dataValidation>
    <dataValidation type="whole" allowBlank="1" showErrorMessage="1" errorTitle="TAX VALUE UDA" error="ENTER A NUMBER BETWEEN 1 AND 1000." promptTitle="TAX VALUE UDA" prompt="BETWEEN 1 AND 1000" sqref="AX24:AX272">
      <formula1>1</formula1>
      <formula2>1000</formula2>
    </dataValidation>
    <dataValidation type="list" showDropDown="1" showErrorMessage="1" errorTitle="Flammable" error="Enter the first letter only - &quot;Y&quot; for YES or &quot;N&quot; for NO." promptTitle="Flammable" prompt="Enter &quot;Y&quot; for Yes or &quot;N&quot; for No." sqref="AZ24:AZ272">
      <formula1>"Y,N"</formula1>
    </dataValidation>
    <dataValidation allowBlank="1" showInputMessage="1" showErrorMessage="1" errorTitle="Manufacture Phone" error="Enter the phone number where information on these items can be attained.  Enter numbers  with hyphens." promptTitle="Manufacture Phone" prompt="Enter the phone number where information on these items can be attained.  Enter numbers with hyphens. Example _x000a_972-409-1777" sqref="BG23"/>
    <dataValidation allowBlank="1" showErrorMessage="1" promptTitle="COUNTRY OF ORIGIN" prompt="Enter the Country in which the item was made." sqref="AV24:AV272"/>
    <dataValidation type="list" allowBlank="1" showDropDown="1" showInputMessage="1" showErrorMessage="1" errorTitle="ITEM TYPE" error="ENTER &quot;R&quot;OR &quot;C&quot;." promptTitle="ITEM TYPE" prompt="ENTER ONE OF THE FOLLOWING:_x000a_&quot;R&quot; - REGULAR ITEM_x000a_&quot;C&quot; - COMPLEX PACK" sqref="N5:P5">
      <formula1>"R,C"</formula1>
    </dataValidation>
    <dataValidation type="list" allowBlank="1" showDropDown="1" showInputMessage="1" showErrorMessage="1" errorTitle="ITEM TYPE ATTRIBUTE" error="MAKE SURE YOUR CAPS LOCK IS ON.  TYPE ONLY THE LETTER IN QUOTES. F,G,S,B,T,P,Q." promptTitle="ITEM TYPE ATTRIBUTE" prompt="ENTER THE LETTER THAT REPRESENTS ITEM TYPE ATTRIBUTE:_x000a_&quot;F&quot; - FIXTURE_x000a_&quot;G&quot; - GIVE AWAY_x000a_&quot;S&quot; - SEASONAL_x000a_&quot;B&quot; - BASIC_x000a_&quot;T&quot; - TEST_x000a_&quot;P&quot; - SUPPLIES_x000a_&quot;Q&quot; - QUICKCODE" sqref="N6:P6">
      <formula1>"F,G,S,B,T,P,Q"</formula1>
    </dataValidation>
    <dataValidation type="list" showDropDown="1" showInputMessage="1" showErrorMessage="1" errorTitle="ALLOW STORE ORDER" error="Enter &quot;Y&quot; for YES or &quot;N&quot; for NO." promptTitle="ALLOW STORE ORDER" prompt="Enter &quot;Y&quot; for YES or &quot;N&quot; for NO." sqref="N7:P7">
      <formula1>"Y,N"</formula1>
    </dataValidation>
    <dataValidation type="list" showDropDown="1" showInputMessage="1" showErrorMessage="1" errorTitle="INVENTORY CONTROL" error="Enter &quot;Y&quot; for REBUY YES or &quot;N&quot; for REBUY NO." promptTitle="INVENTORY CONTROL" prompt="Enter &quot;Y&quot; for REBUY YES or &quot;N&quot; for REBUY NO." sqref="N8:P8">
      <formula1>"Y,N"</formula1>
    </dataValidation>
    <dataValidation type="list" showDropDown="1" showInputMessage="1" showErrorMessage="1" errorTitle="FREIGHT TERMS:" error="Enter either &quot;PREPAID&quot; or &quot;COLLECT&quot; for the Freight Terms." promptTitle="FREIGHT TERMS:" prompt="Enter &quot;PREPAID&quot; or &quot;COLLECT&quot; for the Freight Terms." sqref="N9:P9">
      <formula1>"PREPAID, COLLECT"</formula1>
    </dataValidation>
    <dataValidation type="list" showDropDown="1" showInputMessage="1" showErrorMessage="1" errorTitle="AUTO REPLENISH" error="Enter &quot;Y&quot; for YES or &quot;N&quot; for NO." promptTitle="AUTO REPLENISH" prompt="Enter &quot;Y&quot; for YES or &quot;N&quot; for NO." sqref="N10:P10">
      <formula1>"Y, N"</formula1>
    </dataValidation>
    <dataValidation type="whole" operator="greaterThan" allowBlank="1" showInputMessage="1" showErrorMessage="1" errorTitle="Master Case" error="Must be a whole number greater than zero." promptTitle="Master Case" prompt="Enter the number of eaches in the Master Case." sqref="N23">
      <formula1>0</formula1>
    </dataValidation>
    <dataValidation type="decimal" operator="greaterThanOrEqual" allowBlank="1" showInputMessage="1" showErrorMessage="1" errorTitle="US Cost in EACHES" promptTitle="US Cost in EACHES" prompt="Enter the cost in US Currency for this item up to 4 digits after the decimal." sqref="S23">
      <formula1>0</formula1>
    </dataValidation>
    <dataValidation type="decimal" operator="greaterThanOrEqual" allowBlank="1" showInputMessage="1" showErrorMessage="1" errorTitle="Canadian Cost in EACHES" promptTitle="Canadian Cost in EACHES" prompt="If the vendor is paid in Canadian Currency, enter the Cost in Canadian Currency for this item.  Otherwise enter the Cost in US Currency up to 4 digits after the decimal." sqref="U23">
      <formula1>0</formula1>
    </dataValidation>
    <dataValidation type="textLength" allowBlank="1" showInputMessage="1" showErrorMessage="1" errorTitle="Item Description" error="Check the number of Characters in the  item description.  Limited to 30 Characters." promptTitle="Item Description" prompt="Must read: Item Description, Color, Dimensions, Style, etc.  Must meet the requirements in this order...  Noun and Adjective(s). i.e._x000a_Frm Wd 8 x 10 Oak (Reads - Frame Wood 8 x 10 Oak) " sqref="I23">
      <formula1>1</formula1>
      <formula2>30</formula2>
    </dataValidation>
    <dataValidation type="decimal" operator="greaterThanOrEqual" allowBlank="1" showErrorMessage="1" errorTitle="US Cost in EACHES" promptTitle="US Cost in EACHES" prompt="Enter the cost in US Currency for this item up to 4 digits after the decimal." sqref="S24:S272">
      <formula1>0</formula1>
    </dataValidation>
    <dataValidation type="textLength" allowBlank="1" showErrorMessage="1" errorTitle="Item Description" error="Check the number of Characters in the  item description.  Limited to 30 Characters." promptTitle="Item Description" prompt="Must read: Item Description, Color, Dimensions, Style, etc.  Must meet the requirements in this order...  Noun and Adjective(s). i.e._x000a_Frm Wd 8 x 10 Oak (Reads - Frame Wood 8 x 10 Oak) " sqref="I24:I272">
      <formula1>1</formula1>
      <formula2>30</formula2>
    </dataValidation>
    <dataValidation type="decimal" operator="greaterThanOrEqual" allowBlank="1" showErrorMessage="1" errorTitle="Canadian Cost in EACHES" promptTitle="Canadian Cost in EACHES" prompt="If the vendor is paid in Canadian Currency, enter the Cost in Canadian Currency for this item.  Otherwise enter the Cost in US Currency up to 4 digits after the decimal." sqref="U24:U272">
      <formula1>0</formula1>
    </dataValidation>
    <dataValidation type="list" showDropDown="1" showInputMessage="1" showErrorMessage="1" errorTitle="SOURCING DC" error="MUST ENTER ONE OF THE FOLLOWING VALUES: 1,2,4,7,8,9." promptTitle="SOURCING DC" prompt="1 - ALLIANCE_x000a_2 - CENTRALIA_x000a_4 - LANCASTER_x000a_7 - JACKSONVILLE_x000a_8 - HAZLETON_x000a_9 - NEW LENOX" sqref="K23">
      <formula1>"1,2,4,7,8,9"</formula1>
    </dataValidation>
    <dataValidation type="whole" allowBlank="1" showInputMessage="1" showErrorMessage="1" errorTitle="Lead time" error="Must be a number greater than 0 and less than 141." promptTitle="Lead time" prompt="Please enter lead time as number of days" sqref="L23">
      <formula1>1</formula1>
      <formula2>140</formula2>
    </dataValidation>
    <dataValidation type="list" operator="lessThanOrEqual" allowBlank="1" showDropDown="1" showInputMessage="1" showErrorMessage="1" errorTitle="PRE-PRICED UDA" error="ENTER, 1,2,3,4 OR 5." promptTitle="PRE-PRICED UDA" prompt="IF THIS ITEM IS PREPRICED ENTER ONE OF THE FOLLOWING:_x000a_1 - VENDOR PRICED_x000a_2 - UPC STRIPS_x000a_3 - BOOK_x000a_4 - MAGAZINE_x000a_5 - MENU SIGN" sqref="R23">
      <formula1>"1,2,3,4,5"</formula1>
    </dataValidation>
    <dataValidation type="list" operator="lessThanOrEqual" allowBlank="1" showDropDown="1" showErrorMessage="1" errorTitle="PRE-PRICED UDA" error="ENTER, 1,2,3,4 OR 5." promptTitle="PRE-PRICED UDA" prompt="IF THIS ITEM IS PREPRICED ENTER ONE OF THE FOLLOWING:_x000a_1 - VENDOR PRICED_x000a_2 - UPC STRIPS_x000a_3 - BOOK_x000a_4 - MAGAZINE_x000a_5 - MENU SIGN" sqref="R24:R272">
      <formula1>"1,2,3,4,5"</formula1>
    </dataValidation>
    <dataValidation type="list" operator="lessThanOrEqual" showDropDown="1" showInputMessage="1" showErrorMessage="1" errorTitle="PRE-PRICED" error="ENTER &quot;Y&quot; OR &quot;N&quot;." promptTitle="PRE-PRICED" prompt="ENTER &quot;Y&quot; FOR YES OR &quot;N&quot; FOR NO.  IF YOU CHOOSE PRE-PRICED YES,  ALASKA RETAIL MUST MATCH BASE RETAIL - IF VENDOR IS ASSIGNING PRICE STICKER OR SPECIAL SIGNAGE REFLECTING PRICE THEN ALASKA RETAIL MUST MATCH BASE RETAIL." sqref="Q23">
      <formula1>"Y,N"</formula1>
    </dataValidation>
    <dataValidation type="list" operator="lessThanOrEqual" showDropDown="1" showErrorMessage="1" errorTitle="PRE-PRICED" error="ENTER &quot;Y&quot; OR &quot;N&quot;." promptTitle="PRE-PRICED" prompt="ENTER &quot;Y&quot; FOR YES OR &quot;N&quot; FOR NO.  IF YOU CHOOSE PRE-PRICED YES,  ALASKA RETAIL MUST MATCH BASE RETAIL - IF VENDOR IS ASSIGNING PRICE STICKER OR SPECIAL SIGNAGE REFLECTING PRICE THEN ALASKA RETAIL MUST MATCH BASE RETAIL." sqref="Q24:Q272">
      <formula1>"Y,N"</formula1>
    </dataValidation>
    <dataValidation type="list" showDropDown="1" showInputMessage="1" showErrorMessage="1" errorTitle="SKU GROUP" error="Make sure you enter in all CAPS:_x000a_&quot;US ONLY&quot; _x000a_&quot;CANADA ONLY&quot; _x000a_&quot;US &amp; CANADA&quot;" promptTitle="SKU GROUP" prompt="ENTER WHERE THE ITEM WILL SHIP TO:_x000a_&quot;US ONLY&quot; _x000a_&quot;CANADA ONLY&quot; _x000a_&quot;US AND CANADA&quot;._x000a__x000a_" sqref="N11:P11">
      <formula1>"US ONLY, US AND CANADA, CANADA ONLY"</formula1>
    </dataValidation>
    <dataValidation type="list" operator="equal" showDropDown="1" showInputMessage="1" showErrorMessage="1" errorTitle="Add or Change" error="Enter the correct letter! &quot;A&quot; for ADD or &quot;C&quot; for Change. UPPER case only." promptTitle="Add or Change" prompt="Enter either &quot;A&quot; for Add (which is a NEW SKU) or &quot;C&quot; for Change (which is editing an existing SKU). Use UPPER case letters." sqref="B23">
      <formula1>"A,C"</formula1>
    </dataValidation>
    <dataValidation type="whole" allowBlank="1" showInputMessage="1" showErrorMessage="1" errorTitle="Michaels SKU Number" error="Enter the 8 digit Michaels SKU number." promptTitle="Michaels SKU Number" prompt="If the item already exists, enter the 8 digit Michaels SKU number.  If this is a NEW item, a SKU number will be assigned.  Indicate in the comment section what you want updated." sqref="D23">
      <formula1>10000000</formula1>
      <formula2>50000000</formula2>
    </dataValidation>
    <dataValidation type="textLength" allowBlank="1" showInputMessage="1" showErrorMessage="1" errorTitle="Vendor Style Number" error="Can not be more than 20 spaces." promptTitle="Vendor Style Number" prompt="Enter the Vendor Style Number. Alpha \ Numeric or any combination up to 20 spaces. Do not use any symbols in this field such as... &quot;_&quot; &quot;&amp;&quot; &quot;*&quot; &quot;/&quot; &quot;-&quot; &quot;+&quot;." sqref="H23">
      <formula1>1</formula1>
      <formula2>20</formula2>
    </dataValidation>
    <dataValidation allowBlank="1" showInputMessage="1" promptTitle="Submitted by:" prompt="Enter the name that is filling out the form. Vendor, your associates names goes here not the name of your company.  Sr. Buyer will sign below in cell l13._x000a_" sqref="G2:H2"/>
    <dataValidation type="whole" allowBlank="1" showInputMessage="1" showErrorMessage="1" errorTitle="Page count" error="Enter a number between 1 and 4" promptTitle="Total Page Count" prompt="Enter the total number of pages here.  The number should be between 1 and 4._x000a_" sqref="E3">
      <formula1>1</formula1>
      <formula2>4</formula2>
    </dataValidation>
    <dataValidation type="date" showInputMessage="1" showErrorMessage="1" errorTitle="Date Submitted" error="Date needs to be equal to today or tomorrow." promptTitle="Date Submitted" prompt="Enter Todays Date." sqref="G3">
      <formula1>NOW()-1</formula1>
      <formula2>NOW()+1</formula2>
    </dataValidation>
    <dataValidation type="list" operator="equal" showDropDown="1" showErrorMessage="1" errorTitle="Add or Change" error="Enter the correct letter! &quot;A&quot; for ADD or &quot;C&quot; for Change. UPPER case only." promptTitle="Add or Change" prompt="Enter either &quot;A&quot; for Add (which is a NEW SKU) or &quot;C&quot; for Change (which is editing an existing SKU). Use UPPER case letters." sqref="B24:B272">
      <formula1>"A,C"</formula1>
    </dataValidation>
    <dataValidation type="whole" allowBlank="1" showErrorMessage="1" errorTitle="Michaels SKU Number" error="Enter the 8 digit Michaels SKU number." promptTitle="Michaels SKU Number" prompt="If the item already exists, enter the 8 digit Michaels SKU number.  If this is a NEW item, a SKU number will be assigned.  Indicate in the comment section what you want updated." sqref="D24:D272">
      <formula1>10000000</formula1>
      <formula2>50000000</formula2>
    </dataValidation>
    <dataValidation type="whole" allowBlank="1" showErrorMessage="1" errorTitle="Class" error="Enter a valid number." promptTitle="Class" prompt="Provide the Class Number you want assigned to this SKU. If a new Class is requested, please indicate the name in the comment section." sqref="F23:F272">
      <formula1>1</formula1>
      <formula2>999</formula2>
    </dataValidation>
    <dataValidation type="whole" allowBlank="1" showErrorMessage="1" errorTitle="Sub Class" error="Enter a valid number." promptTitle="Sub Class" prompt="Provide the Subclass Number you want assigned to this SKU.  If a new Sub Class is requested, please indicate the name in the comment section." sqref="G23:G272">
      <formula1>1</formula1>
      <formula2>9999</formula2>
    </dataValidation>
    <dataValidation type="textLength" allowBlank="1" showErrorMessage="1" errorTitle="Vendor Style Number" error="Can not be more than 20 spaces." promptTitle="Vendor Style Number" prompt="Enter the Vendor Style Number. Alpha \ Numeric or any combination up to 20 spaces. Do not use any symbols in this field such as... &quot;_&quot; &quot;&amp;&quot; &quot;*&quot; &quot;/&quot; &quot;-&quot; &quot;+&quot;." sqref="H24:H272">
      <formula1>1</formula1>
      <formula2>20</formula2>
    </dataValidation>
    <dataValidation type="date" allowBlank="1" showInputMessage="1" showErrorMessage="1" errorTitle="Rec SCVR Team" error="Date equals today's date." promptTitle="Rec SCVR Team" prompt="SCVR Team will fill in the date which they received this file._x000a_" sqref="H4">
      <formula1>NOW()-1</formula1>
      <formula2>NOW()+1</formula2>
    </dataValidation>
    <dataValidation allowBlank="1" showInputMessage="1" showErrorMessage="1" promptTitle="Enter Retek" prompt="Enter the Associates name that Entered this item setup sheet into Retek." sqref="H6"/>
    <dataValidation type="list" showDropDown="1" showInputMessage="1" showErrorMessage="1" promptTitle="WORKBOOK PROCESS" prompt="ADDING A SKU_x000a_CHANGING A SKU_x000a_ADD SKU AND CUT PO_x000a_CHANGE SKU AND CUT PO_x000a_CUT ONLY PO AND HAVE US AND CANADA VENDORS_x000a_CUT ONLY US PO_x000a_CUT ONLY CANADA PO_x000a_CUT US AND ALASKA PO_x000a_CUT CANADA ALASKA PO" sqref="F9:H9">
      <formula1>"ADDING SKU(S), CHANGING SKU(S), ADD SKU AND CUT PO, CHANGE SKU AND CUT PO, CUT PO AND HAVE US AND CANADA VENDORS, CUT US PO, CUT CANADA PO, CUT US AND ALASKA PO, CUT CANADA ALASKA PO"</formula1>
    </dataValidation>
    <dataValidation type="list" allowBlank="1" showDropDown="1" showInputMessage="1" showErrorMessage="1" errorTitle="PACK ITEM INDICATOR" error="MAKE SURE CAP LOCKS IS ON AND ENTER ONE OF THE FOLLOWING:_x000a_&quot;D-PDQ&quot;,&quot;D-PIAB&quot;,&quot;DP-PDQ&quot;,&quot;DP-PIAB&quot;,&quot;DP&quot;,&quot;C&quot;" promptTitle="PACK ITEM INDICATOR" prompt="Leave this field blank if the Item Type is a REGULAR ITEM. other wise: (Pick one) _x000a_D-PDQ - Preloaded Display Qty_x000a_D-PIAB - POG In A Box_x000a_DP-PDQ - Preloaded Display Qty_x000a_DP-PIAB - POG In A Box_x000a_DP - NeitherPDQ or PIAB_x000a_C - Componet" sqref="C23">
      <formula1>"D-PDQ,D-PIAB,DP-PDQ,DP-PIAB,DP,C"</formula1>
    </dataValidation>
    <dataValidation type="list" showDropDown="1" showInputMessage="1" showErrorMessage="1" errorTitle="CANANDA STOCK CATEGORY" error="You must enter either Capital &quot;W&quot; or &quot;D&quot;." promptTitle="CANANDA STOCK CATEGORY" prompt="Enter either &quot;W&quot; for Warehouse or &quot;D&quot; for Direct." sqref="N4">
      <formula1>"W,D"</formula1>
    </dataValidation>
    <dataValidation type="list" showDropDown="1" showInputMessage="1" showErrorMessage="1" errorTitle="STOCK CATEGORY" error="You must enter either Capital &quot;W&quot; or &quot;D&quot;." promptTitle="US STOCK CATEGORY" prompt="Enter either &quot;W&quot; for Warehouse or &quot;D&quot; for Direct." sqref="N3">
      <formula1>"W,D"</formula1>
    </dataValidation>
    <dataValidation type="whole" allowBlank="1" showInputMessage="1" showErrorMessage="1" errorTitle="UPC Number" promptTitle="UPC Number" prompt="Please enter a 14 digit UPC number.  If the number you have is only 12 or 13 digits, please left pad with appropriate number of zero's.  " sqref="E23">
      <formula1>0</formula1>
      <formula2>99999999999999</formula2>
    </dataValidation>
    <dataValidation type="list" showDropDown="1" showInputMessage="1" showErrorMessage="1" errorTitle="HYBRID TYPE" error="PLEASE INSERT EITHER &quot;A&quot; OR &quot;N&quot;" promptTitle="HYBRID TYPE" prompt="MUST BE &quot;A&quot; OR &quot;N&quot;" sqref="J23">
      <formula1>"A, N"</formula1>
    </dataValidation>
    <dataValidation type="list" showDropDown="1" showErrorMessage="1" errorTitle="HYBRID TYPE" error="PLEASE INSERT EITHER &quot;A&quot; OR &quot;N&quot;" promptTitle="HYBRID TYPE" prompt="MUST BE &quot;A&quot; OR &quot;N&quot;" sqref="J24:J272">
      <formula1>"A, N"</formula1>
    </dataValidation>
    <dataValidation type="list" showDropDown="1" showErrorMessage="1" errorTitle="Container Type" error="MAKE SURE YOUR UPPER CASE IS ON AND THAT YOU TYPE THE WORD(S)." promptTitle="Container Type" prompt="Must choose one of the following: BAG, BOX, CAN, GLASS BTL/JUG, PLASTIC BTL/JUG, OTHER, TUBE, PLASTIC WRAP" sqref="BA24:BA272">
      <formula1>"BAG, BOX, CAN, GLASS BTL/JUG, PLASTIC BTL/JUG, OTHER, TUBE, PLASTIC WRAP"</formula1>
    </dataValidation>
    <dataValidation type="whole" allowBlank="1" showErrorMessage="1" errorTitle="UPC Number" promptTitle="UPC Number" prompt="Please enter a 14 digit UPC number.  If the number you have is only 12 or 13 digits, please left pad with appropriate number of zero's.  " sqref="E24:E272">
      <formula1>0</formula1>
      <formula2>99999999999999</formula2>
    </dataValidation>
    <dataValidation type="list" showDropDown="1" showErrorMessage="1" errorTitle="SOURCING DC" error="MUST ENTER ONE OF THE FOLLOWING VALUES: 1,2,4,7,8,9." promptTitle="SOURCING DC" prompt="1 - ALLIANCE_x000a_2 - CENTRALIA_x000a_4 - LANCASTER_x000a_7 - JACKSONVILLE_x000a_8 - HAZLETON_x000a_9 - NEW LENOX" sqref="K24:K272">
      <formula1>"1,2,4,7,8,9"</formula1>
    </dataValidation>
    <dataValidation type="whole" allowBlank="1" showErrorMessage="1" errorTitle="Lead time" error="Must be a number greater than 0 and less than 141." promptTitle="Lead time" prompt="Please enter lead time as number of days" sqref="L24:L272">
      <formula1>1</formula1>
      <formula2>140</formula2>
    </dataValidation>
    <dataValidation type="whole" operator="greaterThan" allowBlank="1" showErrorMessage="1" errorTitle="Master Case" error="Must be a whole number greater than zero." promptTitle="Master Case" prompt="Enter the number of eaches in the Master Case." sqref="N24:N272">
      <formula1>0</formula1>
    </dataValidation>
    <dataValidation type="list" showDropDown="1" showErrorMessage="1" errorTitle="HAZARDOUS" error="Enter the correct letter._x000a_Enter &quot;Y&quot; for Yes or &quot;N&quot; for No._x000a_Use UPPER case letters" promptTitle="HAZARDOUS" prompt="If the item is HAZARDOUS, you must answer this question as &quot;Y&quot; for YES; otherwise enter &quot;N&quot; for NO. If item is HAZARDOUS you must fill out the HAZARDOUS MATERIAL columns 41-49 and also Upload the PDF verison of your MSDS file before Sku's can be assigned." sqref="AY24:AY272">
      <formula1>"Y,N"</formula1>
    </dataValidation>
    <dataValidation type="list" allowBlank="1" showInputMessage="1" showErrorMessage="1" errorTitle="MSDS UOM" error="MAKE SURE YOUR CAPS LOCK IS ON AND YOU TYPE THE WORD(S)" promptTitle="MSDS UOM" prompt="You must type one from the drop down list._x000a_*** If your having trouble reading the drop down, scroll to the right as the list is located in  cells (BC23 ~ BC82), change yourZOOM to 100% to make it easier to read.. ***" sqref="BC23">
      <formula1>$CQ$23:$CQ$84</formula1>
    </dataValidation>
    <dataValidation type="list" allowBlank="1" showDropDown="1" showErrorMessage="1" errorTitle="PACK ITEM INDICATOR" error="MAKE SURE CAP LOCKS IS ON AND ENTER ONE OF THE FOLLOWING:_x000a_&quot;D-PDQ&quot;,&quot;D-PIAB&quot;,&quot;DP-PDQ&quot;,&quot;DP-PIAB&quot;,&quot;DP&quot;,&quot;C&quot;" promptTitle="PACK ITEM INDICATOR" prompt="Leave this field blank if the Item Type is a REGULAR ITEM. other wise: (Pick one) _x000a_D-PDQ; Displayer-Pretty Darn Quick_x000a_D-PIAB; Displayer-POB In A Box_x000a_DP-PDQ; Display Pack-Pretty Darn Quick_x000a_DP-PIAB; Display Pack-POB In A Box_x000a_DP; Display Pack_x000a_C; Child" sqref="C24:C272">
      <formula1>"D-PDQ,D-PIAB,DP-PDQ,DP-PIAB,DP,C"</formula1>
    </dataValidation>
    <dataValidation type="textLength" allowBlank="1" showInputMessage="1" showErrorMessage="1" errorTitle="Manufacturer Country" error="Enter the Country where these items were manufactured." promptTitle="Manufacturer Country" prompt="Enter the Country where these items were manufactured." sqref="BH23">
      <formula1>0</formula1>
      <formula2>100</formula2>
    </dataValidation>
    <dataValidation type="list" showDropDown="1" showInputMessage="1" showErrorMessage="1" errorTitle="ENGLISH" error="Make sure your CAPS LOCK is on and type YES or NO." promptTitle="ENGLISH" prompt="Please type YES if the Packaging is in ENGLISH otherwise Type NO." sqref="BI23">
      <formula1>"YES,NO"</formula1>
    </dataValidation>
    <dataValidation type="list" showDropDown="1" showInputMessage="1" showErrorMessage="1" errorTitle="CANADIAN FRENCH" error="Make sure your CAPS LOCK is on and type YES or NO." promptTitle="CANADIAN FRENCH" prompt="Please type YES if the Packaging is in CANADIAN FRENCH otherwise Type NO." sqref="BJ23">
      <formula1>"YES,NO"</formula1>
    </dataValidation>
    <dataValidation type="list" showDropDown="1" showInputMessage="1" showErrorMessage="1" errorTitle="LATIN AMERICAN SPANISH" error="Make sure your CAPS LOCK is on and type YES or NO." promptTitle="LATIN AMERICAN SPANISH" prompt="Please type YES if the Packaging is in LATIN AMERICAN SPANISH otherwise Type NO." sqref="BK23">
      <formula1>"YES,NO"</formula1>
    </dataValidation>
    <dataValidation type="decimal" operator="greaterThanOrEqual" allowBlank="1" showInputMessage="1" showErrorMessage="1" errorTitle="LOW 2 Retail in EACHES" error="This amount has to be greater than cost._x000a_" promptTitle="LOW 2 Retail in EACHES" prompt="Please enter the CALIFORNIA ZONE RETAIL in US Currency for this item in eaches." sqref="AH23">
      <formula1>S23</formula1>
    </dataValidation>
    <dataValidation type="decimal" operator="greaterThanOrEqual" allowBlank="1" showErrorMessage="1" errorTitle="LOW 2 Retail in EACHES" error="This amount has to be greater than cost._x000a_" promptTitle="LOW 2 Retail in EACHES" prompt="Please enter the CALIFORNIA ZONE RETAIL in US Currency for this item in eaches." sqref="AH24:AH272">
      <formula1>S24</formula1>
    </dataValidation>
    <dataValidation allowBlank="1" showErrorMessage="1" sqref="BB24:BK272 CJ24:CP272"/>
    <dataValidation type="decimal" operator="greaterThanOrEqual" allowBlank="1" showInputMessage="1" showErrorMessage="1" errorTitle="PR Retail in EACHES" error="This amount has to be greater than cost._x000a_" promptTitle="PR Retail in EACHES" prompt="Please enter the RETAIL in US Currency for this item in eaches." sqref="AK23">
      <formula1>S23</formula1>
    </dataValidation>
    <dataValidation type="decimal" operator="greaterThanOrEqual" allowBlank="1" showInputMessage="1" showErrorMessage="1" errorTitle="Q5 Retail in EACHES" error="This amount has to be greater than cost._x000a_" promptTitle="Q5 Retail in EACHES" prompt="Please enter the RETAIL in US Currency for this item in eaches." sqref="AJ23">
      <formula1>R23</formula1>
    </dataValidation>
    <dataValidation type="decimal" operator="greaterThanOrEqual" allowBlank="1" showErrorMessage="1" errorTitle="Q5 Retail in EACHES" error="This amount has to be greater than cost._x000a_" promptTitle="Q5 Retail in EACHES" prompt="Please enter the RETAIL in US Currency for this item in eaches." sqref="AJ24:AJ272">
      <formula1>R24</formula1>
    </dataValidation>
    <dataValidation type="decimal" operator="greaterThanOrEqual" allowBlank="1" showErrorMessage="1" errorTitle="PR Retail in EACHES" error="This amount has to be greater than cost._x000a_" promptTitle="PR Retail in EACHES" prompt="Please enter the RETAIL in US Currency for this item in eaches." sqref="AK24:AK272">
      <formula1>S24</formula1>
    </dataValidation>
    <dataValidation type="list" allowBlank="1" showInputMessage="1" showErrorMessage="1" errorTitle="PRIVATE BRAND" error="You MUST Select one from the list.  If this item is NOT a PRIVATE BRAND item, then select NON PRIVATE BRAND." promptTitle="PRIVATE BRAND" prompt="You must select ONE from the drop down list" sqref="BL23">
      <formula1>$CT$23:$CT$35</formula1>
    </dataValidation>
    <dataValidation type="list" allowBlank="1" showErrorMessage="1" errorTitle="PRIVATE BRAND" error="You MUST Select one from the list.  If this item is NOT a PRIVATE BRAND item, then select NON PRIVATE BRAND." promptTitle="PRIVATE BRAND" prompt="You must select ONE from the drop down list" sqref="BL24:BL272">
      <formula1>$CT$23:$CT$35</formula1>
    </dataValidation>
    <dataValidation type="list" showDropDown="1" showInputMessage="1" showErrorMessage="1" errorTitle="TRANSLATION INDICATOR - ENGLISH" error="MAKE SURE YOUR CAPS LOCK IS ON AND YOU TYPE YES OR NO." promptTitle="TRANSLATION INDICATOR - ENGLISH" prompt="Enter YES if this merchandise will be translated into English. Enter NO if it will not be translated into English." sqref="BM23">
      <formula1>"YES, NO"</formula1>
    </dataValidation>
    <dataValidation type="list" showDropDown="1" showInputMessage="1" showErrorMessage="1" errorTitle="TRANSLATION INDICATOR - FRENCH" error="MAKE SURE YOUR CAPS LOCK IS ON AND YOU TYPE YES OR NO." promptTitle="TRANSLATION INDICATOR - FRENCH" prompt="Enter YES if this merchandise will be translated into Canadian French. Enter NO if it will not be translated into Canadian French." sqref="BQ23">
      <formula1>"YES, NO"</formula1>
    </dataValidation>
    <dataValidation type="list" showDropDown="1" showErrorMessage="1" errorTitle="TRANSLATION INDICATOR - ENGLISH" error="MAKE SURE YOUR CAPS LOCK IS ON AND YOU TYPE YES OR NO." promptTitle="TRANSLATION INDICATOR - ENGLISH" prompt="Enter YES if this merchandise will be translated into English. Enter NO if it will not be translated into English." sqref="BM24:BM272">
      <formula1>"YES, NO"</formula1>
    </dataValidation>
    <dataValidation type="list" showDropDown="1" showErrorMessage="1" errorTitle="TRANSLATION INDICATOR - FRENCH" error="MAKE SURE YOUR CAPS LOCK IS ON AND YOU TYPE YES OR NO." promptTitle="TRANSLATION INDICATOR - FRENCH" prompt="Enter YES if this merchandise will be translated into Canadian French. Enter NO if it will not be translated into Canadian French." sqref="BQ24:BQ272">
      <formula1>"YES, NO"</formula1>
    </dataValidation>
    <dataValidation type="textLength" allowBlank="1" showInputMessage="1" showErrorMessage="1" errorTitle="CANADIAN FRENCH LONG DESC" error="YOU ARE OVER 150 CHARACTERS." promptTitle="CANADIAN FRENCH LONG DESC" prompt="Limit this to 150 Characters including SPACES." sqref="BR23">
      <formula1>1</formula1>
      <formula2>150</formula2>
    </dataValidation>
    <dataValidation type="textLength" allowBlank="1" showErrorMessage="1" errorTitle="CANADIAN FRENCH LONG DESC" error="YOU ARE OVER 150 CHARACTERS." promptTitle="CANADIAN FRENCH LONG DESC" prompt="Limit this to 150 Characters including SPACES." sqref="BR24:BR272">
      <formula1>1</formula1>
      <formula2>150</formula2>
    </dataValidation>
    <dataValidation type="textLength" allowBlank="1" showInputMessage="1" showErrorMessage="1" errorTitle="CANADIAN FRENCH SHORT DESC" error="YOU ARE OVER 17 CHARACTERS." promptTitle="CANADIAN FRENCH SHORT DESC" prompt="Limit this to 17 Characters including SPACES." sqref="BT23">
      <formula1>1</formula1>
      <formula2>17</formula2>
    </dataValidation>
    <dataValidation type="list" showDropDown="1" showInputMessage="1" showErrorMessage="1" errorTitle="TRANSLATION INDICATOR - SPANISH" error="MAKE SURE YOUR CAPS LOCK IS ON AND YOU TYPE YES OR NO." promptTitle="TRANSLATION INDICATOR - SPANISH" prompt="Enter YES if this merchandise will be translated into Latin American Spanish. Enter NO if it will not be translated into Latin American Spanish." sqref="BU23">
      <formula1>"YES, NO"</formula1>
    </dataValidation>
    <dataValidation type="list" showDropDown="1" showErrorMessage="1" errorTitle="TRANSLATION INDICATOR - SPANISH" error="MAKE SURE YOUR CAPS LOCK IS ON AND YOU TYPE YES OR NO." promptTitle="TRANSLATION INDICATOR - SPANISH" prompt="Enter YES if this merchandise will be translated into Latin American Spanish. Enter NO if it will not be translated into Latin American Spanish." sqref="BU24:BU272">
      <formula1>"YES, NO"</formula1>
    </dataValidation>
    <dataValidation type="textLength" allowBlank="1" showInputMessage="1" showErrorMessage="1" errorTitle="LATIN AMERICAN SPANISH LONG DESC" error="YOU ARE OVER 150 CHARACTERS." promptTitle="LATIN AMERICAN SPANISH LONG DESC" prompt="Limit this to 150 Characters including SPACES." sqref="BV23">
      <formula1>1</formula1>
      <formula2>150</formula2>
    </dataValidation>
    <dataValidation type="textLength" allowBlank="1" showErrorMessage="1" errorTitle="LATIN AMERICAN SPANISH LONG DESC" error="YOU ARE OVER 150 CHARACTERS." promptTitle="LATIN AMERICAN SPANISH LONG DESC" prompt="Limit this to 150 Characters including SPACES." sqref="BV24:BV272">
      <formula1>1</formula1>
      <formula2>150</formula2>
    </dataValidation>
    <dataValidation type="textLength" allowBlank="1" showErrorMessage="1" errorTitle="CANADIAN FRENCH SHORT DESC" error="YOU ARE OVER 17 CHARACTERS." promptTitle="CANADIAN FRENCH SHORT DESC" prompt="Limit this to 17 Characters including SPACES." sqref="BT24:BT272">
      <formula1>1</formula1>
      <formula2>17</formula2>
    </dataValidation>
    <dataValidation type="textLength" allowBlank="1" showInputMessage="1" showErrorMessage="1" errorTitle="LATIN AMERICAN SPANISH MED DESC" error="YOU ARE OVER 30 CHARACTERS." promptTitle="LATIN AMERICAN SPANISH MED DESC" prompt="Limit this to 30 Characters including SPACES." sqref="BW23">
      <formula1>1</formula1>
      <formula2>30</formula2>
    </dataValidation>
    <dataValidation type="textLength" allowBlank="1" showErrorMessage="1" errorTitle="LATIN AMERICAN SPANISH MED DESC" error="YOU ARE OVER 30 CHARACTERS." promptTitle="LATIN AMERICAN SPANISH MED DESC" prompt="Limit this to 30 Characters including SPACES." sqref="BW24:BW272">
      <formula1>1</formula1>
      <formula2>30</formula2>
    </dataValidation>
    <dataValidation allowBlank="1" showInputMessage="1" showErrorMessage="1" errorTitle="CUSTOMS DESCRIPTION" promptTitle="CUSTOMS DESCRIPTION" prompt="THIS INFORMATION WILL BE FILLED IN BY MICHAELS IMPORT MANAGER" sqref="BY23"/>
    <dataValidation allowBlank="1" showErrorMessage="1" errorTitle="CUSTOMS DESCRIPTION" promptTitle="CUSTOMS DESCRIPTION" prompt="THIS INFORMATION WILL BE FILLED IN BY MICHAELS IMPORT MANAGER" sqref="BY24:BY272"/>
    <dataValidation type="textLength" allowBlank="1" showInputMessage="1" showErrorMessage="1" errorTitle="CANADIAN FRENCH MEDIUM DESC" error="YOU ARE OVER 30 CHARACTERS." promptTitle="CANADIAN FRENCH MEDIUM DESC" prompt="Limit this to 30 Characters including SPACES." sqref="BS23">
      <formula1>1</formula1>
      <formula2>30</formula2>
    </dataValidation>
    <dataValidation type="textLength" allowBlank="1" showErrorMessage="1" errorTitle="CANADIAN FRENCH MEDIUM DESC" error="YOU ARE OVER 30 CHARACTERS." promptTitle="CANADIAN FRENCH MEDIUM DESC" prompt="Limit this to 30 Characters including SPACES." sqref="BS24:BS272">
      <formula1>1</formula1>
      <formula2>30</formula2>
    </dataValidation>
    <dataValidation type="textLength" allowBlank="1" showInputMessage="1" showErrorMessage="1" errorTitle="LATIN AMERICAN SPANISH SHORT DEC" error="YOU ARE OVER 17 CHARACTERS." promptTitle="LATIN AMERICAN SPANISH SHORT DEC" prompt="Limit this to 17 Characters including SPACES." sqref="BX23">
      <formula1>1</formula1>
      <formula2>17</formula2>
    </dataValidation>
    <dataValidation type="textLength" allowBlank="1" showErrorMessage="1" errorTitle="LATIN AMERICAN SPANISH SHORT DEC" error="YOU ARE OVER 17 CHARACTERS." promptTitle="LATIN AMERICAN SPANISH SHORT DEC" prompt="Limit this to 17 Characters including SPACES." sqref="BX24:BX272">
      <formula1>1</formula1>
      <formula2>17</formula2>
    </dataValidation>
    <dataValidation type="textLength" allowBlank="1" showInputMessage="1" showErrorMessage="1" errorTitle="ENGLISH LONG DESCRIPTION" error="YOU ARE OVER 100 CHARACTERS." promptTitle="ENGLISH LONG DESCRIPTION" prompt="Limit this to 100 Characters including SPACES." sqref="BN23">
      <formula1>1</formula1>
      <formula2>100</formula2>
    </dataValidation>
    <dataValidation type="textLength" allowBlank="1" showInputMessage="1" showErrorMessage="1" errorTitle="ENGLISH MEDIUM DESC" error="YOU ARE OVER 30 CHARACTERS. _x000a__x000a_IF THIS FIELD IS BLANK YOU NEED TO ENTER THE DATA IN COLUMN &quot;I&quot; - ITEM DESCRIPTION." promptTitle="ENGLISH MEDIUM DESC" prompt="Limit this to 30 Characters including SPACES.  _x000a__x000a_IF THIS FIELD IS BLANK YOU NEED TO ENTER THE DATA IN COLUMN &quot;I&quot; -for ITEM DESCRIPTION." sqref="BO23">
      <formula1>1</formula1>
      <formula2>30</formula2>
    </dataValidation>
    <dataValidation type="textLength" allowBlank="1" showInputMessage="1" showErrorMessage="1" errorTitle="ENGLISH SHORT DESC" error="YOU ARE OVER 17 CHARACTERS." promptTitle="ENGLISH SHORT DESC" prompt="Limit this to 17 Characters including SPACES." sqref="BP23">
      <formula1>1</formula1>
      <formula2>17</formula2>
    </dataValidation>
    <dataValidation type="textLength" allowBlank="1" showErrorMessage="1" errorTitle="ENGLISH MEDIUM DESC" error="YOU ARE OVER 30 CHARACTERS. _x000a__x000a_IF THIS FIELD IS BLANK YOU NEED TO ENTER THE DATA IN COLUMN &quot;I&quot; - ITEM DESCRIPTION." promptTitle="ENGLISH MEDIUM DESC" prompt="Limit this to 30 Characters including SPACES.  _x000a__x000a_IF THIS FIELD IS BLANK YOU NEED TO ENTER THE DATA IN COLUMN &quot;I&quot; -for ITEM DESCRIPTION." sqref="BO24:BO272">
      <formula1>1</formula1>
      <formula2>30</formula2>
    </dataValidation>
    <dataValidation type="textLength" allowBlank="1" showErrorMessage="1" errorTitle="ENGLISH SHORT DESC" error="YOU ARE OVER 17 CHARACTERS." promptTitle="ENGLISH SHORT DESC" prompt="Limit this to 17 Characters including SPACES." sqref="BP24:BP272">
      <formula1>1</formula1>
      <formula2>17</formula2>
    </dataValidation>
    <dataValidation type="textLength" allowBlank="1" showErrorMessage="1" errorTitle="ENGLISH LONG DESCRIPTION" error="YOU ARE OVER 100 CHARACTERS." promptTitle="ENGLISH LONG DESCRIPTION" prompt="Limit this to 100 Characters including SPACES." sqref="BN24:BN272">
      <formula1>1</formula1>
      <formula2>100</formula2>
    </dataValidation>
  </dataValidations>
  <pageMargins left="0.25" right="0.25" top="0.75" bottom="0.75" header="0.3" footer="0.3"/>
  <pageSetup paperSize="5" scale="45" fitToHeight="0" orientation="landscape" r:id="rId1"/>
  <headerFooter alignWithMargins="0">
    <oddFooter>&amp;LLast Revised &amp;D &amp;T&amp;C&amp;Pof &amp;N&amp;R&amp;F &amp;A</oddFooter>
  </headerFooter>
  <ignoredErrors>
    <ignoredError sqref="E8:E9" unlockedFormula="1"/>
  </ignoredError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pageSetUpPr fitToPage="1"/>
  </sheetPr>
  <dimension ref="A1:AM268"/>
  <sheetViews>
    <sheetView showGridLines="0" view="pageBreakPreview" zoomScale="50" zoomScaleNormal="75" zoomScaleSheetLayoutView="100" workbookViewId="0">
      <pane ySplit="17" topLeftCell="A18" activePane="bottomLeft" state="frozen"/>
      <selection pane="bottomLeft" activeCell="C62" sqref="C62"/>
    </sheetView>
  </sheetViews>
  <sheetFormatPr defaultRowHeight="15"/>
  <cols>
    <col min="1" max="1" width="5.77734375" style="164" customWidth="1"/>
    <col min="2" max="2" width="10.33203125" style="169" customWidth="1"/>
    <col min="3" max="3" width="31.77734375" style="141" customWidth="1"/>
    <col min="4" max="4" width="7.88671875" style="159" customWidth="1"/>
    <col min="5" max="5" width="10.33203125" style="141" customWidth="1"/>
    <col min="6" max="6" width="31.77734375" style="141" customWidth="1"/>
    <col min="7" max="7" width="9.33203125" style="141" customWidth="1"/>
    <col min="8" max="8" width="11.88671875" style="141" customWidth="1"/>
    <col min="9" max="9" width="9.109375" style="141" customWidth="1"/>
    <col min="10" max="10" width="9.21875" style="141" customWidth="1"/>
    <col min="11" max="11" width="9.33203125" style="141" customWidth="1"/>
    <col min="12" max="12" width="9.44140625" style="143" customWidth="1"/>
    <col min="13" max="13" width="6.6640625" style="143" customWidth="1"/>
    <col min="14" max="15" width="10.44140625" style="143" customWidth="1"/>
    <col min="16" max="16" width="15.109375" style="141" customWidth="1"/>
    <col min="17" max="23" width="9" style="141" customWidth="1"/>
    <col min="24" max="24" width="5.77734375" style="141" customWidth="1"/>
    <col min="25" max="25" width="7.21875" style="141" customWidth="1"/>
    <col min="26" max="26" width="4.77734375" style="141" customWidth="1"/>
    <col min="27" max="27" width="4.33203125" style="141" customWidth="1"/>
    <col min="28" max="28" width="6.88671875" style="141" customWidth="1"/>
    <col min="29" max="35" width="8.5546875" style="141" customWidth="1"/>
    <col min="36" max="36" width="7.21875" style="20" customWidth="1"/>
    <col min="37" max="37" width="13.5546875" style="20" customWidth="1"/>
    <col min="38" max="16384" width="8.88671875" style="20"/>
  </cols>
  <sheetData>
    <row r="1" spans="1:39" ht="27.75" customHeight="1">
      <c r="B1" s="65"/>
      <c r="C1" s="184" t="str">
        <f>+'Add Change'!D1</f>
        <v>14.75 Version</v>
      </c>
      <c r="E1" s="577" t="s">
        <v>577</v>
      </c>
      <c r="F1" s="577"/>
      <c r="G1" s="577"/>
      <c r="H1" s="577"/>
      <c r="I1" s="577"/>
      <c r="J1" s="22"/>
      <c r="P1" s="21"/>
      <c r="Q1" s="21"/>
      <c r="R1" s="21"/>
      <c r="S1" s="21"/>
      <c r="T1" s="21"/>
      <c r="X1" s="21"/>
      <c r="Y1" s="21"/>
      <c r="Z1" s="21"/>
      <c r="AA1" s="21"/>
      <c r="AB1" s="21"/>
      <c r="AC1" s="21"/>
      <c r="AD1" s="21"/>
      <c r="AE1" s="21"/>
      <c r="AF1" s="21"/>
      <c r="AG1" s="21"/>
      <c r="AH1" s="21"/>
      <c r="AI1" s="21"/>
    </row>
    <row r="2" spans="1:39" ht="29.25" customHeight="1">
      <c r="A2" s="157"/>
      <c r="B2" s="71" t="s">
        <v>294</v>
      </c>
      <c r="C2" s="187"/>
      <c r="D2" s="156"/>
      <c r="E2" s="32"/>
      <c r="P2" s="73" t="s">
        <v>307</v>
      </c>
      <c r="Q2" s="578"/>
      <c r="R2" s="578"/>
      <c r="U2" s="188" t="s">
        <v>530</v>
      </c>
      <c r="V2" s="578"/>
      <c r="W2" s="578"/>
      <c r="X2" s="189"/>
      <c r="Y2" s="190"/>
      <c r="AB2" s="188" t="s">
        <v>531</v>
      </c>
      <c r="AC2" s="578"/>
      <c r="AD2" s="578"/>
      <c r="AF2" s="76"/>
      <c r="AG2" s="191"/>
      <c r="AK2" s="20" t="s">
        <v>532</v>
      </c>
    </row>
    <row r="3" spans="1:39" ht="18" customHeight="1">
      <c r="B3" s="72"/>
      <c r="C3" s="158"/>
      <c r="D3" s="192"/>
      <c r="E3" s="193" t="s">
        <v>533</v>
      </c>
      <c r="F3" s="139"/>
      <c r="H3" s="194"/>
      <c r="P3" s="195"/>
      <c r="U3" s="196"/>
      <c r="V3" s="167"/>
      <c r="X3" s="197"/>
      <c r="Y3" s="198"/>
      <c r="AB3" s="196"/>
      <c r="AC3" s="20"/>
      <c r="AD3" s="20"/>
      <c r="AF3" s="20"/>
      <c r="AK3" s="199">
        <v>1</v>
      </c>
    </row>
    <row r="4" spans="1:39" ht="18">
      <c r="B4" s="200" t="s">
        <v>293</v>
      </c>
      <c r="C4" s="201"/>
      <c r="D4" s="160"/>
      <c r="E4" s="139"/>
      <c r="F4" s="139"/>
      <c r="H4" s="194"/>
      <c r="P4" s="73" t="s">
        <v>535</v>
      </c>
      <c r="Q4" s="578"/>
      <c r="R4" s="578"/>
      <c r="U4" s="188" t="s">
        <v>536</v>
      </c>
      <c r="V4" s="579" t="str">
        <f>IF(V2="","",+V2+7)</f>
        <v/>
      </c>
      <c r="W4" s="579"/>
      <c r="X4" s="197"/>
      <c r="Y4" s="198"/>
      <c r="AB4" s="188" t="s">
        <v>537</v>
      </c>
      <c r="AC4" s="579" t="str">
        <f>IF(+V8="","",V8-3)</f>
        <v/>
      </c>
      <c r="AD4" s="579"/>
      <c r="AK4" s="202"/>
      <c r="AL4" s="23">
        <v>1</v>
      </c>
      <c r="AM4" s="20" t="s">
        <v>645</v>
      </c>
    </row>
    <row r="5" spans="1:39" ht="18">
      <c r="B5" s="72"/>
      <c r="C5" s="158"/>
      <c r="D5" s="160"/>
      <c r="E5" s="139"/>
      <c r="F5" s="139"/>
      <c r="G5" s="20"/>
      <c r="P5" s="139"/>
      <c r="Q5" s="139"/>
      <c r="U5" s="198"/>
      <c r="AD5" s="139"/>
      <c r="AF5" s="20"/>
      <c r="AG5" s="164"/>
      <c r="AL5" s="23">
        <v>2</v>
      </c>
      <c r="AM5" s="272" t="s">
        <v>534</v>
      </c>
    </row>
    <row r="6" spans="1:39" s="24" customFormat="1" ht="18.75" thickBot="1">
      <c r="A6" s="203"/>
      <c r="B6" s="204" t="s">
        <v>512</v>
      </c>
      <c r="C6" s="185"/>
      <c r="D6" s="160"/>
      <c r="E6" s="205"/>
      <c r="F6" s="205"/>
      <c r="G6" s="74"/>
      <c r="K6" s="206"/>
      <c r="P6" s="207" t="s">
        <v>539</v>
      </c>
      <c r="Q6" s="580"/>
      <c r="R6" s="580"/>
      <c r="U6" s="188" t="s">
        <v>540</v>
      </c>
      <c r="V6" s="579" t="str">
        <f>IF(+Q4="","",Q4-42)</f>
        <v/>
      </c>
      <c r="W6" s="579"/>
      <c r="X6" s="208"/>
      <c r="Y6" s="163"/>
      <c r="Z6" s="163"/>
      <c r="AD6" s="162"/>
      <c r="AL6" s="273">
        <v>3</v>
      </c>
      <c r="AM6" s="272" t="s">
        <v>538</v>
      </c>
    </row>
    <row r="7" spans="1:39" ht="18">
      <c r="B7" s="72"/>
      <c r="D7" s="161"/>
      <c r="E7" s="209"/>
      <c r="F7" s="210"/>
      <c r="G7" s="74"/>
      <c r="K7" s="206"/>
      <c r="P7" s="211"/>
      <c r="Q7" s="139"/>
      <c r="U7" s="206"/>
      <c r="V7" s="206"/>
      <c r="W7" s="206"/>
      <c r="X7" s="208"/>
      <c r="Y7" s="163"/>
      <c r="Z7" s="163"/>
      <c r="AB7" s="212"/>
      <c r="AC7" s="213"/>
      <c r="AD7" s="213"/>
      <c r="AE7" s="213"/>
      <c r="AF7" s="214"/>
      <c r="AG7" s="164"/>
    </row>
    <row r="8" spans="1:39" s="24" customFormat="1" ht="18">
      <c r="A8" s="203"/>
      <c r="B8" s="200" t="s">
        <v>145</v>
      </c>
      <c r="C8" s="186"/>
      <c r="D8" s="160"/>
      <c r="F8" s="139"/>
      <c r="K8" s="162"/>
      <c r="P8" s="207" t="s">
        <v>541</v>
      </c>
      <c r="Q8" s="581"/>
      <c r="R8" s="581"/>
      <c r="U8" s="215" t="s">
        <v>542</v>
      </c>
      <c r="V8" s="579" t="str">
        <f>IF(+$Q$2="","",$Q$2-25)</f>
        <v/>
      </c>
      <c r="W8" s="579"/>
      <c r="X8" s="216"/>
      <c r="Y8" s="165"/>
      <c r="Z8" s="165"/>
      <c r="AB8" s="217"/>
      <c r="AC8" s="218" t="s">
        <v>543</v>
      </c>
      <c r="AD8" s="219"/>
      <c r="AE8" s="220"/>
      <c r="AF8" s="221"/>
    </row>
    <row r="9" spans="1:39" ht="18">
      <c r="B9" s="72"/>
      <c r="C9" s="158"/>
      <c r="D9" s="161"/>
      <c r="E9" s="139"/>
      <c r="F9" s="171"/>
      <c r="G9" s="73"/>
      <c r="H9" s="82"/>
      <c r="I9" s="82"/>
      <c r="J9" s="82"/>
      <c r="K9" s="82"/>
      <c r="L9" s="82"/>
      <c r="M9" s="82"/>
      <c r="N9" s="82"/>
      <c r="O9" s="82"/>
      <c r="P9" s="82"/>
      <c r="Q9" s="82"/>
      <c r="R9" s="82"/>
      <c r="S9" s="573"/>
      <c r="T9" s="574"/>
      <c r="U9" s="574"/>
      <c r="V9" s="208"/>
      <c r="W9" s="222"/>
      <c r="X9" s="208"/>
      <c r="Y9" s="163"/>
      <c r="Z9" s="163"/>
      <c r="AB9" s="223"/>
      <c r="AC9" s="224" t="s">
        <v>544</v>
      </c>
      <c r="AD9" s="139"/>
      <c r="AE9" s="139"/>
      <c r="AF9" s="25"/>
      <c r="AG9" s="164"/>
    </row>
    <row r="10" spans="1:39" s="24" customFormat="1" ht="18" customHeight="1">
      <c r="A10" s="203"/>
      <c r="B10" s="188" t="s">
        <v>130</v>
      </c>
      <c r="C10" s="225"/>
      <c r="D10" s="226"/>
      <c r="E10" s="162"/>
      <c r="F10" s="227"/>
      <c r="G10" s="158"/>
      <c r="H10" s="158"/>
      <c r="I10" s="158"/>
      <c r="J10" s="158"/>
      <c r="K10" s="158"/>
      <c r="L10" s="168"/>
      <c r="M10" s="168"/>
      <c r="N10" s="168"/>
      <c r="O10" s="168"/>
      <c r="P10" s="158"/>
      <c r="Q10" s="158"/>
      <c r="R10" s="158"/>
      <c r="S10" s="589"/>
      <c r="T10" s="590"/>
      <c r="U10" s="169"/>
      <c r="V10" s="158"/>
      <c r="W10" s="158"/>
      <c r="X10" s="158"/>
      <c r="Y10" s="158"/>
      <c r="Z10" s="158"/>
      <c r="AB10" s="217"/>
      <c r="AC10" s="228" t="s">
        <v>545</v>
      </c>
      <c r="AD10" s="162"/>
      <c r="AE10" s="205"/>
      <c r="AF10" s="229"/>
      <c r="AG10" s="230"/>
    </row>
    <row r="11" spans="1:39" ht="15.75" thickBot="1">
      <c r="E11" s="139"/>
      <c r="F11" s="139"/>
      <c r="G11" s="139"/>
      <c r="H11" s="139"/>
      <c r="AA11" s="20"/>
      <c r="AB11" s="26"/>
      <c r="AC11" s="231"/>
      <c r="AD11" s="232"/>
      <c r="AE11" s="232"/>
      <c r="AF11" s="27"/>
      <c r="AG11" s="164"/>
    </row>
    <row r="12" spans="1:39" ht="18">
      <c r="D12" s="233" t="s">
        <v>546</v>
      </c>
      <c r="E12" s="571"/>
      <c r="F12" s="572"/>
      <c r="G12" s="572"/>
      <c r="J12" s="188" t="s">
        <v>333</v>
      </c>
      <c r="K12" s="575" t="str">
        <f ca="1">IF(E12="","",NOW())</f>
        <v/>
      </c>
      <c r="L12" s="575"/>
      <c r="M12" s="141"/>
      <c r="N12" s="141"/>
      <c r="O12" s="141"/>
      <c r="P12" s="234" t="s">
        <v>131</v>
      </c>
      <c r="Q12" s="235">
        <v>1</v>
      </c>
      <c r="R12" s="235">
        <v>2</v>
      </c>
      <c r="S12" s="235">
        <v>4</v>
      </c>
      <c r="T12" s="235">
        <v>7</v>
      </c>
      <c r="U12" s="235">
        <v>8</v>
      </c>
      <c r="V12" s="235">
        <v>9</v>
      </c>
      <c r="W12" s="170" t="s">
        <v>132</v>
      </c>
      <c r="Y12" s="171"/>
      <c r="AA12" s="20"/>
      <c r="AB12" s="591"/>
      <c r="AC12" s="591"/>
      <c r="AD12" s="162"/>
    </row>
    <row r="13" spans="1:39" ht="18">
      <c r="D13" s="198"/>
      <c r="E13" s="192"/>
      <c r="F13" s="139"/>
      <c r="J13" s="188"/>
      <c r="K13" s="576"/>
      <c r="L13" s="576"/>
      <c r="M13" s="141"/>
      <c r="N13" s="141"/>
      <c r="O13" s="141"/>
      <c r="P13" s="234" t="s">
        <v>133</v>
      </c>
      <c r="Q13" s="69"/>
      <c r="R13" s="69"/>
      <c r="S13" s="69"/>
      <c r="T13" s="69"/>
      <c r="U13" s="69"/>
      <c r="V13" s="69"/>
      <c r="W13" s="236" t="str">
        <f>IF(SUM(Q13:V13)=0,"",SUM(Q13:V13))</f>
        <v/>
      </c>
      <c r="Y13" s="171"/>
      <c r="AA13" s="139"/>
    </row>
    <row r="14" spans="1:39" ht="18">
      <c r="D14" s="233" t="s">
        <v>547</v>
      </c>
      <c r="E14" s="571"/>
      <c r="F14" s="572"/>
      <c r="G14" s="572"/>
      <c r="J14" s="188" t="s">
        <v>333</v>
      </c>
      <c r="K14" s="575" t="str">
        <f ca="1">IF(D15="","",NOW())</f>
        <v/>
      </c>
      <c r="L14" s="575"/>
      <c r="M14" s="141"/>
      <c r="N14" s="141"/>
      <c r="O14" s="141"/>
      <c r="P14" s="237"/>
      <c r="Q14" s="238"/>
      <c r="R14" s="238"/>
      <c r="S14" s="238"/>
      <c r="T14" s="238"/>
      <c r="U14" s="238"/>
      <c r="V14" s="238"/>
      <c r="W14" s="239" t="str">
        <f>IF(SUM(Q13:V13)=0,"",SUM(Q13:V13))</f>
        <v/>
      </c>
      <c r="X14" s="172"/>
      <c r="Y14" s="172"/>
      <c r="AA14" s="139"/>
    </row>
    <row r="15" spans="1:39">
      <c r="L15" s="141"/>
      <c r="M15" s="141"/>
      <c r="N15" s="141"/>
      <c r="O15" s="141"/>
      <c r="P15" s="143"/>
      <c r="AB15" s="166"/>
      <c r="AC15" s="166"/>
      <c r="AE15" s="139"/>
      <c r="AF15" s="139"/>
      <c r="AG15" s="139"/>
      <c r="AH15" s="139"/>
    </row>
    <row r="16" spans="1:39" ht="15.75">
      <c r="M16" s="240"/>
      <c r="N16" s="240"/>
      <c r="O16" s="241" t="s">
        <v>337</v>
      </c>
      <c r="P16" s="242" t="str">
        <f>IF(SUM(P17:P117)=0,"",SUM(P17:P117))</f>
        <v/>
      </c>
      <c r="Q16" s="586" t="s">
        <v>548</v>
      </c>
      <c r="R16" s="587"/>
      <c r="S16" s="587"/>
      <c r="T16" s="587"/>
      <c r="U16" s="587"/>
      <c r="V16" s="588"/>
      <c r="W16" s="243"/>
      <c r="AC16" s="582" t="s">
        <v>134</v>
      </c>
      <c r="AD16" s="583"/>
      <c r="AE16" s="584"/>
      <c r="AF16" s="584"/>
      <c r="AG16" s="584"/>
      <c r="AH16" s="585"/>
      <c r="AI16" s="173"/>
    </row>
    <row r="17" spans="1:35" s="252" customFormat="1" ht="51" customHeight="1">
      <c r="A17" s="244"/>
      <c r="B17" s="245" t="s">
        <v>305</v>
      </c>
      <c r="C17" s="245" t="s">
        <v>135</v>
      </c>
      <c r="D17" s="246" t="s">
        <v>549</v>
      </c>
      <c r="E17" s="247" t="s">
        <v>550</v>
      </c>
      <c r="F17" s="247" t="s">
        <v>551</v>
      </c>
      <c r="G17" s="247" t="s">
        <v>552</v>
      </c>
      <c r="H17" s="247" t="s">
        <v>553</v>
      </c>
      <c r="I17" s="248" t="s">
        <v>554</v>
      </c>
      <c r="J17" s="249" t="s">
        <v>555</v>
      </c>
      <c r="K17" s="249" t="s">
        <v>556</v>
      </c>
      <c r="L17" s="250" t="s">
        <v>557</v>
      </c>
      <c r="M17" s="251" t="s">
        <v>558</v>
      </c>
      <c r="N17" s="251" t="s">
        <v>559</v>
      </c>
      <c r="O17" s="251" t="s">
        <v>560</v>
      </c>
      <c r="P17" s="251" t="s">
        <v>561</v>
      </c>
      <c r="Q17" s="250" t="s">
        <v>136</v>
      </c>
      <c r="R17" s="250" t="s">
        <v>382</v>
      </c>
      <c r="S17" s="250" t="s">
        <v>137</v>
      </c>
      <c r="T17" s="250" t="s">
        <v>138</v>
      </c>
      <c r="U17" s="250" t="s">
        <v>139</v>
      </c>
      <c r="V17" s="250" t="s">
        <v>330</v>
      </c>
      <c r="W17" s="250" t="s">
        <v>562</v>
      </c>
      <c r="X17" s="247" t="s">
        <v>140</v>
      </c>
      <c r="Y17" s="249" t="s">
        <v>563</v>
      </c>
      <c r="Z17" s="247" t="s">
        <v>513</v>
      </c>
      <c r="AA17" s="247" t="s">
        <v>141</v>
      </c>
      <c r="AB17" s="247" t="s">
        <v>564</v>
      </c>
      <c r="AC17" s="250" t="s">
        <v>136</v>
      </c>
      <c r="AD17" s="250" t="s">
        <v>384</v>
      </c>
      <c r="AE17" s="250" t="s">
        <v>137</v>
      </c>
      <c r="AF17" s="250" t="s">
        <v>138</v>
      </c>
      <c r="AG17" s="250" t="s">
        <v>139</v>
      </c>
      <c r="AH17" s="250" t="s">
        <v>330</v>
      </c>
      <c r="AI17" s="250" t="s">
        <v>132</v>
      </c>
    </row>
    <row r="18" spans="1:35" ht="21" customHeight="1">
      <c r="A18" s="164">
        <v>1</v>
      </c>
      <c r="B18" s="60" t="str">
        <f>IF('Add Change'!D23="","",+'Add Change'!D23)</f>
        <v/>
      </c>
      <c r="C18" s="31" t="str">
        <f>IF('Add Change'!I23="","",+'Add Change'!I23)</f>
        <v/>
      </c>
      <c r="D18" s="253" t="str">
        <f>IF('Add Change'!W23="","",'Add Change'!W23)</f>
        <v/>
      </c>
      <c r="E18" s="31"/>
      <c r="F18" s="70"/>
      <c r="G18" s="253"/>
      <c r="H18" s="254" t="str">
        <f>IF($AK$3=1,"",IF($AK$3=2,"Enter Forecast",IF($AK$3=3,IF(LEN(I18)=9,"",(I18*$W$13/4)*52),"Error")))</f>
        <v/>
      </c>
      <c r="I18" s="255" t="str">
        <f>IF($AK$3=1,"",IF($AK$3=2,IF(LEN(H18)=14,"",((H18/$W$13)/52)*4),IF($AK$3=3,"Avg Units","Error")))</f>
        <v/>
      </c>
      <c r="J18" s="256"/>
      <c r="K18" s="257"/>
      <c r="L18" s="258" t="str">
        <f>IF(K18="","",(K18/J18/52)*4)</f>
        <v/>
      </c>
      <c r="M18" s="259" t="str">
        <f>IF(L18="","",ROUND(I18/L18,1))</f>
        <v/>
      </c>
      <c r="N18" s="260" t="str">
        <f t="shared" ref="N18:N81" si="0">IF($M18="","",($M18*$L18*$W$13/4)*52)</f>
        <v/>
      </c>
      <c r="O18" s="261" t="str">
        <f>IF(N18="","",(N18/W$13/52)*4)</f>
        <v/>
      </c>
      <c r="P18" s="262" t="str">
        <f>IF(H18="","",+H18*D18)</f>
        <v/>
      </c>
      <c r="Q18" s="263" t="str">
        <f t="shared" ref="Q18:V33" si="1">IF($O18="","",($O18*Q$13/4)*52)</f>
        <v/>
      </c>
      <c r="R18" s="263" t="str">
        <f t="shared" si="1"/>
        <v/>
      </c>
      <c r="S18" s="263" t="str">
        <f t="shared" si="1"/>
        <v/>
      </c>
      <c r="T18" s="263" t="str">
        <f t="shared" si="1"/>
        <v/>
      </c>
      <c r="U18" s="263" t="str">
        <f t="shared" si="1"/>
        <v/>
      </c>
      <c r="V18" s="263" t="str">
        <f t="shared" si="1"/>
        <v/>
      </c>
      <c r="W18" s="263" t="str">
        <f>IF(SUM(Q18:V18)=0,"",SUM(Q18:V18))</f>
        <v/>
      </c>
      <c r="X18" s="30"/>
      <c r="Y18" s="264"/>
      <c r="Z18" s="30"/>
      <c r="AA18" s="61"/>
      <c r="AB18" s="62"/>
      <c r="AC18" s="263" t="str">
        <f>IF(AB18="","",(INT(($AB18/$AA18)+0.99)*$AA18)*Q$13)</f>
        <v/>
      </c>
      <c r="AD18" s="263" t="str">
        <f>IF(AB18="","",(INT(($AB18/$AA18)+0.99)*$AA18)*R$13)</f>
        <v/>
      </c>
      <c r="AE18" s="263" t="str">
        <f>IF(AB18="","",(INT(($AB18/$AA18)+0.99)*$AA18)*S$13)</f>
        <v/>
      </c>
      <c r="AF18" s="263" t="str">
        <f>IF(AB18="","",(INT(($AB18/$AA18)+0.99)*$AA18)*T$13)</f>
        <v/>
      </c>
      <c r="AG18" s="263" t="str">
        <f>IF(AB18="","",(INT(($AB18/$AA18)+0.99)*$AA18)*U$13)</f>
        <v/>
      </c>
      <c r="AH18" s="263" t="str">
        <f>IF(AB18="","",(INT(($AB18/$AA18)+0.99)*$AA18)*V$13)</f>
        <v/>
      </c>
      <c r="AI18" s="263" t="str">
        <f>IF(SUM(AC18:AH18)=0,"",SUM(AC18:AH18))</f>
        <v/>
      </c>
    </row>
    <row r="19" spans="1:35" ht="21" customHeight="1">
      <c r="A19" s="164">
        <v>2</v>
      </c>
      <c r="B19" s="60" t="str">
        <f>IF('Add Change'!D24="","",+'Add Change'!D24)</f>
        <v/>
      </c>
      <c r="C19" s="31" t="str">
        <f>IF('Add Change'!I24="","",+'Add Change'!I24)</f>
        <v/>
      </c>
      <c r="D19" s="253" t="str">
        <f>IF('Add Change'!W24="","",'Add Change'!W24)</f>
        <v/>
      </c>
      <c r="E19" s="31"/>
      <c r="F19" s="70"/>
      <c r="G19" s="253"/>
      <c r="H19" s="254" t="str">
        <f t="shared" ref="H19:H82" si="2">IF($AK$3=1,"",IF($AK$3=2,"Enter Forecast",IF($AK$3=3,IF(LEN(I19)=9,"",(I19*$W$13/4)*52),"Error")))</f>
        <v/>
      </c>
      <c r="I19" s="255" t="str">
        <f t="shared" ref="I19:I82" si="3">IF($AK$3=1,"",IF($AK$3=2,IF(LEN(H19)=14,"",((H19/$W$13)/52)*4),IF($AK$3=3,"Avg Units","Error")))</f>
        <v/>
      </c>
      <c r="J19" s="256"/>
      <c r="K19" s="257"/>
      <c r="L19" s="258" t="str">
        <f t="shared" ref="L19:L82" si="4">IF(K19="","",(K19/J19/52)*4)</f>
        <v/>
      </c>
      <c r="M19" s="259" t="str">
        <f t="shared" ref="M19:M82" si="5">IF(L19="","",ROUND(I19/L19,1))</f>
        <v/>
      </c>
      <c r="N19" s="260" t="str">
        <f t="shared" si="0"/>
        <v/>
      </c>
      <c r="O19" s="261" t="str">
        <f t="shared" ref="O19:O82" si="6">IF(N19="","",(N19/W$13/52)*4)</f>
        <v/>
      </c>
      <c r="P19" s="262" t="str">
        <f t="shared" ref="P19:P82" si="7">IF(H19="","",+H19*D19)</f>
        <v/>
      </c>
      <c r="Q19" s="263" t="str">
        <f t="shared" si="1"/>
        <v/>
      </c>
      <c r="R19" s="263" t="str">
        <f t="shared" si="1"/>
        <v/>
      </c>
      <c r="S19" s="263" t="str">
        <f t="shared" si="1"/>
        <v/>
      </c>
      <c r="T19" s="263" t="str">
        <f t="shared" si="1"/>
        <v/>
      </c>
      <c r="U19" s="263" t="str">
        <f t="shared" si="1"/>
        <v/>
      </c>
      <c r="V19" s="263" t="str">
        <f t="shared" si="1"/>
        <v/>
      </c>
      <c r="W19" s="263" t="str">
        <f t="shared" ref="W19:W82" si="8">IF(SUM(Q19:V19)=0,"",SUM(Q19:V19))</f>
        <v/>
      </c>
      <c r="X19" s="30"/>
      <c r="Y19" s="264"/>
      <c r="Z19" s="30"/>
      <c r="AA19" s="61"/>
      <c r="AB19" s="62"/>
      <c r="AC19" s="263" t="str">
        <f t="shared" ref="AC19:AC82" si="9">IF(AB19="","",(INT(($AB19/$AA19)+0.99)*$AA19)*Q$13)</f>
        <v/>
      </c>
      <c r="AD19" s="263" t="str">
        <f t="shared" ref="AD19:AD82" si="10">IF(AB19="","",(INT(($AB19/$AA19)+0.99)*$AA19)*R$13)</f>
        <v/>
      </c>
      <c r="AE19" s="263" t="str">
        <f t="shared" ref="AE19:AE82" si="11">IF(AB19="","",(INT(($AB19/$AA19)+0.99)*$AA19)*S$13)</f>
        <v/>
      </c>
      <c r="AF19" s="263" t="str">
        <f t="shared" ref="AF19:AF82" si="12">IF(AB19="","",(INT(($AB19/$AA19)+0.99)*$AA19)*T$13)</f>
        <v/>
      </c>
      <c r="AG19" s="263" t="str">
        <f t="shared" ref="AG19:AG82" si="13">IF(AB19="","",(INT(($AB19/$AA19)+0.99)*$AA19)*U$13)</f>
        <v/>
      </c>
      <c r="AH19" s="263" t="str">
        <f t="shared" ref="AH19:AH82" si="14">IF(AB19="","",(INT(($AB19/$AA19)+0.99)*$AA19)*V$13)</f>
        <v/>
      </c>
      <c r="AI19" s="263" t="str">
        <f t="shared" ref="AI19:AI82" si="15">IF(SUM(AC19:AH19)=0,"",SUM(AC19:AH19))</f>
        <v/>
      </c>
    </row>
    <row r="20" spans="1:35" ht="21" customHeight="1">
      <c r="A20" s="164">
        <v>3</v>
      </c>
      <c r="B20" s="60" t="str">
        <f>IF('Add Change'!D25="","",+'Add Change'!D25)</f>
        <v/>
      </c>
      <c r="C20" s="31" t="str">
        <f>IF('Add Change'!I25="","",+'Add Change'!I25)</f>
        <v/>
      </c>
      <c r="D20" s="253" t="str">
        <f>IF('Add Change'!W25="","",'Add Change'!W25)</f>
        <v/>
      </c>
      <c r="E20" s="31"/>
      <c r="F20" s="70"/>
      <c r="G20" s="253"/>
      <c r="H20" s="254" t="str">
        <f t="shared" si="2"/>
        <v/>
      </c>
      <c r="I20" s="255" t="str">
        <f t="shared" si="3"/>
        <v/>
      </c>
      <c r="J20" s="256"/>
      <c r="K20" s="257"/>
      <c r="L20" s="258" t="str">
        <f t="shared" si="4"/>
        <v/>
      </c>
      <c r="M20" s="259" t="str">
        <f t="shared" si="5"/>
        <v/>
      </c>
      <c r="N20" s="260" t="str">
        <f t="shared" si="0"/>
        <v/>
      </c>
      <c r="O20" s="261" t="str">
        <f t="shared" si="6"/>
        <v/>
      </c>
      <c r="P20" s="262" t="str">
        <f t="shared" si="7"/>
        <v/>
      </c>
      <c r="Q20" s="263" t="str">
        <f t="shared" si="1"/>
        <v/>
      </c>
      <c r="R20" s="263" t="str">
        <f t="shared" si="1"/>
        <v/>
      </c>
      <c r="S20" s="263" t="str">
        <f t="shared" si="1"/>
        <v/>
      </c>
      <c r="T20" s="263" t="str">
        <f t="shared" si="1"/>
        <v/>
      </c>
      <c r="U20" s="263" t="str">
        <f t="shared" si="1"/>
        <v/>
      </c>
      <c r="V20" s="263" t="str">
        <f t="shared" si="1"/>
        <v/>
      </c>
      <c r="W20" s="263" t="str">
        <f t="shared" si="8"/>
        <v/>
      </c>
      <c r="X20" s="30"/>
      <c r="Y20" s="264"/>
      <c r="Z20" s="30"/>
      <c r="AA20" s="61"/>
      <c r="AB20" s="62"/>
      <c r="AC20" s="263" t="str">
        <f t="shared" si="9"/>
        <v/>
      </c>
      <c r="AD20" s="263" t="str">
        <f t="shared" si="10"/>
        <v/>
      </c>
      <c r="AE20" s="263" t="str">
        <f t="shared" si="11"/>
        <v/>
      </c>
      <c r="AF20" s="263" t="str">
        <f t="shared" si="12"/>
        <v/>
      </c>
      <c r="AG20" s="263" t="str">
        <f t="shared" si="13"/>
        <v/>
      </c>
      <c r="AH20" s="263" t="str">
        <f t="shared" si="14"/>
        <v/>
      </c>
      <c r="AI20" s="263" t="str">
        <f t="shared" si="15"/>
        <v/>
      </c>
    </row>
    <row r="21" spans="1:35" ht="21" customHeight="1">
      <c r="A21" s="164">
        <v>4</v>
      </c>
      <c r="B21" s="60" t="str">
        <f>IF('Add Change'!D26="","",+'Add Change'!D26)</f>
        <v/>
      </c>
      <c r="C21" s="31" t="str">
        <f>IF('Add Change'!I26="","",+'Add Change'!I26)</f>
        <v/>
      </c>
      <c r="D21" s="253" t="str">
        <f>IF('Add Change'!W26="","",'Add Change'!W26)</f>
        <v/>
      </c>
      <c r="E21" s="31"/>
      <c r="F21" s="70"/>
      <c r="G21" s="253"/>
      <c r="H21" s="254" t="str">
        <f t="shared" si="2"/>
        <v/>
      </c>
      <c r="I21" s="255" t="str">
        <f t="shared" si="3"/>
        <v/>
      </c>
      <c r="J21" s="256"/>
      <c r="K21" s="257"/>
      <c r="L21" s="258" t="str">
        <f t="shared" si="4"/>
        <v/>
      </c>
      <c r="M21" s="259" t="str">
        <f t="shared" si="5"/>
        <v/>
      </c>
      <c r="N21" s="260" t="str">
        <f t="shared" si="0"/>
        <v/>
      </c>
      <c r="O21" s="261" t="str">
        <f t="shared" si="6"/>
        <v/>
      </c>
      <c r="P21" s="262" t="str">
        <f t="shared" si="7"/>
        <v/>
      </c>
      <c r="Q21" s="263" t="str">
        <f t="shared" si="1"/>
        <v/>
      </c>
      <c r="R21" s="263" t="str">
        <f t="shared" si="1"/>
        <v/>
      </c>
      <c r="S21" s="263" t="str">
        <f t="shared" si="1"/>
        <v/>
      </c>
      <c r="T21" s="263" t="str">
        <f t="shared" si="1"/>
        <v/>
      </c>
      <c r="U21" s="263" t="str">
        <f t="shared" si="1"/>
        <v/>
      </c>
      <c r="V21" s="263" t="str">
        <f t="shared" si="1"/>
        <v/>
      </c>
      <c r="W21" s="263" t="str">
        <f t="shared" si="8"/>
        <v/>
      </c>
      <c r="X21" s="30"/>
      <c r="Y21" s="264"/>
      <c r="Z21" s="30"/>
      <c r="AA21" s="61"/>
      <c r="AB21" s="62"/>
      <c r="AC21" s="263" t="str">
        <f t="shared" si="9"/>
        <v/>
      </c>
      <c r="AD21" s="263" t="str">
        <f t="shared" si="10"/>
        <v/>
      </c>
      <c r="AE21" s="263" t="str">
        <f t="shared" si="11"/>
        <v/>
      </c>
      <c r="AF21" s="263" t="str">
        <f t="shared" si="12"/>
        <v/>
      </c>
      <c r="AG21" s="263" t="str">
        <f t="shared" si="13"/>
        <v/>
      </c>
      <c r="AH21" s="263" t="str">
        <f t="shared" si="14"/>
        <v/>
      </c>
      <c r="AI21" s="263" t="str">
        <f t="shared" si="15"/>
        <v/>
      </c>
    </row>
    <row r="22" spans="1:35" ht="21" customHeight="1">
      <c r="A22" s="164">
        <v>5</v>
      </c>
      <c r="B22" s="60" t="str">
        <f>IF('Add Change'!D27="","",+'Add Change'!D27)</f>
        <v/>
      </c>
      <c r="C22" s="31" t="str">
        <f>IF('Add Change'!I27="","",+'Add Change'!I27)</f>
        <v/>
      </c>
      <c r="D22" s="253" t="str">
        <f>IF('Add Change'!W27="","",'Add Change'!W27)</f>
        <v/>
      </c>
      <c r="E22" s="31"/>
      <c r="F22" s="70"/>
      <c r="G22" s="253"/>
      <c r="H22" s="254" t="str">
        <f t="shared" si="2"/>
        <v/>
      </c>
      <c r="I22" s="255" t="str">
        <f t="shared" si="3"/>
        <v/>
      </c>
      <c r="J22" s="256"/>
      <c r="K22" s="257"/>
      <c r="L22" s="258" t="str">
        <f t="shared" si="4"/>
        <v/>
      </c>
      <c r="M22" s="259" t="str">
        <f t="shared" si="5"/>
        <v/>
      </c>
      <c r="N22" s="260" t="str">
        <f t="shared" si="0"/>
        <v/>
      </c>
      <c r="O22" s="261" t="str">
        <f t="shared" si="6"/>
        <v/>
      </c>
      <c r="P22" s="262" t="str">
        <f t="shared" si="7"/>
        <v/>
      </c>
      <c r="Q22" s="263" t="str">
        <f t="shared" si="1"/>
        <v/>
      </c>
      <c r="R22" s="263" t="str">
        <f t="shared" si="1"/>
        <v/>
      </c>
      <c r="S22" s="263" t="str">
        <f t="shared" si="1"/>
        <v/>
      </c>
      <c r="T22" s="263" t="str">
        <f t="shared" si="1"/>
        <v/>
      </c>
      <c r="U22" s="263" t="str">
        <f t="shared" si="1"/>
        <v/>
      </c>
      <c r="V22" s="263" t="str">
        <f t="shared" si="1"/>
        <v/>
      </c>
      <c r="W22" s="263" t="str">
        <f t="shared" si="8"/>
        <v/>
      </c>
      <c r="X22" s="30"/>
      <c r="Y22" s="264"/>
      <c r="Z22" s="30"/>
      <c r="AA22" s="61"/>
      <c r="AB22" s="62"/>
      <c r="AC22" s="263" t="str">
        <f t="shared" si="9"/>
        <v/>
      </c>
      <c r="AD22" s="263" t="str">
        <f t="shared" si="10"/>
        <v/>
      </c>
      <c r="AE22" s="263" t="str">
        <f t="shared" si="11"/>
        <v/>
      </c>
      <c r="AF22" s="263" t="str">
        <f t="shared" si="12"/>
        <v/>
      </c>
      <c r="AG22" s="263" t="str">
        <f t="shared" si="13"/>
        <v/>
      </c>
      <c r="AH22" s="263" t="str">
        <f t="shared" si="14"/>
        <v/>
      </c>
      <c r="AI22" s="263" t="str">
        <f t="shared" si="15"/>
        <v/>
      </c>
    </row>
    <row r="23" spans="1:35" ht="21" customHeight="1">
      <c r="A23" s="164">
        <v>6</v>
      </c>
      <c r="B23" s="60" t="str">
        <f>IF('Add Change'!D28="","",+'Add Change'!D28)</f>
        <v/>
      </c>
      <c r="C23" s="31" t="str">
        <f>IF('Add Change'!I28="","",+'Add Change'!I28)</f>
        <v/>
      </c>
      <c r="D23" s="253" t="str">
        <f>IF('Add Change'!W28="","",'Add Change'!W28)</f>
        <v/>
      </c>
      <c r="E23" s="31"/>
      <c r="F23" s="70"/>
      <c r="G23" s="253"/>
      <c r="H23" s="254" t="str">
        <f t="shared" si="2"/>
        <v/>
      </c>
      <c r="I23" s="255" t="str">
        <f t="shared" si="3"/>
        <v/>
      </c>
      <c r="J23" s="256"/>
      <c r="K23" s="257"/>
      <c r="L23" s="258" t="str">
        <f t="shared" si="4"/>
        <v/>
      </c>
      <c r="M23" s="259" t="str">
        <f t="shared" si="5"/>
        <v/>
      </c>
      <c r="N23" s="260" t="str">
        <f t="shared" si="0"/>
        <v/>
      </c>
      <c r="O23" s="261" t="str">
        <f t="shared" si="6"/>
        <v/>
      </c>
      <c r="P23" s="262" t="str">
        <f t="shared" si="7"/>
        <v/>
      </c>
      <c r="Q23" s="263" t="str">
        <f t="shared" si="1"/>
        <v/>
      </c>
      <c r="R23" s="263" t="str">
        <f t="shared" si="1"/>
        <v/>
      </c>
      <c r="S23" s="263" t="str">
        <f t="shared" si="1"/>
        <v/>
      </c>
      <c r="T23" s="263" t="str">
        <f t="shared" si="1"/>
        <v/>
      </c>
      <c r="U23" s="263" t="str">
        <f t="shared" si="1"/>
        <v/>
      </c>
      <c r="V23" s="263" t="str">
        <f t="shared" si="1"/>
        <v/>
      </c>
      <c r="W23" s="263" t="str">
        <f t="shared" si="8"/>
        <v/>
      </c>
      <c r="X23" s="30"/>
      <c r="Y23" s="264"/>
      <c r="Z23" s="30"/>
      <c r="AA23" s="61"/>
      <c r="AB23" s="62"/>
      <c r="AC23" s="263" t="str">
        <f t="shared" si="9"/>
        <v/>
      </c>
      <c r="AD23" s="263" t="str">
        <f t="shared" si="10"/>
        <v/>
      </c>
      <c r="AE23" s="263" t="str">
        <f t="shared" si="11"/>
        <v/>
      </c>
      <c r="AF23" s="263" t="str">
        <f t="shared" si="12"/>
        <v/>
      </c>
      <c r="AG23" s="263" t="str">
        <f t="shared" si="13"/>
        <v/>
      </c>
      <c r="AH23" s="263" t="str">
        <f t="shared" si="14"/>
        <v/>
      </c>
      <c r="AI23" s="263" t="str">
        <f t="shared" si="15"/>
        <v/>
      </c>
    </row>
    <row r="24" spans="1:35" ht="21" customHeight="1">
      <c r="A24" s="164">
        <v>7</v>
      </c>
      <c r="B24" s="60" t="str">
        <f>IF('Add Change'!D29="","",+'Add Change'!D29)</f>
        <v/>
      </c>
      <c r="C24" s="31" t="str">
        <f>IF('Add Change'!I29="","",+'Add Change'!I29)</f>
        <v/>
      </c>
      <c r="D24" s="253" t="str">
        <f>IF('Add Change'!W29="","",'Add Change'!W29)</f>
        <v/>
      </c>
      <c r="E24" s="31"/>
      <c r="F24" s="70"/>
      <c r="G24" s="253"/>
      <c r="H24" s="254" t="str">
        <f t="shared" si="2"/>
        <v/>
      </c>
      <c r="I24" s="255" t="str">
        <f t="shared" si="3"/>
        <v/>
      </c>
      <c r="J24" s="256"/>
      <c r="K24" s="257"/>
      <c r="L24" s="258" t="str">
        <f t="shared" si="4"/>
        <v/>
      </c>
      <c r="M24" s="259" t="str">
        <f t="shared" si="5"/>
        <v/>
      </c>
      <c r="N24" s="260" t="str">
        <f t="shared" si="0"/>
        <v/>
      </c>
      <c r="O24" s="261" t="str">
        <f t="shared" si="6"/>
        <v/>
      </c>
      <c r="P24" s="262" t="str">
        <f t="shared" si="7"/>
        <v/>
      </c>
      <c r="Q24" s="263" t="str">
        <f t="shared" si="1"/>
        <v/>
      </c>
      <c r="R24" s="263" t="str">
        <f t="shared" si="1"/>
        <v/>
      </c>
      <c r="S24" s="263" t="str">
        <f t="shared" si="1"/>
        <v/>
      </c>
      <c r="T24" s="263" t="str">
        <f t="shared" si="1"/>
        <v/>
      </c>
      <c r="U24" s="263" t="str">
        <f t="shared" si="1"/>
        <v/>
      </c>
      <c r="V24" s="263" t="str">
        <f t="shared" si="1"/>
        <v/>
      </c>
      <c r="W24" s="263" t="str">
        <f t="shared" si="8"/>
        <v/>
      </c>
      <c r="X24" s="30"/>
      <c r="Y24" s="264"/>
      <c r="Z24" s="30"/>
      <c r="AA24" s="61"/>
      <c r="AB24" s="62"/>
      <c r="AC24" s="263" t="str">
        <f t="shared" si="9"/>
        <v/>
      </c>
      <c r="AD24" s="263" t="str">
        <f t="shared" si="10"/>
        <v/>
      </c>
      <c r="AE24" s="263" t="str">
        <f t="shared" si="11"/>
        <v/>
      </c>
      <c r="AF24" s="263" t="str">
        <f t="shared" si="12"/>
        <v/>
      </c>
      <c r="AG24" s="263" t="str">
        <f t="shared" si="13"/>
        <v/>
      </c>
      <c r="AH24" s="263" t="str">
        <f t="shared" si="14"/>
        <v/>
      </c>
      <c r="AI24" s="263" t="str">
        <f t="shared" si="15"/>
        <v/>
      </c>
    </row>
    <row r="25" spans="1:35" ht="21" customHeight="1">
      <c r="A25" s="164">
        <v>8</v>
      </c>
      <c r="B25" s="60" t="str">
        <f>IF('Add Change'!D30="","",+'Add Change'!D30)</f>
        <v/>
      </c>
      <c r="C25" s="31" t="str">
        <f>IF('Add Change'!I30="","",+'Add Change'!I30)</f>
        <v/>
      </c>
      <c r="D25" s="253" t="str">
        <f>IF('Add Change'!W30="","",'Add Change'!W30)</f>
        <v/>
      </c>
      <c r="E25" s="31"/>
      <c r="F25" s="70"/>
      <c r="G25" s="253"/>
      <c r="H25" s="254" t="str">
        <f t="shared" si="2"/>
        <v/>
      </c>
      <c r="I25" s="255" t="str">
        <f t="shared" si="3"/>
        <v/>
      </c>
      <c r="J25" s="256"/>
      <c r="K25" s="257"/>
      <c r="L25" s="258" t="str">
        <f t="shared" si="4"/>
        <v/>
      </c>
      <c r="M25" s="259" t="str">
        <f t="shared" si="5"/>
        <v/>
      </c>
      <c r="N25" s="260" t="str">
        <f t="shared" si="0"/>
        <v/>
      </c>
      <c r="O25" s="261" t="str">
        <f t="shared" si="6"/>
        <v/>
      </c>
      <c r="P25" s="262" t="str">
        <f t="shared" si="7"/>
        <v/>
      </c>
      <c r="Q25" s="263" t="str">
        <f t="shared" si="1"/>
        <v/>
      </c>
      <c r="R25" s="263" t="str">
        <f t="shared" si="1"/>
        <v/>
      </c>
      <c r="S25" s="263" t="str">
        <f t="shared" si="1"/>
        <v/>
      </c>
      <c r="T25" s="263" t="str">
        <f t="shared" si="1"/>
        <v/>
      </c>
      <c r="U25" s="263" t="str">
        <f t="shared" si="1"/>
        <v/>
      </c>
      <c r="V25" s="263" t="str">
        <f t="shared" si="1"/>
        <v/>
      </c>
      <c r="W25" s="263" t="str">
        <f t="shared" si="8"/>
        <v/>
      </c>
      <c r="X25" s="30"/>
      <c r="Y25" s="264"/>
      <c r="Z25" s="30"/>
      <c r="AA25" s="61"/>
      <c r="AB25" s="62"/>
      <c r="AC25" s="263" t="str">
        <f t="shared" si="9"/>
        <v/>
      </c>
      <c r="AD25" s="263" t="str">
        <f t="shared" si="10"/>
        <v/>
      </c>
      <c r="AE25" s="263" t="str">
        <f t="shared" si="11"/>
        <v/>
      </c>
      <c r="AF25" s="263" t="str">
        <f t="shared" si="12"/>
        <v/>
      </c>
      <c r="AG25" s="263" t="str">
        <f t="shared" si="13"/>
        <v/>
      </c>
      <c r="AH25" s="263" t="str">
        <f t="shared" si="14"/>
        <v/>
      </c>
      <c r="AI25" s="263" t="str">
        <f t="shared" si="15"/>
        <v/>
      </c>
    </row>
    <row r="26" spans="1:35" ht="21" customHeight="1">
      <c r="A26" s="164">
        <v>9</v>
      </c>
      <c r="B26" s="60" t="str">
        <f>IF('Add Change'!D31="","",+'Add Change'!D31)</f>
        <v/>
      </c>
      <c r="C26" s="31" t="str">
        <f>IF('Add Change'!I31="","",+'Add Change'!I31)</f>
        <v/>
      </c>
      <c r="D26" s="253" t="str">
        <f>IF('Add Change'!W31="","",'Add Change'!W31)</f>
        <v/>
      </c>
      <c r="E26" s="31"/>
      <c r="F26" s="70"/>
      <c r="G26" s="253"/>
      <c r="H26" s="254" t="str">
        <f t="shared" si="2"/>
        <v/>
      </c>
      <c r="I26" s="255" t="str">
        <f t="shared" si="3"/>
        <v/>
      </c>
      <c r="J26" s="256"/>
      <c r="K26" s="257"/>
      <c r="L26" s="258" t="str">
        <f t="shared" si="4"/>
        <v/>
      </c>
      <c r="M26" s="259" t="str">
        <f t="shared" si="5"/>
        <v/>
      </c>
      <c r="N26" s="260" t="str">
        <f t="shared" si="0"/>
        <v/>
      </c>
      <c r="O26" s="261" t="str">
        <f t="shared" si="6"/>
        <v/>
      </c>
      <c r="P26" s="262" t="str">
        <f t="shared" si="7"/>
        <v/>
      </c>
      <c r="Q26" s="263" t="str">
        <f t="shared" si="1"/>
        <v/>
      </c>
      <c r="R26" s="263" t="str">
        <f t="shared" si="1"/>
        <v/>
      </c>
      <c r="S26" s="263" t="str">
        <f t="shared" si="1"/>
        <v/>
      </c>
      <c r="T26" s="263" t="str">
        <f t="shared" si="1"/>
        <v/>
      </c>
      <c r="U26" s="263" t="str">
        <f t="shared" si="1"/>
        <v/>
      </c>
      <c r="V26" s="263" t="str">
        <f t="shared" si="1"/>
        <v/>
      </c>
      <c r="W26" s="263" t="str">
        <f t="shared" si="8"/>
        <v/>
      </c>
      <c r="X26" s="30"/>
      <c r="Y26" s="264"/>
      <c r="Z26" s="30"/>
      <c r="AA26" s="61"/>
      <c r="AB26" s="62"/>
      <c r="AC26" s="263" t="str">
        <f t="shared" si="9"/>
        <v/>
      </c>
      <c r="AD26" s="263" t="str">
        <f t="shared" si="10"/>
        <v/>
      </c>
      <c r="AE26" s="263" t="str">
        <f t="shared" si="11"/>
        <v/>
      </c>
      <c r="AF26" s="263" t="str">
        <f t="shared" si="12"/>
        <v/>
      </c>
      <c r="AG26" s="263" t="str">
        <f t="shared" si="13"/>
        <v/>
      </c>
      <c r="AH26" s="263" t="str">
        <f t="shared" si="14"/>
        <v/>
      </c>
      <c r="AI26" s="263" t="str">
        <f t="shared" si="15"/>
        <v/>
      </c>
    </row>
    <row r="27" spans="1:35" ht="21" customHeight="1">
      <c r="A27" s="164">
        <v>10</v>
      </c>
      <c r="B27" s="60" t="str">
        <f>IF('Add Change'!D32="","",+'Add Change'!D32)</f>
        <v/>
      </c>
      <c r="C27" s="31" t="str">
        <f>IF('Add Change'!I32="","",+'Add Change'!I32)</f>
        <v/>
      </c>
      <c r="D27" s="253" t="str">
        <f>IF('Add Change'!W32="","",'Add Change'!W32)</f>
        <v/>
      </c>
      <c r="E27" s="31"/>
      <c r="F27" s="70"/>
      <c r="G27" s="253"/>
      <c r="H27" s="254" t="str">
        <f t="shared" si="2"/>
        <v/>
      </c>
      <c r="I27" s="255" t="str">
        <f t="shared" si="3"/>
        <v/>
      </c>
      <c r="J27" s="256"/>
      <c r="K27" s="257"/>
      <c r="L27" s="258" t="str">
        <f t="shared" si="4"/>
        <v/>
      </c>
      <c r="M27" s="259" t="str">
        <f t="shared" si="5"/>
        <v/>
      </c>
      <c r="N27" s="260" t="str">
        <f t="shared" si="0"/>
        <v/>
      </c>
      <c r="O27" s="261" t="str">
        <f t="shared" si="6"/>
        <v/>
      </c>
      <c r="P27" s="262" t="str">
        <f t="shared" si="7"/>
        <v/>
      </c>
      <c r="Q27" s="263" t="str">
        <f t="shared" si="1"/>
        <v/>
      </c>
      <c r="R27" s="263" t="str">
        <f t="shared" si="1"/>
        <v/>
      </c>
      <c r="S27" s="263" t="str">
        <f t="shared" si="1"/>
        <v/>
      </c>
      <c r="T27" s="263" t="str">
        <f t="shared" si="1"/>
        <v/>
      </c>
      <c r="U27" s="263" t="str">
        <f t="shared" si="1"/>
        <v/>
      </c>
      <c r="V27" s="263" t="str">
        <f t="shared" si="1"/>
        <v/>
      </c>
      <c r="W27" s="263" t="str">
        <f t="shared" si="8"/>
        <v/>
      </c>
      <c r="X27" s="30"/>
      <c r="Y27" s="264"/>
      <c r="Z27" s="30"/>
      <c r="AA27" s="61"/>
      <c r="AB27" s="62"/>
      <c r="AC27" s="263" t="str">
        <f t="shared" si="9"/>
        <v/>
      </c>
      <c r="AD27" s="263" t="str">
        <f t="shared" si="10"/>
        <v/>
      </c>
      <c r="AE27" s="263" t="str">
        <f t="shared" si="11"/>
        <v/>
      </c>
      <c r="AF27" s="263" t="str">
        <f t="shared" si="12"/>
        <v/>
      </c>
      <c r="AG27" s="263" t="str">
        <f t="shared" si="13"/>
        <v/>
      </c>
      <c r="AH27" s="263" t="str">
        <f t="shared" si="14"/>
        <v/>
      </c>
      <c r="AI27" s="263" t="str">
        <f t="shared" si="15"/>
        <v/>
      </c>
    </row>
    <row r="28" spans="1:35" ht="21" customHeight="1">
      <c r="A28" s="164">
        <v>11</v>
      </c>
      <c r="B28" s="60" t="str">
        <f>IF('Add Change'!D33="","",+'Add Change'!D33)</f>
        <v/>
      </c>
      <c r="C28" s="31" t="str">
        <f>IF('Add Change'!I33="","",+'Add Change'!I33)</f>
        <v/>
      </c>
      <c r="D28" s="253" t="str">
        <f>IF('Add Change'!W33="","",'Add Change'!W33)</f>
        <v/>
      </c>
      <c r="E28" s="31"/>
      <c r="F28" s="70"/>
      <c r="G28" s="253"/>
      <c r="H28" s="254" t="str">
        <f t="shared" si="2"/>
        <v/>
      </c>
      <c r="I28" s="255" t="str">
        <f t="shared" si="3"/>
        <v/>
      </c>
      <c r="J28" s="256"/>
      <c r="K28" s="257"/>
      <c r="L28" s="258" t="str">
        <f t="shared" si="4"/>
        <v/>
      </c>
      <c r="M28" s="259" t="str">
        <f t="shared" si="5"/>
        <v/>
      </c>
      <c r="N28" s="260" t="str">
        <f t="shared" si="0"/>
        <v/>
      </c>
      <c r="O28" s="261" t="str">
        <f t="shared" si="6"/>
        <v/>
      </c>
      <c r="P28" s="262" t="str">
        <f t="shared" si="7"/>
        <v/>
      </c>
      <c r="Q28" s="263" t="str">
        <f t="shared" si="1"/>
        <v/>
      </c>
      <c r="R28" s="263" t="str">
        <f t="shared" si="1"/>
        <v/>
      </c>
      <c r="S28" s="263" t="str">
        <f t="shared" si="1"/>
        <v/>
      </c>
      <c r="T28" s="263" t="str">
        <f t="shared" si="1"/>
        <v/>
      </c>
      <c r="U28" s="263" t="str">
        <f t="shared" si="1"/>
        <v/>
      </c>
      <c r="V28" s="263" t="str">
        <f t="shared" si="1"/>
        <v/>
      </c>
      <c r="W28" s="263" t="str">
        <f t="shared" si="8"/>
        <v/>
      </c>
      <c r="X28" s="30"/>
      <c r="Y28" s="264"/>
      <c r="Z28" s="30"/>
      <c r="AA28" s="61"/>
      <c r="AB28" s="62"/>
      <c r="AC28" s="263" t="str">
        <f t="shared" si="9"/>
        <v/>
      </c>
      <c r="AD28" s="263" t="str">
        <f t="shared" si="10"/>
        <v/>
      </c>
      <c r="AE28" s="263" t="str">
        <f t="shared" si="11"/>
        <v/>
      </c>
      <c r="AF28" s="263" t="str">
        <f t="shared" si="12"/>
        <v/>
      </c>
      <c r="AG28" s="263" t="str">
        <f t="shared" si="13"/>
        <v/>
      </c>
      <c r="AH28" s="263" t="str">
        <f t="shared" si="14"/>
        <v/>
      </c>
      <c r="AI28" s="263" t="str">
        <f t="shared" si="15"/>
        <v/>
      </c>
    </row>
    <row r="29" spans="1:35" ht="21" customHeight="1">
      <c r="A29" s="164">
        <v>12</v>
      </c>
      <c r="B29" s="60" t="str">
        <f>IF('Add Change'!D34="","",+'Add Change'!D34)</f>
        <v/>
      </c>
      <c r="C29" s="31" t="str">
        <f>IF('Add Change'!I34="","",+'Add Change'!I34)</f>
        <v/>
      </c>
      <c r="D29" s="253" t="str">
        <f>IF('Add Change'!W34="","",'Add Change'!W34)</f>
        <v/>
      </c>
      <c r="E29" s="31"/>
      <c r="F29" s="70"/>
      <c r="G29" s="253"/>
      <c r="H29" s="254" t="str">
        <f t="shared" si="2"/>
        <v/>
      </c>
      <c r="I29" s="255" t="str">
        <f t="shared" si="3"/>
        <v/>
      </c>
      <c r="J29" s="256"/>
      <c r="K29" s="257"/>
      <c r="L29" s="258" t="str">
        <f t="shared" si="4"/>
        <v/>
      </c>
      <c r="M29" s="259" t="str">
        <f t="shared" si="5"/>
        <v/>
      </c>
      <c r="N29" s="260" t="str">
        <f t="shared" si="0"/>
        <v/>
      </c>
      <c r="O29" s="261" t="str">
        <f t="shared" si="6"/>
        <v/>
      </c>
      <c r="P29" s="262" t="str">
        <f t="shared" si="7"/>
        <v/>
      </c>
      <c r="Q29" s="263" t="str">
        <f t="shared" si="1"/>
        <v/>
      </c>
      <c r="R29" s="263" t="str">
        <f t="shared" si="1"/>
        <v/>
      </c>
      <c r="S29" s="263" t="str">
        <f t="shared" si="1"/>
        <v/>
      </c>
      <c r="T29" s="263" t="str">
        <f t="shared" si="1"/>
        <v/>
      </c>
      <c r="U29" s="263" t="str">
        <f t="shared" si="1"/>
        <v/>
      </c>
      <c r="V29" s="263" t="str">
        <f t="shared" si="1"/>
        <v/>
      </c>
      <c r="W29" s="263" t="str">
        <f t="shared" si="8"/>
        <v/>
      </c>
      <c r="X29" s="30"/>
      <c r="Y29" s="264"/>
      <c r="Z29" s="30"/>
      <c r="AA29" s="61"/>
      <c r="AB29" s="62"/>
      <c r="AC29" s="263" t="str">
        <f t="shared" si="9"/>
        <v/>
      </c>
      <c r="AD29" s="263" t="str">
        <f t="shared" si="10"/>
        <v/>
      </c>
      <c r="AE29" s="263" t="str">
        <f t="shared" si="11"/>
        <v/>
      </c>
      <c r="AF29" s="263" t="str">
        <f t="shared" si="12"/>
        <v/>
      </c>
      <c r="AG29" s="263" t="str">
        <f t="shared" si="13"/>
        <v/>
      </c>
      <c r="AH29" s="263" t="str">
        <f t="shared" si="14"/>
        <v/>
      </c>
      <c r="AI29" s="263" t="str">
        <f t="shared" si="15"/>
        <v/>
      </c>
    </row>
    <row r="30" spans="1:35" ht="21" customHeight="1">
      <c r="A30" s="164">
        <v>13</v>
      </c>
      <c r="B30" s="60" t="str">
        <f>IF('Add Change'!D35="","",+'Add Change'!D35)</f>
        <v/>
      </c>
      <c r="C30" s="31" t="str">
        <f>IF('Add Change'!I35="","",+'Add Change'!I35)</f>
        <v/>
      </c>
      <c r="D30" s="253" t="str">
        <f>IF('Add Change'!W35="","",'Add Change'!W35)</f>
        <v/>
      </c>
      <c r="E30" s="31"/>
      <c r="F30" s="70"/>
      <c r="G30" s="253"/>
      <c r="H30" s="254" t="str">
        <f t="shared" si="2"/>
        <v/>
      </c>
      <c r="I30" s="255" t="str">
        <f t="shared" si="3"/>
        <v/>
      </c>
      <c r="J30" s="256"/>
      <c r="K30" s="257"/>
      <c r="L30" s="258" t="str">
        <f t="shared" si="4"/>
        <v/>
      </c>
      <c r="M30" s="259" t="str">
        <f t="shared" si="5"/>
        <v/>
      </c>
      <c r="N30" s="260" t="str">
        <f t="shared" si="0"/>
        <v/>
      </c>
      <c r="O30" s="261" t="str">
        <f t="shared" si="6"/>
        <v/>
      </c>
      <c r="P30" s="262" t="str">
        <f t="shared" si="7"/>
        <v/>
      </c>
      <c r="Q30" s="263" t="str">
        <f t="shared" si="1"/>
        <v/>
      </c>
      <c r="R30" s="263" t="str">
        <f t="shared" si="1"/>
        <v/>
      </c>
      <c r="S30" s="263" t="str">
        <f t="shared" si="1"/>
        <v/>
      </c>
      <c r="T30" s="263" t="str">
        <f t="shared" si="1"/>
        <v/>
      </c>
      <c r="U30" s="263" t="str">
        <f t="shared" si="1"/>
        <v/>
      </c>
      <c r="V30" s="263" t="str">
        <f t="shared" si="1"/>
        <v/>
      </c>
      <c r="W30" s="263" t="str">
        <f t="shared" si="8"/>
        <v/>
      </c>
      <c r="X30" s="30"/>
      <c r="Y30" s="264"/>
      <c r="Z30" s="30"/>
      <c r="AA30" s="61"/>
      <c r="AB30" s="62"/>
      <c r="AC30" s="263" t="str">
        <f t="shared" si="9"/>
        <v/>
      </c>
      <c r="AD30" s="263" t="str">
        <f t="shared" si="10"/>
        <v/>
      </c>
      <c r="AE30" s="263" t="str">
        <f t="shared" si="11"/>
        <v/>
      </c>
      <c r="AF30" s="263" t="str">
        <f t="shared" si="12"/>
        <v/>
      </c>
      <c r="AG30" s="263" t="str">
        <f t="shared" si="13"/>
        <v/>
      </c>
      <c r="AH30" s="263" t="str">
        <f t="shared" si="14"/>
        <v/>
      </c>
      <c r="AI30" s="263" t="str">
        <f t="shared" si="15"/>
        <v/>
      </c>
    </row>
    <row r="31" spans="1:35" ht="21" customHeight="1">
      <c r="A31" s="164">
        <v>14</v>
      </c>
      <c r="B31" s="60" t="str">
        <f>IF('Add Change'!D36="","",+'Add Change'!D36)</f>
        <v/>
      </c>
      <c r="C31" s="31" t="str">
        <f>IF('Add Change'!I36="","",+'Add Change'!I36)</f>
        <v/>
      </c>
      <c r="D31" s="253" t="str">
        <f>IF('Add Change'!W36="","",'Add Change'!W36)</f>
        <v/>
      </c>
      <c r="E31" s="31"/>
      <c r="F31" s="70"/>
      <c r="G31" s="253"/>
      <c r="H31" s="254" t="str">
        <f t="shared" si="2"/>
        <v/>
      </c>
      <c r="I31" s="255" t="str">
        <f t="shared" si="3"/>
        <v/>
      </c>
      <c r="J31" s="256"/>
      <c r="K31" s="257"/>
      <c r="L31" s="258" t="str">
        <f t="shared" si="4"/>
        <v/>
      </c>
      <c r="M31" s="259" t="str">
        <f t="shared" si="5"/>
        <v/>
      </c>
      <c r="N31" s="260" t="str">
        <f t="shared" si="0"/>
        <v/>
      </c>
      <c r="O31" s="261" t="str">
        <f t="shared" si="6"/>
        <v/>
      </c>
      <c r="P31" s="262" t="str">
        <f t="shared" si="7"/>
        <v/>
      </c>
      <c r="Q31" s="263" t="str">
        <f t="shared" si="1"/>
        <v/>
      </c>
      <c r="R31" s="263" t="str">
        <f t="shared" si="1"/>
        <v/>
      </c>
      <c r="S31" s="263" t="str">
        <f t="shared" si="1"/>
        <v/>
      </c>
      <c r="T31" s="263" t="str">
        <f t="shared" si="1"/>
        <v/>
      </c>
      <c r="U31" s="263" t="str">
        <f t="shared" si="1"/>
        <v/>
      </c>
      <c r="V31" s="263" t="str">
        <f t="shared" si="1"/>
        <v/>
      </c>
      <c r="W31" s="263" t="str">
        <f t="shared" si="8"/>
        <v/>
      </c>
      <c r="X31" s="30"/>
      <c r="Y31" s="264"/>
      <c r="Z31" s="30"/>
      <c r="AA31" s="61"/>
      <c r="AB31" s="62"/>
      <c r="AC31" s="263" t="str">
        <f t="shared" si="9"/>
        <v/>
      </c>
      <c r="AD31" s="263" t="str">
        <f t="shared" si="10"/>
        <v/>
      </c>
      <c r="AE31" s="263" t="str">
        <f t="shared" si="11"/>
        <v/>
      </c>
      <c r="AF31" s="263" t="str">
        <f t="shared" si="12"/>
        <v/>
      </c>
      <c r="AG31" s="263" t="str">
        <f t="shared" si="13"/>
        <v/>
      </c>
      <c r="AH31" s="263" t="str">
        <f t="shared" si="14"/>
        <v/>
      </c>
      <c r="AI31" s="263" t="str">
        <f t="shared" si="15"/>
        <v/>
      </c>
    </row>
    <row r="32" spans="1:35" ht="21" customHeight="1">
      <c r="A32" s="164">
        <v>15</v>
      </c>
      <c r="B32" s="60" t="str">
        <f>IF('Add Change'!D37="","",+'Add Change'!D37)</f>
        <v/>
      </c>
      <c r="C32" s="31" t="str">
        <f>IF('Add Change'!I37="","",+'Add Change'!I37)</f>
        <v/>
      </c>
      <c r="D32" s="253" t="str">
        <f>IF('Add Change'!W37="","",'Add Change'!W37)</f>
        <v/>
      </c>
      <c r="E32" s="31"/>
      <c r="F32" s="70"/>
      <c r="G32" s="253"/>
      <c r="H32" s="254" t="str">
        <f t="shared" si="2"/>
        <v/>
      </c>
      <c r="I32" s="255" t="str">
        <f t="shared" si="3"/>
        <v/>
      </c>
      <c r="J32" s="256"/>
      <c r="K32" s="257"/>
      <c r="L32" s="258" t="str">
        <f t="shared" si="4"/>
        <v/>
      </c>
      <c r="M32" s="259" t="str">
        <f t="shared" si="5"/>
        <v/>
      </c>
      <c r="N32" s="260" t="str">
        <f t="shared" si="0"/>
        <v/>
      </c>
      <c r="O32" s="261" t="str">
        <f t="shared" si="6"/>
        <v/>
      </c>
      <c r="P32" s="262" t="str">
        <f t="shared" si="7"/>
        <v/>
      </c>
      <c r="Q32" s="263" t="str">
        <f t="shared" si="1"/>
        <v/>
      </c>
      <c r="R32" s="263" t="str">
        <f t="shared" si="1"/>
        <v/>
      </c>
      <c r="S32" s="263" t="str">
        <f t="shared" si="1"/>
        <v/>
      </c>
      <c r="T32" s="263" t="str">
        <f t="shared" si="1"/>
        <v/>
      </c>
      <c r="U32" s="263" t="str">
        <f t="shared" si="1"/>
        <v/>
      </c>
      <c r="V32" s="263" t="str">
        <f t="shared" si="1"/>
        <v/>
      </c>
      <c r="W32" s="263" t="str">
        <f t="shared" si="8"/>
        <v/>
      </c>
      <c r="X32" s="30"/>
      <c r="Y32" s="264"/>
      <c r="Z32" s="30"/>
      <c r="AA32" s="61"/>
      <c r="AB32" s="62"/>
      <c r="AC32" s="263" t="str">
        <f t="shared" si="9"/>
        <v/>
      </c>
      <c r="AD32" s="263" t="str">
        <f t="shared" si="10"/>
        <v/>
      </c>
      <c r="AE32" s="263" t="str">
        <f t="shared" si="11"/>
        <v/>
      </c>
      <c r="AF32" s="263" t="str">
        <f t="shared" si="12"/>
        <v/>
      </c>
      <c r="AG32" s="263" t="str">
        <f t="shared" si="13"/>
        <v/>
      </c>
      <c r="AH32" s="263" t="str">
        <f t="shared" si="14"/>
        <v/>
      </c>
      <c r="AI32" s="263" t="str">
        <f t="shared" si="15"/>
        <v/>
      </c>
    </row>
    <row r="33" spans="1:35" ht="21" customHeight="1">
      <c r="A33" s="164">
        <v>16</v>
      </c>
      <c r="B33" s="60" t="str">
        <f>IF('Add Change'!D38="","",+'Add Change'!D38)</f>
        <v/>
      </c>
      <c r="C33" s="31" t="str">
        <f>IF('Add Change'!I38="","",+'Add Change'!I38)</f>
        <v/>
      </c>
      <c r="D33" s="253" t="str">
        <f>IF('Add Change'!W38="","",'Add Change'!W38)</f>
        <v/>
      </c>
      <c r="E33" s="31"/>
      <c r="F33" s="70"/>
      <c r="G33" s="253"/>
      <c r="H33" s="254" t="str">
        <f t="shared" si="2"/>
        <v/>
      </c>
      <c r="I33" s="255" t="str">
        <f t="shared" si="3"/>
        <v/>
      </c>
      <c r="J33" s="256"/>
      <c r="K33" s="257"/>
      <c r="L33" s="258" t="str">
        <f t="shared" si="4"/>
        <v/>
      </c>
      <c r="M33" s="259" t="str">
        <f t="shared" si="5"/>
        <v/>
      </c>
      <c r="N33" s="260" t="str">
        <f t="shared" si="0"/>
        <v/>
      </c>
      <c r="O33" s="261" t="str">
        <f t="shared" si="6"/>
        <v/>
      </c>
      <c r="P33" s="262" t="str">
        <f t="shared" si="7"/>
        <v/>
      </c>
      <c r="Q33" s="263" t="str">
        <f t="shared" si="1"/>
        <v/>
      </c>
      <c r="R33" s="263" t="str">
        <f t="shared" si="1"/>
        <v/>
      </c>
      <c r="S33" s="263" t="str">
        <f t="shared" si="1"/>
        <v/>
      </c>
      <c r="T33" s="263" t="str">
        <f t="shared" si="1"/>
        <v/>
      </c>
      <c r="U33" s="263" t="str">
        <f t="shared" si="1"/>
        <v/>
      </c>
      <c r="V33" s="263" t="str">
        <f t="shared" si="1"/>
        <v/>
      </c>
      <c r="W33" s="263" t="str">
        <f t="shared" si="8"/>
        <v/>
      </c>
      <c r="X33" s="30"/>
      <c r="Y33" s="264"/>
      <c r="Z33" s="30"/>
      <c r="AA33" s="61"/>
      <c r="AB33" s="62"/>
      <c r="AC33" s="263" t="str">
        <f t="shared" si="9"/>
        <v/>
      </c>
      <c r="AD33" s="263" t="str">
        <f t="shared" si="10"/>
        <v/>
      </c>
      <c r="AE33" s="263" t="str">
        <f t="shared" si="11"/>
        <v/>
      </c>
      <c r="AF33" s="263" t="str">
        <f t="shared" si="12"/>
        <v/>
      </c>
      <c r="AG33" s="263" t="str">
        <f t="shared" si="13"/>
        <v/>
      </c>
      <c r="AH33" s="263" t="str">
        <f t="shared" si="14"/>
        <v/>
      </c>
      <c r="AI33" s="263" t="str">
        <f t="shared" si="15"/>
        <v/>
      </c>
    </row>
    <row r="34" spans="1:35" ht="21" customHeight="1">
      <c r="A34" s="164">
        <v>17</v>
      </c>
      <c r="B34" s="60" t="str">
        <f>IF('Add Change'!D39="","",+'Add Change'!D39)</f>
        <v/>
      </c>
      <c r="C34" s="31" t="str">
        <f>IF('Add Change'!I39="","",+'Add Change'!I39)</f>
        <v/>
      </c>
      <c r="D34" s="253" t="str">
        <f>IF('Add Change'!W39="","",'Add Change'!W39)</f>
        <v/>
      </c>
      <c r="E34" s="31"/>
      <c r="F34" s="70"/>
      <c r="G34" s="253"/>
      <c r="H34" s="254" t="str">
        <f t="shared" si="2"/>
        <v/>
      </c>
      <c r="I34" s="255" t="str">
        <f t="shared" si="3"/>
        <v/>
      </c>
      <c r="J34" s="256"/>
      <c r="K34" s="257"/>
      <c r="L34" s="258" t="str">
        <f t="shared" si="4"/>
        <v/>
      </c>
      <c r="M34" s="259" t="str">
        <f t="shared" si="5"/>
        <v/>
      </c>
      <c r="N34" s="260" t="str">
        <f t="shared" si="0"/>
        <v/>
      </c>
      <c r="O34" s="261" t="str">
        <f t="shared" si="6"/>
        <v/>
      </c>
      <c r="P34" s="262" t="str">
        <f t="shared" si="7"/>
        <v/>
      </c>
      <c r="Q34" s="263" t="str">
        <f t="shared" ref="Q34:V76" si="16">IF($O34="","",($O34*Q$13/4)*52)</f>
        <v/>
      </c>
      <c r="R34" s="263" t="str">
        <f t="shared" si="16"/>
        <v/>
      </c>
      <c r="S34" s="263" t="str">
        <f t="shared" si="16"/>
        <v/>
      </c>
      <c r="T34" s="263" t="str">
        <f t="shared" si="16"/>
        <v/>
      </c>
      <c r="U34" s="263" t="str">
        <f t="shared" si="16"/>
        <v/>
      </c>
      <c r="V34" s="263" t="str">
        <f t="shared" si="16"/>
        <v/>
      </c>
      <c r="W34" s="263" t="str">
        <f t="shared" si="8"/>
        <v/>
      </c>
      <c r="X34" s="30"/>
      <c r="Y34" s="264"/>
      <c r="Z34" s="30"/>
      <c r="AA34" s="61"/>
      <c r="AB34" s="62"/>
      <c r="AC34" s="263" t="str">
        <f t="shared" si="9"/>
        <v/>
      </c>
      <c r="AD34" s="263" t="str">
        <f t="shared" si="10"/>
        <v/>
      </c>
      <c r="AE34" s="263" t="str">
        <f t="shared" si="11"/>
        <v/>
      </c>
      <c r="AF34" s="263" t="str">
        <f t="shared" si="12"/>
        <v/>
      </c>
      <c r="AG34" s="263" t="str">
        <f t="shared" si="13"/>
        <v/>
      </c>
      <c r="AH34" s="263" t="str">
        <f t="shared" si="14"/>
        <v/>
      </c>
      <c r="AI34" s="263" t="str">
        <f t="shared" si="15"/>
        <v/>
      </c>
    </row>
    <row r="35" spans="1:35" ht="21" customHeight="1">
      <c r="A35" s="164">
        <v>18</v>
      </c>
      <c r="B35" s="60" t="str">
        <f>IF('Add Change'!D40="","",+'Add Change'!D40)</f>
        <v/>
      </c>
      <c r="C35" s="31" t="str">
        <f>IF('Add Change'!I40="","",+'Add Change'!I40)</f>
        <v/>
      </c>
      <c r="D35" s="253" t="str">
        <f>IF('Add Change'!W40="","",'Add Change'!W40)</f>
        <v/>
      </c>
      <c r="E35" s="31"/>
      <c r="F35" s="70"/>
      <c r="G35" s="253"/>
      <c r="H35" s="254" t="str">
        <f t="shared" si="2"/>
        <v/>
      </c>
      <c r="I35" s="255" t="str">
        <f t="shared" si="3"/>
        <v/>
      </c>
      <c r="J35" s="256"/>
      <c r="K35" s="257"/>
      <c r="L35" s="258" t="str">
        <f t="shared" si="4"/>
        <v/>
      </c>
      <c r="M35" s="259" t="str">
        <f t="shared" si="5"/>
        <v/>
      </c>
      <c r="N35" s="260" t="str">
        <f t="shared" si="0"/>
        <v/>
      </c>
      <c r="O35" s="261" t="str">
        <f t="shared" si="6"/>
        <v/>
      </c>
      <c r="P35" s="262" t="str">
        <f t="shared" si="7"/>
        <v/>
      </c>
      <c r="Q35" s="263" t="str">
        <f t="shared" si="16"/>
        <v/>
      </c>
      <c r="R35" s="263" t="str">
        <f t="shared" si="16"/>
        <v/>
      </c>
      <c r="S35" s="263" t="str">
        <f t="shared" si="16"/>
        <v/>
      </c>
      <c r="T35" s="263" t="str">
        <f t="shared" si="16"/>
        <v/>
      </c>
      <c r="U35" s="263" t="str">
        <f t="shared" si="16"/>
        <v/>
      </c>
      <c r="V35" s="263" t="str">
        <f t="shared" si="16"/>
        <v/>
      </c>
      <c r="W35" s="263" t="str">
        <f t="shared" si="8"/>
        <v/>
      </c>
      <c r="X35" s="30"/>
      <c r="Y35" s="264"/>
      <c r="Z35" s="30"/>
      <c r="AA35" s="61"/>
      <c r="AB35" s="62"/>
      <c r="AC35" s="263" t="str">
        <f t="shared" si="9"/>
        <v/>
      </c>
      <c r="AD35" s="263" t="str">
        <f t="shared" si="10"/>
        <v/>
      </c>
      <c r="AE35" s="263" t="str">
        <f t="shared" si="11"/>
        <v/>
      </c>
      <c r="AF35" s="263" t="str">
        <f t="shared" si="12"/>
        <v/>
      </c>
      <c r="AG35" s="263" t="str">
        <f t="shared" si="13"/>
        <v/>
      </c>
      <c r="AH35" s="263" t="str">
        <f t="shared" si="14"/>
        <v/>
      </c>
      <c r="AI35" s="263" t="str">
        <f t="shared" si="15"/>
        <v/>
      </c>
    </row>
    <row r="36" spans="1:35" ht="21" customHeight="1">
      <c r="A36" s="164">
        <v>19</v>
      </c>
      <c r="B36" s="60" t="str">
        <f>IF('Add Change'!D41="","",+'Add Change'!D41)</f>
        <v/>
      </c>
      <c r="C36" s="31" t="str">
        <f>IF('Add Change'!I41="","",+'Add Change'!I41)</f>
        <v/>
      </c>
      <c r="D36" s="253" t="str">
        <f>IF('Add Change'!W41="","",'Add Change'!W41)</f>
        <v/>
      </c>
      <c r="E36" s="31"/>
      <c r="F36" s="70"/>
      <c r="G36" s="253"/>
      <c r="H36" s="254" t="str">
        <f t="shared" si="2"/>
        <v/>
      </c>
      <c r="I36" s="255" t="str">
        <f t="shared" si="3"/>
        <v/>
      </c>
      <c r="J36" s="256"/>
      <c r="K36" s="257"/>
      <c r="L36" s="258" t="str">
        <f t="shared" si="4"/>
        <v/>
      </c>
      <c r="M36" s="259" t="str">
        <f t="shared" si="5"/>
        <v/>
      </c>
      <c r="N36" s="260" t="str">
        <f t="shared" si="0"/>
        <v/>
      </c>
      <c r="O36" s="261" t="str">
        <f t="shared" si="6"/>
        <v/>
      </c>
      <c r="P36" s="262" t="str">
        <f t="shared" si="7"/>
        <v/>
      </c>
      <c r="Q36" s="263" t="str">
        <f t="shared" si="16"/>
        <v/>
      </c>
      <c r="R36" s="263" t="str">
        <f t="shared" si="16"/>
        <v/>
      </c>
      <c r="S36" s="263" t="str">
        <f t="shared" si="16"/>
        <v/>
      </c>
      <c r="T36" s="263" t="str">
        <f t="shared" si="16"/>
        <v/>
      </c>
      <c r="U36" s="263" t="str">
        <f t="shared" si="16"/>
        <v/>
      </c>
      <c r="V36" s="263" t="str">
        <f t="shared" si="16"/>
        <v/>
      </c>
      <c r="W36" s="263" t="str">
        <f t="shared" si="8"/>
        <v/>
      </c>
      <c r="X36" s="30"/>
      <c r="Y36" s="264"/>
      <c r="Z36" s="30"/>
      <c r="AA36" s="61"/>
      <c r="AB36" s="62"/>
      <c r="AC36" s="263" t="str">
        <f t="shared" si="9"/>
        <v/>
      </c>
      <c r="AD36" s="263" t="str">
        <f t="shared" si="10"/>
        <v/>
      </c>
      <c r="AE36" s="263" t="str">
        <f t="shared" si="11"/>
        <v/>
      </c>
      <c r="AF36" s="263" t="str">
        <f t="shared" si="12"/>
        <v/>
      </c>
      <c r="AG36" s="263" t="str">
        <f t="shared" si="13"/>
        <v/>
      </c>
      <c r="AH36" s="263" t="str">
        <f t="shared" si="14"/>
        <v/>
      </c>
      <c r="AI36" s="263" t="str">
        <f t="shared" si="15"/>
        <v/>
      </c>
    </row>
    <row r="37" spans="1:35" ht="21" customHeight="1">
      <c r="A37" s="164">
        <v>20</v>
      </c>
      <c r="B37" s="60" t="str">
        <f>IF('Add Change'!D42="","",+'Add Change'!D42)</f>
        <v/>
      </c>
      <c r="C37" s="31" t="str">
        <f>IF('Add Change'!I42="","",+'Add Change'!I42)</f>
        <v/>
      </c>
      <c r="D37" s="253" t="str">
        <f>IF('Add Change'!W42="","",'Add Change'!W42)</f>
        <v/>
      </c>
      <c r="E37" s="31"/>
      <c r="F37" s="70"/>
      <c r="G37" s="253"/>
      <c r="H37" s="254" t="str">
        <f t="shared" si="2"/>
        <v/>
      </c>
      <c r="I37" s="255" t="str">
        <f t="shared" si="3"/>
        <v/>
      </c>
      <c r="J37" s="256"/>
      <c r="K37" s="257"/>
      <c r="L37" s="258" t="str">
        <f t="shared" si="4"/>
        <v/>
      </c>
      <c r="M37" s="259" t="str">
        <f t="shared" si="5"/>
        <v/>
      </c>
      <c r="N37" s="260" t="str">
        <f t="shared" si="0"/>
        <v/>
      </c>
      <c r="O37" s="261" t="str">
        <f t="shared" si="6"/>
        <v/>
      </c>
      <c r="P37" s="262" t="str">
        <f t="shared" si="7"/>
        <v/>
      </c>
      <c r="Q37" s="263" t="str">
        <f t="shared" si="16"/>
        <v/>
      </c>
      <c r="R37" s="263" t="str">
        <f t="shared" si="16"/>
        <v/>
      </c>
      <c r="S37" s="263" t="str">
        <f t="shared" si="16"/>
        <v/>
      </c>
      <c r="T37" s="263" t="str">
        <f t="shared" si="16"/>
        <v/>
      </c>
      <c r="U37" s="263" t="str">
        <f t="shared" si="16"/>
        <v/>
      </c>
      <c r="V37" s="263" t="str">
        <f t="shared" si="16"/>
        <v/>
      </c>
      <c r="W37" s="263" t="str">
        <f t="shared" si="8"/>
        <v/>
      </c>
      <c r="X37" s="30"/>
      <c r="Y37" s="264"/>
      <c r="Z37" s="30"/>
      <c r="AA37" s="61"/>
      <c r="AB37" s="62"/>
      <c r="AC37" s="263" t="str">
        <f t="shared" si="9"/>
        <v/>
      </c>
      <c r="AD37" s="263" t="str">
        <f t="shared" si="10"/>
        <v/>
      </c>
      <c r="AE37" s="263" t="str">
        <f t="shared" si="11"/>
        <v/>
      </c>
      <c r="AF37" s="263" t="str">
        <f t="shared" si="12"/>
        <v/>
      </c>
      <c r="AG37" s="263" t="str">
        <f t="shared" si="13"/>
        <v/>
      </c>
      <c r="AH37" s="263" t="str">
        <f t="shared" si="14"/>
        <v/>
      </c>
      <c r="AI37" s="263" t="str">
        <f t="shared" si="15"/>
        <v/>
      </c>
    </row>
    <row r="38" spans="1:35" ht="21" customHeight="1">
      <c r="A38" s="164">
        <v>21</v>
      </c>
      <c r="B38" s="60" t="str">
        <f>IF('Add Change'!D43="","",+'Add Change'!D43)</f>
        <v/>
      </c>
      <c r="C38" s="31" t="str">
        <f>IF('Add Change'!I43="","",+'Add Change'!I43)</f>
        <v/>
      </c>
      <c r="D38" s="253" t="str">
        <f>IF('Add Change'!W43="","",'Add Change'!W43)</f>
        <v/>
      </c>
      <c r="E38" s="31"/>
      <c r="F38" s="70"/>
      <c r="G38" s="253"/>
      <c r="H38" s="254" t="str">
        <f t="shared" si="2"/>
        <v/>
      </c>
      <c r="I38" s="255" t="str">
        <f t="shared" si="3"/>
        <v/>
      </c>
      <c r="J38" s="256"/>
      <c r="K38" s="257"/>
      <c r="L38" s="258" t="str">
        <f t="shared" si="4"/>
        <v/>
      </c>
      <c r="M38" s="259" t="str">
        <f t="shared" si="5"/>
        <v/>
      </c>
      <c r="N38" s="260" t="str">
        <f t="shared" si="0"/>
        <v/>
      </c>
      <c r="O38" s="261" t="str">
        <f t="shared" si="6"/>
        <v/>
      </c>
      <c r="P38" s="262" t="str">
        <f t="shared" si="7"/>
        <v/>
      </c>
      <c r="Q38" s="263" t="str">
        <f t="shared" si="16"/>
        <v/>
      </c>
      <c r="R38" s="263" t="str">
        <f t="shared" si="16"/>
        <v/>
      </c>
      <c r="S38" s="263" t="str">
        <f t="shared" si="16"/>
        <v/>
      </c>
      <c r="T38" s="263" t="str">
        <f t="shared" si="16"/>
        <v/>
      </c>
      <c r="U38" s="263" t="str">
        <f t="shared" si="16"/>
        <v/>
      </c>
      <c r="V38" s="263" t="str">
        <f t="shared" si="16"/>
        <v/>
      </c>
      <c r="W38" s="263" t="str">
        <f t="shared" si="8"/>
        <v/>
      </c>
      <c r="X38" s="30"/>
      <c r="Y38" s="264"/>
      <c r="Z38" s="30"/>
      <c r="AA38" s="61"/>
      <c r="AB38" s="62"/>
      <c r="AC38" s="263" t="str">
        <f t="shared" si="9"/>
        <v/>
      </c>
      <c r="AD38" s="263" t="str">
        <f t="shared" si="10"/>
        <v/>
      </c>
      <c r="AE38" s="263" t="str">
        <f t="shared" si="11"/>
        <v/>
      </c>
      <c r="AF38" s="263" t="str">
        <f t="shared" si="12"/>
        <v/>
      </c>
      <c r="AG38" s="263" t="str">
        <f t="shared" si="13"/>
        <v/>
      </c>
      <c r="AH38" s="263" t="str">
        <f t="shared" si="14"/>
        <v/>
      </c>
      <c r="AI38" s="263" t="str">
        <f t="shared" si="15"/>
        <v/>
      </c>
    </row>
    <row r="39" spans="1:35" ht="21" customHeight="1">
      <c r="A39" s="164">
        <v>22</v>
      </c>
      <c r="B39" s="60" t="str">
        <f>IF('Add Change'!D44="","",+'Add Change'!D44)</f>
        <v/>
      </c>
      <c r="C39" s="31" t="str">
        <f>IF('Add Change'!I44="","",+'Add Change'!I44)</f>
        <v/>
      </c>
      <c r="D39" s="253" t="str">
        <f>IF('Add Change'!W44="","",'Add Change'!W44)</f>
        <v/>
      </c>
      <c r="E39" s="31"/>
      <c r="F39" s="70"/>
      <c r="G39" s="253"/>
      <c r="H39" s="254" t="str">
        <f t="shared" si="2"/>
        <v/>
      </c>
      <c r="I39" s="255" t="str">
        <f t="shared" si="3"/>
        <v/>
      </c>
      <c r="J39" s="256"/>
      <c r="K39" s="257"/>
      <c r="L39" s="258" t="str">
        <f t="shared" si="4"/>
        <v/>
      </c>
      <c r="M39" s="259" t="str">
        <f t="shared" si="5"/>
        <v/>
      </c>
      <c r="N39" s="260" t="str">
        <f t="shared" si="0"/>
        <v/>
      </c>
      <c r="O39" s="261" t="str">
        <f t="shared" si="6"/>
        <v/>
      </c>
      <c r="P39" s="262" t="str">
        <f t="shared" si="7"/>
        <v/>
      </c>
      <c r="Q39" s="263" t="str">
        <f t="shared" si="16"/>
        <v/>
      </c>
      <c r="R39" s="263" t="str">
        <f t="shared" si="16"/>
        <v/>
      </c>
      <c r="S39" s="263" t="str">
        <f t="shared" si="16"/>
        <v/>
      </c>
      <c r="T39" s="263" t="str">
        <f t="shared" si="16"/>
        <v/>
      </c>
      <c r="U39" s="263" t="str">
        <f t="shared" si="16"/>
        <v/>
      </c>
      <c r="V39" s="263" t="str">
        <f t="shared" si="16"/>
        <v/>
      </c>
      <c r="W39" s="263" t="str">
        <f t="shared" si="8"/>
        <v/>
      </c>
      <c r="X39" s="30"/>
      <c r="Y39" s="264"/>
      <c r="Z39" s="30"/>
      <c r="AA39" s="61"/>
      <c r="AB39" s="62"/>
      <c r="AC39" s="263" t="str">
        <f t="shared" si="9"/>
        <v/>
      </c>
      <c r="AD39" s="263" t="str">
        <f t="shared" si="10"/>
        <v/>
      </c>
      <c r="AE39" s="263" t="str">
        <f t="shared" si="11"/>
        <v/>
      </c>
      <c r="AF39" s="263" t="str">
        <f t="shared" si="12"/>
        <v/>
      </c>
      <c r="AG39" s="263" t="str">
        <f t="shared" si="13"/>
        <v/>
      </c>
      <c r="AH39" s="263" t="str">
        <f t="shared" si="14"/>
        <v/>
      </c>
      <c r="AI39" s="263" t="str">
        <f t="shared" si="15"/>
        <v/>
      </c>
    </row>
    <row r="40" spans="1:35" ht="21" customHeight="1">
      <c r="A40" s="164">
        <v>23</v>
      </c>
      <c r="B40" s="60" t="str">
        <f>IF('Add Change'!D45="","",+'Add Change'!D45)</f>
        <v/>
      </c>
      <c r="C40" s="31" t="str">
        <f>IF('Add Change'!I45="","",+'Add Change'!I45)</f>
        <v/>
      </c>
      <c r="D40" s="253" t="str">
        <f>IF('Add Change'!W45="","",'Add Change'!W45)</f>
        <v/>
      </c>
      <c r="E40" s="31"/>
      <c r="F40" s="70"/>
      <c r="G40" s="253"/>
      <c r="H40" s="254" t="str">
        <f t="shared" si="2"/>
        <v/>
      </c>
      <c r="I40" s="255" t="str">
        <f t="shared" si="3"/>
        <v/>
      </c>
      <c r="J40" s="256"/>
      <c r="K40" s="257"/>
      <c r="L40" s="258" t="str">
        <f t="shared" si="4"/>
        <v/>
      </c>
      <c r="M40" s="259" t="str">
        <f t="shared" si="5"/>
        <v/>
      </c>
      <c r="N40" s="260" t="str">
        <f t="shared" si="0"/>
        <v/>
      </c>
      <c r="O40" s="261" t="str">
        <f t="shared" si="6"/>
        <v/>
      </c>
      <c r="P40" s="262" t="str">
        <f t="shared" si="7"/>
        <v/>
      </c>
      <c r="Q40" s="263" t="str">
        <f t="shared" si="16"/>
        <v/>
      </c>
      <c r="R40" s="263" t="str">
        <f t="shared" si="16"/>
        <v/>
      </c>
      <c r="S40" s="263" t="str">
        <f t="shared" si="16"/>
        <v/>
      </c>
      <c r="T40" s="263" t="str">
        <f t="shared" si="16"/>
        <v/>
      </c>
      <c r="U40" s="263" t="str">
        <f t="shared" si="16"/>
        <v/>
      </c>
      <c r="V40" s="263" t="str">
        <f t="shared" si="16"/>
        <v/>
      </c>
      <c r="W40" s="263" t="str">
        <f t="shared" si="8"/>
        <v/>
      </c>
      <c r="X40" s="30"/>
      <c r="Y40" s="264"/>
      <c r="Z40" s="30"/>
      <c r="AA40" s="61"/>
      <c r="AB40" s="62"/>
      <c r="AC40" s="263" t="str">
        <f t="shared" si="9"/>
        <v/>
      </c>
      <c r="AD40" s="263" t="str">
        <f t="shared" si="10"/>
        <v/>
      </c>
      <c r="AE40" s="263" t="str">
        <f t="shared" si="11"/>
        <v/>
      </c>
      <c r="AF40" s="263" t="str">
        <f t="shared" si="12"/>
        <v/>
      </c>
      <c r="AG40" s="263" t="str">
        <f t="shared" si="13"/>
        <v/>
      </c>
      <c r="AH40" s="263" t="str">
        <f t="shared" si="14"/>
        <v/>
      </c>
      <c r="AI40" s="263" t="str">
        <f t="shared" si="15"/>
        <v/>
      </c>
    </row>
    <row r="41" spans="1:35" ht="21" customHeight="1">
      <c r="A41" s="164">
        <v>24</v>
      </c>
      <c r="B41" s="60" t="str">
        <f>IF('Add Change'!D46="","",+'Add Change'!D46)</f>
        <v/>
      </c>
      <c r="C41" s="31" t="str">
        <f>IF('Add Change'!I46="","",+'Add Change'!I46)</f>
        <v/>
      </c>
      <c r="D41" s="253" t="str">
        <f>IF('Add Change'!W46="","",'Add Change'!W46)</f>
        <v/>
      </c>
      <c r="E41" s="31"/>
      <c r="F41" s="70"/>
      <c r="G41" s="253"/>
      <c r="H41" s="254" t="str">
        <f t="shared" si="2"/>
        <v/>
      </c>
      <c r="I41" s="255" t="str">
        <f t="shared" si="3"/>
        <v/>
      </c>
      <c r="J41" s="256"/>
      <c r="K41" s="257"/>
      <c r="L41" s="258" t="str">
        <f t="shared" si="4"/>
        <v/>
      </c>
      <c r="M41" s="259" t="str">
        <f t="shared" si="5"/>
        <v/>
      </c>
      <c r="N41" s="260" t="str">
        <f t="shared" si="0"/>
        <v/>
      </c>
      <c r="O41" s="261" t="str">
        <f t="shared" si="6"/>
        <v/>
      </c>
      <c r="P41" s="262" t="str">
        <f t="shared" si="7"/>
        <v/>
      </c>
      <c r="Q41" s="263" t="str">
        <f t="shared" si="16"/>
        <v/>
      </c>
      <c r="R41" s="263" t="str">
        <f t="shared" si="16"/>
        <v/>
      </c>
      <c r="S41" s="263" t="str">
        <f t="shared" si="16"/>
        <v/>
      </c>
      <c r="T41" s="263" t="str">
        <f t="shared" si="16"/>
        <v/>
      </c>
      <c r="U41" s="263" t="str">
        <f t="shared" si="16"/>
        <v/>
      </c>
      <c r="V41" s="263" t="str">
        <f t="shared" si="16"/>
        <v/>
      </c>
      <c r="W41" s="263" t="str">
        <f t="shared" si="8"/>
        <v/>
      </c>
      <c r="X41" s="30"/>
      <c r="Y41" s="264"/>
      <c r="Z41" s="30"/>
      <c r="AA41" s="61"/>
      <c r="AB41" s="62"/>
      <c r="AC41" s="263" t="str">
        <f t="shared" si="9"/>
        <v/>
      </c>
      <c r="AD41" s="263" t="str">
        <f t="shared" si="10"/>
        <v/>
      </c>
      <c r="AE41" s="263" t="str">
        <f t="shared" si="11"/>
        <v/>
      </c>
      <c r="AF41" s="263" t="str">
        <f t="shared" si="12"/>
        <v/>
      </c>
      <c r="AG41" s="263" t="str">
        <f t="shared" si="13"/>
        <v/>
      </c>
      <c r="AH41" s="263" t="str">
        <f t="shared" si="14"/>
        <v/>
      </c>
      <c r="AI41" s="263" t="str">
        <f t="shared" si="15"/>
        <v/>
      </c>
    </row>
    <row r="42" spans="1:35" ht="21" customHeight="1">
      <c r="A42" s="164">
        <v>25</v>
      </c>
      <c r="B42" s="60" t="str">
        <f>IF('Add Change'!D47="","",+'Add Change'!D47)</f>
        <v/>
      </c>
      <c r="C42" s="31" t="str">
        <f>IF('Add Change'!I47="","",+'Add Change'!I47)</f>
        <v/>
      </c>
      <c r="D42" s="253" t="str">
        <f>IF('Add Change'!W47="","",'Add Change'!W47)</f>
        <v/>
      </c>
      <c r="E42" s="31"/>
      <c r="F42" s="70"/>
      <c r="G42" s="253"/>
      <c r="H42" s="254" t="str">
        <f t="shared" si="2"/>
        <v/>
      </c>
      <c r="I42" s="255" t="str">
        <f t="shared" si="3"/>
        <v/>
      </c>
      <c r="J42" s="256"/>
      <c r="K42" s="257"/>
      <c r="L42" s="258" t="str">
        <f t="shared" si="4"/>
        <v/>
      </c>
      <c r="M42" s="259" t="str">
        <f t="shared" si="5"/>
        <v/>
      </c>
      <c r="N42" s="260" t="str">
        <f t="shared" si="0"/>
        <v/>
      </c>
      <c r="O42" s="261" t="str">
        <f t="shared" si="6"/>
        <v/>
      </c>
      <c r="P42" s="262" t="str">
        <f t="shared" si="7"/>
        <v/>
      </c>
      <c r="Q42" s="263" t="str">
        <f t="shared" si="16"/>
        <v/>
      </c>
      <c r="R42" s="263" t="str">
        <f t="shared" si="16"/>
        <v/>
      </c>
      <c r="S42" s="263" t="str">
        <f t="shared" si="16"/>
        <v/>
      </c>
      <c r="T42" s="263" t="str">
        <f t="shared" si="16"/>
        <v/>
      </c>
      <c r="U42" s="263" t="str">
        <f t="shared" si="16"/>
        <v/>
      </c>
      <c r="V42" s="263" t="str">
        <f t="shared" si="16"/>
        <v/>
      </c>
      <c r="W42" s="263" t="str">
        <f t="shared" si="8"/>
        <v/>
      </c>
      <c r="X42" s="30"/>
      <c r="Y42" s="264"/>
      <c r="Z42" s="30"/>
      <c r="AA42" s="61"/>
      <c r="AB42" s="62"/>
      <c r="AC42" s="263" t="str">
        <f t="shared" si="9"/>
        <v/>
      </c>
      <c r="AD42" s="263" t="str">
        <f t="shared" si="10"/>
        <v/>
      </c>
      <c r="AE42" s="263" t="str">
        <f t="shared" si="11"/>
        <v/>
      </c>
      <c r="AF42" s="263" t="str">
        <f t="shared" si="12"/>
        <v/>
      </c>
      <c r="AG42" s="263" t="str">
        <f t="shared" si="13"/>
        <v/>
      </c>
      <c r="AH42" s="263" t="str">
        <f t="shared" si="14"/>
        <v/>
      </c>
      <c r="AI42" s="263" t="str">
        <f t="shared" si="15"/>
        <v/>
      </c>
    </row>
    <row r="43" spans="1:35" ht="21" customHeight="1">
      <c r="A43" s="164">
        <v>26</v>
      </c>
      <c r="B43" s="60" t="str">
        <f>IF('Add Change'!D48="","",+'Add Change'!D48)</f>
        <v/>
      </c>
      <c r="C43" s="31" t="str">
        <f>IF('Add Change'!I48="","",+'Add Change'!I48)</f>
        <v/>
      </c>
      <c r="D43" s="253" t="str">
        <f>IF('Add Change'!W48="","",'Add Change'!W48)</f>
        <v/>
      </c>
      <c r="E43" s="31"/>
      <c r="F43" s="70"/>
      <c r="G43" s="253"/>
      <c r="H43" s="254" t="str">
        <f t="shared" si="2"/>
        <v/>
      </c>
      <c r="I43" s="255" t="str">
        <f t="shared" si="3"/>
        <v/>
      </c>
      <c r="J43" s="256"/>
      <c r="K43" s="257"/>
      <c r="L43" s="258" t="str">
        <f t="shared" si="4"/>
        <v/>
      </c>
      <c r="M43" s="259" t="str">
        <f t="shared" si="5"/>
        <v/>
      </c>
      <c r="N43" s="260" t="str">
        <f t="shared" si="0"/>
        <v/>
      </c>
      <c r="O43" s="261" t="str">
        <f t="shared" si="6"/>
        <v/>
      </c>
      <c r="P43" s="262" t="str">
        <f t="shared" si="7"/>
        <v/>
      </c>
      <c r="Q43" s="263" t="str">
        <f t="shared" si="16"/>
        <v/>
      </c>
      <c r="R43" s="263" t="str">
        <f t="shared" si="16"/>
        <v/>
      </c>
      <c r="S43" s="263" t="str">
        <f t="shared" si="16"/>
        <v/>
      </c>
      <c r="T43" s="263" t="str">
        <f t="shared" si="16"/>
        <v/>
      </c>
      <c r="U43" s="263" t="str">
        <f t="shared" si="16"/>
        <v/>
      </c>
      <c r="V43" s="263" t="str">
        <f t="shared" si="16"/>
        <v/>
      </c>
      <c r="W43" s="263" t="str">
        <f t="shared" si="8"/>
        <v/>
      </c>
      <c r="X43" s="30"/>
      <c r="Y43" s="264"/>
      <c r="Z43" s="30"/>
      <c r="AA43" s="61"/>
      <c r="AB43" s="62"/>
      <c r="AC43" s="263" t="str">
        <f t="shared" si="9"/>
        <v/>
      </c>
      <c r="AD43" s="263" t="str">
        <f t="shared" si="10"/>
        <v/>
      </c>
      <c r="AE43" s="263" t="str">
        <f t="shared" si="11"/>
        <v/>
      </c>
      <c r="AF43" s="263" t="str">
        <f t="shared" si="12"/>
        <v/>
      </c>
      <c r="AG43" s="263" t="str">
        <f t="shared" si="13"/>
        <v/>
      </c>
      <c r="AH43" s="263" t="str">
        <f t="shared" si="14"/>
        <v/>
      </c>
      <c r="AI43" s="263" t="str">
        <f t="shared" si="15"/>
        <v/>
      </c>
    </row>
    <row r="44" spans="1:35" ht="21" customHeight="1">
      <c r="A44" s="164">
        <v>27</v>
      </c>
      <c r="B44" s="60" t="str">
        <f>IF('Add Change'!D49="","",+'Add Change'!D49)</f>
        <v/>
      </c>
      <c r="C44" s="31" t="str">
        <f>IF('Add Change'!I49="","",+'Add Change'!I49)</f>
        <v/>
      </c>
      <c r="D44" s="253" t="str">
        <f>IF('Add Change'!W49="","",'Add Change'!W49)</f>
        <v/>
      </c>
      <c r="E44" s="31"/>
      <c r="F44" s="70"/>
      <c r="G44" s="253"/>
      <c r="H44" s="254" t="str">
        <f t="shared" si="2"/>
        <v/>
      </c>
      <c r="I44" s="255" t="str">
        <f t="shared" si="3"/>
        <v/>
      </c>
      <c r="J44" s="256"/>
      <c r="K44" s="257"/>
      <c r="L44" s="258" t="str">
        <f t="shared" si="4"/>
        <v/>
      </c>
      <c r="M44" s="259" t="str">
        <f t="shared" si="5"/>
        <v/>
      </c>
      <c r="N44" s="260" t="str">
        <f t="shared" si="0"/>
        <v/>
      </c>
      <c r="O44" s="261" t="str">
        <f t="shared" si="6"/>
        <v/>
      </c>
      <c r="P44" s="262" t="str">
        <f t="shared" si="7"/>
        <v/>
      </c>
      <c r="Q44" s="263" t="str">
        <f t="shared" si="16"/>
        <v/>
      </c>
      <c r="R44" s="263" t="str">
        <f t="shared" si="16"/>
        <v/>
      </c>
      <c r="S44" s="263" t="str">
        <f t="shared" si="16"/>
        <v/>
      </c>
      <c r="T44" s="263" t="str">
        <f t="shared" si="16"/>
        <v/>
      </c>
      <c r="U44" s="263" t="str">
        <f t="shared" si="16"/>
        <v/>
      </c>
      <c r="V44" s="263" t="str">
        <f t="shared" si="16"/>
        <v/>
      </c>
      <c r="W44" s="263" t="str">
        <f t="shared" si="8"/>
        <v/>
      </c>
      <c r="X44" s="30"/>
      <c r="Y44" s="264"/>
      <c r="Z44" s="30"/>
      <c r="AA44" s="61"/>
      <c r="AB44" s="62"/>
      <c r="AC44" s="263" t="str">
        <f t="shared" si="9"/>
        <v/>
      </c>
      <c r="AD44" s="263" t="str">
        <f t="shared" si="10"/>
        <v/>
      </c>
      <c r="AE44" s="263" t="str">
        <f t="shared" si="11"/>
        <v/>
      </c>
      <c r="AF44" s="263" t="str">
        <f t="shared" si="12"/>
        <v/>
      </c>
      <c r="AG44" s="263" t="str">
        <f t="shared" si="13"/>
        <v/>
      </c>
      <c r="AH44" s="263" t="str">
        <f t="shared" si="14"/>
        <v/>
      </c>
      <c r="AI44" s="263" t="str">
        <f t="shared" si="15"/>
        <v/>
      </c>
    </row>
    <row r="45" spans="1:35" ht="21" customHeight="1">
      <c r="A45" s="164">
        <v>28</v>
      </c>
      <c r="B45" s="60" t="str">
        <f>IF('Add Change'!D50="","",+'Add Change'!D50)</f>
        <v/>
      </c>
      <c r="C45" s="31" t="str">
        <f>IF('Add Change'!I50="","",+'Add Change'!I50)</f>
        <v/>
      </c>
      <c r="D45" s="253" t="str">
        <f>IF('Add Change'!W50="","",'Add Change'!W50)</f>
        <v/>
      </c>
      <c r="E45" s="31"/>
      <c r="F45" s="70"/>
      <c r="G45" s="253"/>
      <c r="H45" s="254" t="str">
        <f t="shared" si="2"/>
        <v/>
      </c>
      <c r="I45" s="255" t="str">
        <f t="shared" si="3"/>
        <v/>
      </c>
      <c r="J45" s="256"/>
      <c r="K45" s="257"/>
      <c r="L45" s="258" t="str">
        <f t="shared" si="4"/>
        <v/>
      </c>
      <c r="M45" s="259" t="str">
        <f t="shared" si="5"/>
        <v/>
      </c>
      <c r="N45" s="260" t="str">
        <f t="shared" si="0"/>
        <v/>
      </c>
      <c r="O45" s="261" t="str">
        <f t="shared" si="6"/>
        <v/>
      </c>
      <c r="P45" s="262" t="str">
        <f t="shared" si="7"/>
        <v/>
      </c>
      <c r="Q45" s="263" t="str">
        <f t="shared" si="16"/>
        <v/>
      </c>
      <c r="R45" s="263" t="str">
        <f t="shared" si="16"/>
        <v/>
      </c>
      <c r="S45" s="263" t="str">
        <f t="shared" si="16"/>
        <v/>
      </c>
      <c r="T45" s="263" t="str">
        <f t="shared" si="16"/>
        <v/>
      </c>
      <c r="U45" s="263" t="str">
        <f t="shared" si="16"/>
        <v/>
      </c>
      <c r="V45" s="263" t="str">
        <f t="shared" si="16"/>
        <v/>
      </c>
      <c r="W45" s="263" t="str">
        <f t="shared" si="8"/>
        <v/>
      </c>
      <c r="X45" s="30"/>
      <c r="Y45" s="264"/>
      <c r="Z45" s="30"/>
      <c r="AA45" s="61"/>
      <c r="AB45" s="62"/>
      <c r="AC45" s="263" t="str">
        <f t="shared" si="9"/>
        <v/>
      </c>
      <c r="AD45" s="263" t="str">
        <f t="shared" si="10"/>
        <v/>
      </c>
      <c r="AE45" s="263" t="str">
        <f t="shared" si="11"/>
        <v/>
      </c>
      <c r="AF45" s="263" t="str">
        <f t="shared" si="12"/>
        <v/>
      </c>
      <c r="AG45" s="263" t="str">
        <f t="shared" si="13"/>
        <v/>
      </c>
      <c r="AH45" s="263" t="str">
        <f t="shared" si="14"/>
        <v/>
      </c>
      <c r="AI45" s="263" t="str">
        <f t="shared" si="15"/>
        <v/>
      </c>
    </row>
    <row r="46" spans="1:35" ht="21" customHeight="1">
      <c r="A46" s="164">
        <v>29</v>
      </c>
      <c r="B46" s="60" t="str">
        <f>IF('Add Change'!D51="","",+'Add Change'!D51)</f>
        <v/>
      </c>
      <c r="C46" s="31" t="str">
        <f>IF('Add Change'!I51="","",+'Add Change'!I51)</f>
        <v/>
      </c>
      <c r="D46" s="253" t="str">
        <f>IF('Add Change'!W51="","",'Add Change'!W51)</f>
        <v/>
      </c>
      <c r="E46" s="31"/>
      <c r="F46" s="70"/>
      <c r="G46" s="253"/>
      <c r="H46" s="254" t="str">
        <f t="shared" si="2"/>
        <v/>
      </c>
      <c r="I46" s="255" t="str">
        <f t="shared" si="3"/>
        <v/>
      </c>
      <c r="J46" s="256"/>
      <c r="K46" s="257"/>
      <c r="L46" s="258" t="str">
        <f t="shared" si="4"/>
        <v/>
      </c>
      <c r="M46" s="259" t="str">
        <f t="shared" si="5"/>
        <v/>
      </c>
      <c r="N46" s="260" t="str">
        <f t="shared" si="0"/>
        <v/>
      </c>
      <c r="O46" s="261" t="str">
        <f t="shared" si="6"/>
        <v/>
      </c>
      <c r="P46" s="262" t="str">
        <f t="shared" si="7"/>
        <v/>
      </c>
      <c r="Q46" s="263" t="str">
        <f t="shared" si="16"/>
        <v/>
      </c>
      <c r="R46" s="263" t="str">
        <f t="shared" si="16"/>
        <v/>
      </c>
      <c r="S46" s="263" t="str">
        <f t="shared" si="16"/>
        <v/>
      </c>
      <c r="T46" s="263" t="str">
        <f t="shared" si="16"/>
        <v/>
      </c>
      <c r="U46" s="263" t="str">
        <f t="shared" si="16"/>
        <v/>
      </c>
      <c r="V46" s="263" t="str">
        <f t="shared" si="16"/>
        <v/>
      </c>
      <c r="W46" s="263" t="str">
        <f t="shared" si="8"/>
        <v/>
      </c>
      <c r="X46" s="30"/>
      <c r="Y46" s="264"/>
      <c r="Z46" s="30"/>
      <c r="AA46" s="61"/>
      <c r="AB46" s="62"/>
      <c r="AC46" s="263" t="str">
        <f t="shared" si="9"/>
        <v/>
      </c>
      <c r="AD46" s="263" t="str">
        <f t="shared" si="10"/>
        <v/>
      </c>
      <c r="AE46" s="263" t="str">
        <f t="shared" si="11"/>
        <v/>
      </c>
      <c r="AF46" s="263" t="str">
        <f t="shared" si="12"/>
        <v/>
      </c>
      <c r="AG46" s="263" t="str">
        <f t="shared" si="13"/>
        <v/>
      </c>
      <c r="AH46" s="263" t="str">
        <f t="shared" si="14"/>
        <v/>
      </c>
      <c r="AI46" s="263" t="str">
        <f t="shared" si="15"/>
        <v/>
      </c>
    </row>
    <row r="47" spans="1:35" ht="21" customHeight="1">
      <c r="A47" s="164">
        <v>30</v>
      </c>
      <c r="B47" s="60" t="str">
        <f>IF('Add Change'!D52="","",+'Add Change'!D52)</f>
        <v/>
      </c>
      <c r="C47" s="31" t="str">
        <f>IF('Add Change'!I52="","",+'Add Change'!I52)</f>
        <v/>
      </c>
      <c r="D47" s="253" t="str">
        <f>IF('Add Change'!W52="","",'Add Change'!W52)</f>
        <v/>
      </c>
      <c r="E47" s="31"/>
      <c r="F47" s="70"/>
      <c r="G47" s="253"/>
      <c r="H47" s="254" t="str">
        <f t="shared" si="2"/>
        <v/>
      </c>
      <c r="I47" s="255" t="str">
        <f t="shared" si="3"/>
        <v/>
      </c>
      <c r="J47" s="256"/>
      <c r="K47" s="257"/>
      <c r="L47" s="258" t="str">
        <f t="shared" si="4"/>
        <v/>
      </c>
      <c r="M47" s="259" t="str">
        <f t="shared" si="5"/>
        <v/>
      </c>
      <c r="N47" s="260" t="str">
        <f t="shared" si="0"/>
        <v/>
      </c>
      <c r="O47" s="261" t="str">
        <f t="shared" si="6"/>
        <v/>
      </c>
      <c r="P47" s="262" t="str">
        <f t="shared" si="7"/>
        <v/>
      </c>
      <c r="Q47" s="263" t="str">
        <f t="shared" si="16"/>
        <v/>
      </c>
      <c r="R47" s="263" t="str">
        <f t="shared" si="16"/>
        <v/>
      </c>
      <c r="S47" s="263" t="str">
        <f t="shared" si="16"/>
        <v/>
      </c>
      <c r="T47" s="263" t="str">
        <f t="shared" si="16"/>
        <v/>
      </c>
      <c r="U47" s="263" t="str">
        <f t="shared" si="16"/>
        <v/>
      </c>
      <c r="V47" s="263" t="str">
        <f t="shared" si="16"/>
        <v/>
      </c>
      <c r="W47" s="263" t="str">
        <f t="shared" si="8"/>
        <v/>
      </c>
      <c r="X47" s="30"/>
      <c r="Y47" s="264"/>
      <c r="Z47" s="30"/>
      <c r="AA47" s="61"/>
      <c r="AB47" s="62"/>
      <c r="AC47" s="263" t="str">
        <f t="shared" si="9"/>
        <v/>
      </c>
      <c r="AD47" s="263" t="str">
        <f t="shared" si="10"/>
        <v/>
      </c>
      <c r="AE47" s="263" t="str">
        <f t="shared" si="11"/>
        <v/>
      </c>
      <c r="AF47" s="263" t="str">
        <f t="shared" si="12"/>
        <v/>
      </c>
      <c r="AG47" s="263" t="str">
        <f t="shared" si="13"/>
        <v/>
      </c>
      <c r="AH47" s="263" t="str">
        <f t="shared" si="14"/>
        <v/>
      </c>
      <c r="AI47" s="263" t="str">
        <f t="shared" si="15"/>
        <v/>
      </c>
    </row>
    <row r="48" spans="1:35" ht="21" customHeight="1">
      <c r="A48" s="164">
        <v>31</v>
      </c>
      <c r="B48" s="60" t="str">
        <f>IF('Add Change'!D53="","",+'Add Change'!D53)</f>
        <v/>
      </c>
      <c r="C48" s="31" t="str">
        <f>IF('Add Change'!I53="","",+'Add Change'!I53)</f>
        <v/>
      </c>
      <c r="D48" s="253" t="str">
        <f>IF('Add Change'!W53="","",'Add Change'!W53)</f>
        <v/>
      </c>
      <c r="E48" s="31"/>
      <c r="F48" s="70"/>
      <c r="G48" s="253"/>
      <c r="H48" s="254" t="str">
        <f t="shared" si="2"/>
        <v/>
      </c>
      <c r="I48" s="255" t="str">
        <f t="shared" si="3"/>
        <v/>
      </c>
      <c r="J48" s="256"/>
      <c r="K48" s="257"/>
      <c r="L48" s="258" t="str">
        <f t="shared" si="4"/>
        <v/>
      </c>
      <c r="M48" s="259" t="str">
        <f t="shared" si="5"/>
        <v/>
      </c>
      <c r="N48" s="260" t="str">
        <f t="shared" si="0"/>
        <v/>
      </c>
      <c r="O48" s="261" t="str">
        <f t="shared" si="6"/>
        <v/>
      </c>
      <c r="P48" s="262" t="str">
        <f t="shared" si="7"/>
        <v/>
      </c>
      <c r="Q48" s="263" t="str">
        <f t="shared" si="16"/>
        <v/>
      </c>
      <c r="R48" s="263" t="str">
        <f t="shared" si="16"/>
        <v/>
      </c>
      <c r="S48" s="263" t="str">
        <f t="shared" si="16"/>
        <v/>
      </c>
      <c r="T48" s="263" t="str">
        <f t="shared" si="16"/>
        <v/>
      </c>
      <c r="U48" s="263" t="str">
        <f t="shared" si="16"/>
        <v/>
      </c>
      <c r="V48" s="263" t="str">
        <f t="shared" si="16"/>
        <v/>
      </c>
      <c r="W48" s="263" t="str">
        <f t="shared" si="8"/>
        <v/>
      </c>
      <c r="X48" s="30"/>
      <c r="Y48" s="264"/>
      <c r="Z48" s="30"/>
      <c r="AA48" s="61"/>
      <c r="AB48" s="62"/>
      <c r="AC48" s="263" t="str">
        <f t="shared" si="9"/>
        <v/>
      </c>
      <c r="AD48" s="263" t="str">
        <f t="shared" si="10"/>
        <v/>
      </c>
      <c r="AE48" s="263" t="str">
        <f t="shared" si="11"/>
        <v/>
      </c>
      <c r="AF48" s="263" t="str">
        <f t="shared" si="12"/>
        <v/>
      </c>
      <c r="AG48" s="263" t="str">
        <f t="shared" si="13"/>
        <v/>
      </c>
      <c r="AH48" s="263" t="str">
        <f t="shared" si="14"/>
        <v/>
      </c>
      <c r="AI48" s="263" t="str">
        <f t="shared" si="15"/>
        <v/>
      </c>
    </row>
    <row r="49" spans="1:35" ht="21" customHeight="1">
      <c r="A49" s="164">
        <v>32</v>
      </c>
      <c r="B49" s="60" t="str">
        <f>IF('Add Change'!D54="","",+'Add Change'!D54)</f>
        <v/>
      </c>
      <c r="C49" s="31" t="str">
        <f>IF('Add Change'!I54="","",+'Add Change'!I54)</f>
        <v/>
      </c>
      <c r="D49" s="253" t="str">
        <f>IF('Add Change'!W54="","",'Add Change'!W54)</f>
        <v/>
      </c>
      <c r="E49" s="31"/>
      <c r="F49" s="70"/>
      <c r="G49" s="253"/>
      <c r="H49" s="254" t="str">
        <f t="shared" si="2"/>
        <v/>
      </c>
      <c r="I49" s="255" t="str">
        <f t="shared" si="3"/>
        <v/>
      </c>
      <c r="J49" s="256"/>
      <c r="K49" s="257"/>
      <c r="L49" s="258" t="str">
        <f t="shared" si="4"/>
        <v/>
      </c>
      <c r="M49" s="259" t="str">
        <f t="shared" si="5"/>
        <v/>
      </c>
      <c r="N49" s="260" t="str">
        <f t="shared" si="0"/>
        <v/>
      </c>
      <c r="O49" s="261" t="str">
        <f t="shared" si="6"/>
        <v/>
      </c>
      <c r="P49" s="262" t="str">
        <f t="shared" si="7"/>
        <v/>
      </c>
      <c r="Q49" s="263" t="str">
        <f t="shared" si="16"/>
        <v/>
      </c>
      <c r="R49" s="263" t="str">
        <f t="shared" si="16"/>
        <v/>
      </c>
      <c r="S49" s="263" t="str">
        <f t="shared" si="16"/>
        <v/>
      </c>
      <c r="T49" s="263" t="str">
        <f t="shared" si="16"/>
        <v/>
      </c>
      <c r="U49" s="263" t="str">
        <f t="shared" si="16"/>
        <v/>
      </c>
      <c r="V49" s="263" t="str">
        <f t="shared" si="16"/>
        <v/>
      </c>
      <c r="W49" s="263" t="str">
        <f t="shared" si="8"/>
        <v/>
      </c>
      <c r="X49" s="30"/>
      <c r="Y49" s="264"/>
      <c r="Z49" s="30"/>
      <c r="AA49" s="61"/>
      <c r="AB49" s="62"/>
      <c r="AC49" s="263" t="str">
        <f t="shared" si="9"/>
        <v/>
      </c>
      <c r="AD49" s="263" t="str">
        <f t="shared" si="10"/>
        <v/>
      </c>
      <c r="AE49" s="263" t="str">
        <f t="shared" si="11"/>
        <v/>
      </c>
      <c r="AF49" s="263" t="str">
        <f t="shared" si="12"/>
        <v/>
      </c>
      <c r="AG49" s="263" t="str">
        <f t="shared" si="13"/>
        <v/>
      </c>
      <c r="AH49" s="263" t="str">
        <f t="shared" si="14"/>
        <v/>
      </c>
      <c r="AI49" s="263" t="str">
        <f t="shared" si="15"/>
        <v/>
      </c>
    </row>
    <row r="50" spans="1:35" ht="21" customHeight="1">
      <c r="A50" s="164">
        <v>33</v>
      </c>
      <c r="B50" s="60" t="str">
        <f>IF('Add Change'!D55="","",+'Add Change'!D55)</f>
        <v/>
      </c>
      <c r="C50" s="31" t="str">
        <f>IF('Add Change'!I55="","",+'Add Change'!I55)</f>
        <v/>
      </c>
      <c r="D50" s="253" t="str">
        <f>IF('Add Change'!W55="","",'Add Change'!W55)</f>
        <v/>
      </c>
      <c r="E50" s="31"/>
      <c r="F50" s="70"/>
      <c r="G50" s="253"/>
      <c r="H50" s="254" t="str">
        <f t="shared" si="2"/>
        <v/>
      </c>
      <c r="I50" s="255" t="str">
        <f t="shared" si="3"/>
        <v/>
      </c>
      <c r="J50" s="256"/>
      <c r="K50" s="257"/>
      <c r="L50" s="258" t="str">
        <f t="shared" si="4"/>
        <v/>
      </c>
      <c r="M50" s="259" t="str">
        <f t="shared" si="5"/>
        <v/>
      </c>
      <c r="N50" s="260" t="str">
        <f t="shared" si="0"/>
        <v/>
      </c>
      <c r="O50" s="261" t="str">
        <f t="shared" si="6"/>
        <v/>
      </c>
      <c r="P50" s="262" t="str">
        <f t="shared" si="7"/>
        <v/>
      </c>
      <c r="Q50" s="263" t="str">
        <f t="shared" si="16"/>
        <v/>
      </c>
      <c r="R50" s="263" t="str">
        <f t="shared" si="16"/>
        <v/>
      </c>
      <c r="S50" s="263" t="str">
        <f t="shared" si="16"/>
        <v/>
      </c>
      <c r="T50" s="263" t="str">
        <f t="shared" si="16"/>
        <v/>
      </c>
      <c r="U50" s="263" t="str">
        <f t="shared" si="16"/>
        <v/>
      </c>
      <c r="V50" s="263" t="str">
        <f t="shared" si="16"/>
        <v/>
      </c>
      <c r="W50" s="263" t="str">
        <f t="shared" si="8"/>
        <v/>
      </c>
      <c r="X50" s="30"/>
      <c r="Y50" s="264"/>
      <c r="Z50" s="30"/>
      <c r="AA50" s="61"/>
      <c r="AB50" s="62"/>
      <c r="AC50" s="263" t="str">
        <f t="shared" si="9"/>
        <v/>
      </c>
      <c r="AD50" s="263" t="str">
        <f t="shared" si="10"/>
        <v/>
      </c>
      <c r="AE50" s="263" t="str">
        <f t="shared" si="11"/>
        <v/>
      </c>
      <c r="AF50" s="263" t="str">
        <f t="shared" si="12"/>
        <v/>
      </c>
      <c r="AG50" s="263" t="str">
        <f t="shared" si="13"/>
        <v/>
      </c>
      <c r="AH50" s="263" t="str">
        <f t="shared" si="14"/>
        <v/>
      </c>
      <c r="AI50" s="263" t="str">
        <f t="shared" si="15"/>
        <v/>
      </c>
    </row>
    <row r="51" spans="1:35" ht="21" customHeight="1">
      <c r="A51" s="164">
        <v>34</v>
      </c>
      <c r="B51" s="60" t="str">
        <f>IF('Add Change'!D56="","",+'Add Change'!D56)</f>
        <v/>
      </c>
      <c r="C51" s="31" t="str">
        <f>IF('Add Change'!I56="","",+'Add Change'!I56)</f>
        <v/>
      </c>
      <c r="D51" s="253" t="str">
        <f>IF('Add Change'!W56="","",'Add Change'!W56)</f>
        <v/>
      </c>
      <c r="E51" s="31"/>
      <c r="F51" s="70"/>
      <c r="G51" s="253"/>
      <c r="H51" s="254" t="str">
        <f t="shared" si="2"/>
        <v/>
      </c>
      <c r="I51" s="255" t="str">
        <f t="shared" si="3"/>
        <v/>
      </c>
      <c r="J51" s="256"/>
      <c r="K51" s="257"/>
      <c r="L51" s="258" t="str">
        <f t="shared" si="4"/>
        <v/>
      </c>
      <c r="M51" s="259" t="str">
        <f t="shared" si="5"/>
        <v/>
      </c>
      <c r="N51" s="260" t="str">
        <f t="shared" si="0"/>
        <v/>
      </c>
      <c r="O51" s="261" t="str">
        <f t="shared" si="6"/>
        <v/>
      </c>
      <c r="P51" s="262" t="str">
        <f t="shared" si="7"/>
        <v/>
      </c>
      <c r="Q51" s="263" t="str">
        <f t="shared" si="16"/>
        <v/>
      </c>
      <c r="R51" s="263" t="str">
        <f t="shared" si="16"/>
        <v/>
      </c>
      <c r="S51" s="263" t="str">
        <f t="shared" si="16"/>
        <v/>
      </c>
      <c r="T51" s="263" t="str">
        <f t="shared" si="16"/>
        <v/>
      </c>
      <c r="U51" s="263" t="str">
        <f t="shared" si="16"/>
        <v/>
      </c>
      <c r="V51" s="263" t="str">
        <f t="shared" si="16"/>
        <v/>
      </c>
      <c r="W51" s="263" t="str">
        <f t="shared" si="8"/>
        <v/>
      </c>
      <c r="X51" s="30"/>
      <c r="Y51" s="264"/>
      <c r="Z51" s="30"/>
      <c r="AA51" s="61"/>
      <c r="AB51" s="62"/>
      <c r="AC51" s="263" t="str">
        <f t="shared" si="9"/>
        <v/>
      </c>
      <c r="AD51" s="263" t="str">
        <f t="shared" si="10"/>
        <v/>
      </c>
      <c r="AE51" s="263" t="str">
        <f t="shared" si="11"/>
        <v/>
      </c>
      <c r="AF51" s="263" t="str">
        <f t="shared" si="12"/>
        <v/>
      </c>
      <c r="AG51" s="263" t="str">
        <f t="shared" si="13"/>
        <v/>
      </c>
      <c r="AH51" s="263" t="str">
        <f t="shared" si="14"/>
        <v/>
      </c>
      <c r="AI51" s="263" t="str">
        <f t="shared" si="15"/>
        <v/>
      </c>
    </row>
    <row r="52" spans="1:35" ht="21" customHeight="1">
      <c r="A52" s="164">
        <v>35</v>
      </c>
      <c r="B52" s="60" t="str">
        <f>IF('Add Change'!D57="","",+'Add Change'!D57)</f>
        <v/>
      </c>
      <c r="C52" s="31" t="str">
        <f>IF('Add Change'!I57="","",+'Add Change'!I57)</f>
        <v/>
      </c>
      <c r="D52" s="253" t="str">
        <f>IF('Add Change'!W57="","",'Add Change'!W57)</f>
        <v/>
      </c>
      <c r="E52" s="31"/>
      <c r="F52" s="70"/>
      <c r="G52" s="253"/>
      <c r="H52" s="254" t="str">
        <f t="shared" si="2"/>
        <v/>
      </c>
      <c r="I52" s="255" t="str">
        <f t="shared" si="3"/>
        <v/>
      </c>
      <c r="J52" s="256"/>
      <c r="K52" s="257"/>
      <c r="L52" s="258" t="str">
        <f t="shared" si="4"/>
        <v/>
      </c>
      <c r="M52" s="259" t="str">
        <f t="shared" si="5"/>
        <v/>
      </c>
      <c r="N52" s="260" t="str">
        <f t="shared" si="0"/>
        <v/>
      </c>
      <c r="O52" s="261" t="str">
        <f t="shared" si="6"/>
        <v/>
      </c>
      <c r="P52" s="262" t="str">
        <f t="shared" si="7"/>
        <v/>
      </c>
      <c r="Q52" s="263" t="str">
        <f t="shared" si="16"/>
        <v/>
      </c>
      <c r="R52" s="263" t="str">
        <f t="shared" si="16"/>
        <v/>
      </c>
      <c r="S52" s="263" t="str">
        <f t="shared" si="16"/>
        <v/>
      </c>
      <c r="T52" s="263" t="str">
        <f t="shared" si="16"/>
        <v/>
      </c>
      <c r="U52" s="263" t="str">
        <f t="shared" si="16"/>
        <v/>
      </c>
      <c r="V52" s="263" t="str">
        <f t="shared" si="16"/>
        <v/>
      </c>
      <c r="W52" s="263" t="str">
        <f t="shared" si="8"/>
        <v/>
      </c>
      <c r="X52" s="30"/>
      <c r="Y52" s="264"/>
      <c r="Z52" s="30"/>
      <c r="AA52" s="61"/>
      <c r="AB52" s="62"/>
      <c r="AC52" s="263" t="str">
        <f t="shared" si="9"/>
        <v/>
      </c>
      <c r="AD52" s="263" t="str">
        <f t="shared" si="10"/>
        <v/>
      </c>
      <c r="AE52" s="263" t="str">
        <f t="shared" si="11"/>
        <v/>
      </c>
      <c r="AF52" s="263" t="str">
        <f t="shared" si="12"/>
        <v/>
      </c>
      <c r="AG52" s="263" t="str">
        <f t="shared" si="13"/>
        <v/>
      </c>
      <c r="AH52" s="263" t="str">
        <f t="shared" si="14"/>
        <v/>
      </c>
      <c r="AI52" s="263" t="str">
        <f t="shared" si="15"/>
        <v/>
      </c>
    </row>
    <row r="53" spans="1:35" ht="21" customHeight="1">
      <c r="A53" s="164">
        <v>36</v>
      </c>
      <c r="B53" s="60" t="str">
        <f>IF('Add Change'!D58="","",+'Add Change'!D58)</f>
        <v/>
      </c>
      <c r="C53" s="31" t="str">
        <f>IF('Add Change'!I58="","",+'Add Change'!I58)</f>
        <v/>
      </c>
      <c r="D53" s="253" t="str">
        <f>IF('Add Change'!W58="","",'Add Change'!W58)</f>
        <v/>
      </c>
      <c r="E53" s="31"/>
      <c r="F53" s="70"/>
      <c r="G53" s="253"/>
      <c r="H53" s="254" t="str">
        <f t="shared" si="2"/>
        <v/>
      </c>
      <c r="I53" s="255" t="str">
        <f t="shared" si="3"/>
        <v/>
      </c>
      <c r="J53" s="256"/>
      <c r="K53" s="257"/>
      <c r="L53" s="258" t="str">
        <f t="shared" si="4"/>
        <v/>
      </c>
      <c r="M53" s="259" t="str">
        <f t="shared" si="5"/>
        <v/>
      </c>
      <c r="N53" s="260" t="str">
        <f t="shared" si="0"/>
        <v/>
      </c>
      <c r="O53" s="261" t="str">
        <f t="shared" si="6"/>
        <v/>
      </c>
      <c r="P53" s="262" t="str">
        <f t="shared" si="7"/>
        <v/>
      </c>
      <c r="Q53" s="263" t="str">
        <f t="shared" si="16"/>
        <v/>
      </c>
      <c r="R53" s="263" t="str">
        <f t="shared" si="16"/>
        <v/>
      </c>
      <c r="S53" s="263" t="str">
        <f t="shared" si="16"/>
        <v/>
      </c>
      <c r="T53" s="263" t="str">
        <f t="shared" si="16"/>
        <v/>
      </c>
      <c r="U53" s="263" t="str">
        <f t="shared" si="16"/>
        <v/>
      </c>
      <c r="V53" s="263" t="str">
        <f t="shared" si="16"/>
        <v/>
      </c>
      <c r="W53" s="263" t="str">
        <f t="shared" si="8"/>
        <v/>
      </c>
      <c r="X53" s="30"/>
      <c r="Y53" s="264"/>
      <c r="Z53" s="30"/>
      <c r="AA53" s="61"/>
      <c r="AB53" s="62"/>
      <c r="AC53" s="263" t="str">
        <f t="shared" si="9"/>
        <v/>
      </c>
      <c r="AD53" s="263" t="str">
        <f t="shared" si="10"/>
        <v/>
      </c>
      <c r="AE53" s="263" t="str">
        <f t="shared" si="11"/>
        <v/>
      </c>
      <c r="AF53" s="263" t="str">
        <f t="shared" si="12"/>
        <v/>
      </c>
      <c r="AG53" s="263" t="str">
        <f t="shared" si="13"/>
        <v/>
      </c>
      <c r="AH53" s="263" t="str">
        <f t="shared" si="14"/>
        <v/>
      </c>
      <c r="AI53" s="263" t="str">
        <f t="shared" si="15"/>
        <v/>
      </c>
    </row>
    <row r="54" spans="1:35" ht="21" customHeight="1">
      <c r="A54" s="164">
        <v>37</v>
      </c>
      <c r="B54" s="60" t="str">
        <f>IF('Add Change'!D59="","",+'Add Change'!D59)</f>
        <v/>
      </c>
      <c r="C54" s="31" t="str">
        <f>IF('Add Change'!I59="","",+'Add Change'!I59)</f>
        <v/>
      </c>
      <c r="D54" s="253" t="str">
        <f>IF('Add Change'!W59="","",'Add Change'!W59)</f>
        <v/>
      </c>
      <c r="E54" s="31"/>
      <c r="F54" s="70"/>
      <c r="G54" s="253"/>
      <c r="H54" s="254" t="str">
        <f t="shared" si="2"/>
        <v/>
      </c>
      <c r="I54" s="255" t="str">
        <f t="shared" si="3"/>
        <v/>
      </c>
      <c r="J54" s="256"/>
      <c r="K54" s="257"/>
      <c r="L54" s="258" t="str">
        <f t="shared" si="4"/>
        <v/>
      </c>
      <c r="M54" s="259" t="str">
        <f t="shared" si="5"/>
        <v/>
      </c>
      <c r="N54" s="260" t="str">
        <f t="shared" si="0"/>
        <v/>
      </c>
      <c r="O54" s="261" t="str">
        <f t="shared" si="6"/>
        <v/>
      </c>
      <c r="P54" s="262" t="str">
        <f t="shared" si="7"/>
        <v/>
      </c>
      <c r="Q54" s="263" t="str">
        <f t="shared" si="16"/>
        <v/>
      </c>
      <c r="R54" s="263" t="str">
        <f t="shared" si="16"/>
        <v/>
      </c>
      <c r="S54" s="263" t="str">
        <f t="shared" si="16"/>
        <v/>
      </c>
      <c r="T54" s="263" t="str">
        <f t="shared" si="16"/>
        <v/>
      </c>
      <c r="U54" s="263" t="str">
        <f t="shared" si="16"/>
        <v/>
      </c>
      <c r="V54" s="263" t="str">
        <f t="shared" si="16"/>
        <v/>
      </c>
      <c r="W54" s="263" t="str">
        <f t="shared" si="8"/>
        <v/>
      </c>
      <c r="X54" s="30"/>
      <c r="Y54" s="264"/>
      <c r="Z54" s="30"/>
      <c r="AA54" s="61"/>
      <c r="AB54" s="62"/>
      <c r="AC54" s="263" t="str">
        <f t="shared" si="9"/>
        <v/>
      </c>
      <c r="AD54" s="263" t="str">
        <f t="shared" si="10"/>
        <v/>
      </c>
      <c r="AE54" s="263" t="str">
        <f t="shared" si="11"/>
        <v/>
      </c>
      <c r="AF54" s="263" t="str">
        <f t="shared" si="12"/>
        <v/>
      </c>
      <c r="AG54" s="263" t="str">
        <f t="shared" si="13"/>
        <v/>
      </c>
      <c r="AH54" s="263" t="str">
        <f t="shared" si="14"/>
        <v/>
      </c>
      <c r="AI54" s="263" t="str">
        <f t="shared" si="15"/>
        <v/>
      </c>
    </row>
    <row r="55" spans="1:35" ht="21" customHeight="1">
      <c r="A55" s="164">
        <v>38</v>
      </c>
      <c r="B55" s="60" t="str">
        <f>IF('Add Change'!D60="","",+'Add Change'!D60)</f>
        <v/>
      </c>
      <c r="C55" s="31" t="str">
        <f>IF('Add Change'!I60="","",+'Add Change'!I60)</f>
        <v/>
      </c>
      <c r="D55" s="253" t="str">
        <f>IF('Add Change'!W60="","",'Add Change'!W60)</f>
        <v/>
      </c>
      <c r="E55" s="31"/>
      <c r="F55" s="70"/>
      <c r="G55" s="253"/>
      <c r="H55" s="254" t="str">
        <f t="shared" si="2"/>
        <v/>
      </c>
      <c r="I55" s="255" t="str">
        <f t="shared" si="3"/>
        <v/>
      </c>
      <c r="J55" s="256"/>
      <c r="K55" s="257"/>
      <c r="L55" s="258" t="str">
        <f t="shared" si="4"/>
        <v/>
      </c>
      <c r="M55" s="259" t="str">
        <f t="shared" si="5"/>
        <v/>
      </c>
      <c r="N55" s="260" t="str">
        <f t="shared" si="0"/>
        <v/>
      </c>
      <c r="O55" s="261" t="str">
        <f t="shared" si="6"/>
        <v/>
      </c>
      <c r="P55" s="262" t="str">
        <f t="shared" si="7"/>
        <v/>
      </c>
      <c r="Q55" s="263" t="str">
        <f t="shared" si="16"/>
        <v/>
      </c>
      <c r="R55" s="263" t="str">
        <f t="shared" si="16"/>
        <v/>
      </c>
      <c r="S55" s="263" t="str">
        <f t="shared" si="16"/>
        <v/>
      </c>
      <c r="T55" s="263" t="str">
        <f t="shared" si="16"/>
        <v/>
      </c>
      <c r="U55" s="263" t="str">
        <f t="shared" si="16"/>
        <v/>
      </c>
      <c r="V55" s="263" t="str">
        <f t="shared" si="16"/>
        <v/>
      </c>
      <c r="W55" s="263" t="str">
        <f t="shared" si="8"/>
        <v/>
      </c>
      <c r="X55" s="30"/>
      <c r="Y55" s="264"/>
      <c r="Z55" s="30"/>
      <c r="AA55" s="61"/>
      <c r="AB55" s="62"/>
      <c r="AC55" s="263" t="str">
        <f t="shared" si="9"/>
        <v/>
      </c>
      <c r="AD55" s="263" t="str">
        <f t="shared" si="10"/>
        <v/>
      </c>
      <c r="AE55" s="263" t="str">
        <f t="shared" si="11"/>
        <v/>
      </c>
      <c r="AF55" s="263" t="str">
        <f t="shared" si="12"/>
        <v/>
      </c>
      <c r="AG55" s="263" t="str">
        <f t="shared" si="13"/>
        <v/>
      </c>
      <c r="AH55" s="263" t="str">
        <f t="shared" si="14"/>
        <v/>
      </c>
      <c r="AI55" s="263" t="str">
        <f t="shared" si="15"/>
        <v/>
      </c>
    </row>
    <row r="56" spans="1:35" ht="21" customHeight="1">
      <c r="A56" s="164">
        <v>39</v>
      </c>
      <c r="B56" s="60" t="str">
        <f>IF('Add Change'!D61="","",+'Add Change'!D61)</f>
        <v/>
      </c>
      <c r="C56" s="31" t="str">
        <f>IF('Add Change'!I61="","",+'Add Change'!I61)</f>
        <v/>
      </c>
      <c r="D56" s="253" t="str">
        <f>IF('Add Change'!W61="","",'Add Change'!W61)</f>
        <v/>
      </c>
      <c r="E56" s="31"/>
      <c r="F56" s="70"/>
      <c r="G56" s="253"/>
      <c r="H56" s="254" t="str">
        <f t="shared" si="2"/>
        <v/>
      </c>
      <c r="I56" s="255" t="str">
        <f t="shared" si="3"/>
        <v/>
      </c>
      <c r="J56" s="256"/>
      <c r="K56" s="257"/>
      <c r="L56" s="258" t="str">
        <f t="shared" si="4"/>
        <v/>
      </c>
      <c r="M56" s="259" t="str">
        <f t="shared" si="5"/>
        <v/>
      </c>
      <c r="N56" s="260" t="str">
        <f t="shared" si="0"/>
        <v/>
      </c>
      <c r="O56" s="261" t="str">
        <f t="shared" si="6"/>
        <v/>
      </c>
      <c r="P56" s="262" t="str">
        <f t="shared" si="7"/>
        <v/>
      </c>
      <c r="Q56" s="263" t="str">
        <f t="shared" si="16"/>
        <v/>
      </c>
      <c r="R56" s="263" t="str">
        <f t="shared" si="16"/>
        <v/>
      </c>
      <c r="S56" s="263" t="str">
        <f t="shared" si="16"/>
        <v/>
      </c>
      <c r="T56" s="263" t="str">
        <f t="shared" si="16"/>
        <v/>
      </c>
      <c r="U56" s="263" t="str">
        <f t="shared" si="16"/>
        <v/>
      </c>
      <c r="V56" s="263" t="str">
        <f t="shared" si="16"/>
        <v/>
      </c>
      <c r="W56" s="263" t="str">
        <f t="shared" si="8"/>
        <v/>
      </c>
      <c r="X56" s="30"/>
      <c r="Y56" s="264"/>
      <c r="Z56" s="30"/>
      <c r="AA56" s="61"/>
      <c r="AB56" s="62"/>
      <c r="AC56" s="263" t="str">
        <f t="shared" si="9"/>
        <v/>
      </c>
      <c r="AD56" s="263" t="str">
        <f t="shared" si="10"/>
        <v/>
      </c>
      <c r="AE56" s="263" t="str">
        <f t="shared" si="11"/>
        <v/>
      </c>
      <c r="AF56" s="263" t="str">
        <f t="shared" si="12"/>
        <v/>
      </c>
      <c r="AG56" s="263" t="str">
        <f t="shared" si="13"/>
        <v/>
      </c>
      <c r="AH56" s="263" t="str">
        <f t="shared" si="14"/>
        <v/>
      </c>
      <c r="AI56" s="263" t="str">
        <f t="shared" si="15"/>
        <v/>
      </c>
    </row>
    <row r="57" spans="1:35" ht="21" customHeight="1">
      <c r="A57" s="164">
        <v>40</v>
      </c>
      <c r="B57" s="60" t="str">
        <f>IF('Add Change'!D62="","",+'Add Change'!D62)</f>
        <v/>
      </c>
      <c r="C57" s="31" t="str">
        <f>IF('Add Change'!I62="","",+'Add Change'!I62)</f>
        <v/>
      </c>
      <c r="D57" s="253" t="str">
        <f>IF('Add Change'!W62="","",'Add Change'!W62)</f>
        <v/>
      </c>
      <c r="E57" s="31"/>
      <c r="F57" s="70"/>
      <c r="G57" s="253"/>
      <c r="H57" s="254" t="str">
        <f t="shared" si="2"/>
        <v/>
      </c>
      <c r="I57" s="255" t="str">
        <f t="shared" si="3"/>
        <v/>
      </c>
      <c r="J57" s="256"/>
      <c r="K57" s="257"/>
      <c r="L57" s="258" t="str">
        <f t="shared" si="4"/>
        <v/>
      </c>
      <c r="M57" s="259" t="str">
        <f t="shared" si="5"/>
        <v/>
      </c>
      <c r="N57" s="260" t="str">
        <f t="shared" si="0"/>
        <v/>
      </c>
      <c r="O57" s="261" t="str">
        <f t="shared" si="6"/>
        <v/>
      </c>
      <c r="P57" s="262" t="str">
        <f t="shared" si="7"/>
        <v/>
      </c>
      <c r="Q57" s="263" t="str">
        <f t="shared" si="16"/>
        <v/>
      </c>
      <c r="R57" s="263" t="str">
        <f t="shared" si="16"/>
        <v/>
      </c>
      <c r="S57" s="263" t="str">
        <f t="shared" si="16"/>
        <v/>
      </c>
      <c r="T57" s="263" t="str">
        <f t="shared" si="16"/>
        <v/>
      </c>
      <c r="U57" s="263" t="str">
        <f t="shared" si="16"/>
        <v/>
      </c>
      <c r="V57" s="263" t="str">
        <f t="shared" si="16"/>
        <v/>
      </c>
      <c r="W57" s="263" t="str">
        <f t="shared" si="8"/>
        <v/>
      </c>
      <c r="X57" s="30"/>
      <c r="Y57" s="264"/>
      <c r="Z57" s="30"/>
      <c r="AA57" s="61"/>
      <c r="AB57" s="62"/>
      <c r="AC57" s="263" t="str">
        <f t="shared" si="9"/>
        <v/>
      </c>
      <c r="AD57" s="263" t="str">
        <f t="shared" si="10"/>
        <v/>
      </c>
      <c r="AE57" s="263" t="str">
        <f t="shared" si="11"/>
        <v/>
      </c>
      <c r="AF57" s="263" t="str">
        <f t="shared" si="12"/>
        <v/>
      </c>
      <c r="AG57" s="263" t="str">
        <f t="shared" si="13"/>
        <v/>
      </c>
      <c r="AH57" s="263" t="str">
        <f t="shared" si="14"/>
        <v/>
      </c>
      <c r="AI57" s="263" t="str">
        <f t="shared" si="15"/>
        <v/>
      </c>
    </row>
    <row r="58" spans="1:35" ht="21" customHeight="1">
      <c r="A58" s="164">
        <v>41</v>
      </c>
      <c r="B58" s="60" t="str">
        <f>IF('Add Change'!D63="","",+'Add Change'!D63)</f>
        <v/>
      </c>
      <c r="C58" s="31" t="str">
        <f>IF('Add Change'!I63="","",+'Add Change'!I63)</f>
        <v/>
      </c>
      <c r="D58" s="253" t="str">
        <f>IF('Add Change'!W63="","",'Add Change'!W63)</f>
        <v/>
      </c>
      <c r="E58" s="31"/>
      <c r="F58" s="70"/>
      <c r="G58" s="253"/>
      <c r="H58" s="254" t="str">
        <f t="shared" si="2"/>
        <v/>
      </c>
      <c r="I58" s="255" t="str">
        <f t="shared" si="3"/>
        <v/>
      </c>
      <c r="J58" s="256"/>
      <c r="K58" s="257"/>
      <c r="L58" s="258" t="str">
        <f t="shared" si="4"/>
        <v/>
      </c>
      <c r="M58" s="259" t="str">
        <f t="shared" si="5"/>
        <v/>
      </c>
      <c r="N58" s="260" t="str">
        <f t="shared" si="0"/>
        <v/>
      </c>
      <c r="O58" s="261" t="str">
        <f t="shared" si="6"/>
        <v/>
      </c>
      <c r="P58" s="262" t="str">
        <f t="shared" si="7"/>
        <v/>
      </c>
      <c r="Q58" s="263" t="str">
        <f t="shared" si="16"/>
        <v/>
      </c>
      <c r="R58" s="263" t="str">
        <f t="shared" si="16"/>
        <v/>
      </c>
      <c r="S58" s="263" t="str">
        <f t="shared" si="16"/>
        <v/>
      </c>
      <c r="T58" s="263" t="str">
        <f t="shared" si="16"/>
        <v/>
      </c>
      <c r="U58" s="263" t="str">
        <f t="shared" si="16"/>
        <v/>
      </c>
      <c r="V58" s="263" t="str">
        <f t="shared" si="16"/>
        <v/>
      </c>
      <c r="W58" s="263" t="str">
        <f t="shared" si="8"/>
        <v/>
      </c>
      <c r="X58" s="30"/>
      <c r="Y58" s="264"/>
      <c r="Z58" s="30"/>
      <c r="AA58" s="61"/>
      <c r="AB58" s="62"/>
      <c r="AC58" s="263" t="str">
        <f t="shared" si="9"/>
        <v/>
      </c>
      <c r="AD58" s="263" t="str">
        <f t="shared" si="10"/>
        <v/>
      </c>
      <c r="AE58" s="263" t="str">
        <f t="shared" si="11"/>
        <v/>
      </c>
      <c r="AF58" s="263" t="str">
        <f t="shared" si="12"/>
        <v/>
      </c>
      <c r="AG58" s="263" t="str">
        <f t="shared" si="13"/>
        <v/>
      </c>
      <c r="AH58" s="263" t="str">
        <f t="shared" si="14"/>
        <v/>
      </c>
      <c r="AI58" s="263" t="str">
        <f t="shared" si="15"/>
        <v/>
      </c>
    </row>
    <row r="59" spans="1:35" ht="21" customHeight="1">
      <c r="A59" s="164">
        <v>42</v>
      </c>
      <c r="B59" s="60" t="str">
        <f>IF('Add Change'!D64="","",+'Add Change'!D64)</f>
        <v/>
      </c>
      <c r="C59" s="31" t="str">
        <f>IF('Add Change'!I64="","",+'Add Change'!I64)</f>
        <v/>
      </c>
      <c r="D59" s="253" t="str">
        <f>IF('Add Change'!W64="","",'Add Change'!W64)</f>
        <v/>
      </c>
      <c r="E59" s="31"/>
      <c r="F59" s="70"/>
      <c r="G59" s="253"/>
      <c r="H59" s="254" t="str">
        <f t="shared" si="2"/>
        <v/>
      </c>
      <c r="I59" s="255" t="str">
        <f t="shared" si="3"/>
        <v/>
      </c>
      <c r="J59" s="256"/>
      <c r="K59" s="257"/>
      <c r="L59" s="258" t="str">
        <f t="shared" si="4"/>
        <v/>
      </c>
      <c r="M59" s="259" t="str">
        <f t="shared" si="5"/>
        <v/>
      </c>
      <c r="N59" s="260" t="str">
        <f t="shared" si="0"/>
        <v/>
      </c>
      <c r="O59" s="261" t="str">
        <f t="shared" si="6"/>
        <v/>
      </c>
      <c r="P59" s="262" t="str">
        <f t="shared" si="7"/>
        <v/>
      </c>
      <c r="Q59" s="263" t="str">
        <f t="shared" si="16"/>
        <v/>
      </c>
      <c r="R59" s="263" t="str">
        <f t="shared" si="16"/>
        <v/>
      </c>
      <c r="S59" s="263" t="str">
        <f t="shared" si="16"/>
        <v/>
      </c>
      <c r="T59" s="263" t="str">
        <f t="shared" si="16"/>
        <v/>
      </c>
      <c r="U59" s="263" t="str">
        <f t="shared" si="16"/>
        <v/>
      </c>
      <c r="V59" s="263" t="str">
        <f t="shared" si="16"/>
        <v/>
      </c>
      <c r="W59" s="263" t="str">
        <f t="shared" si="8"/>
        <v/>
      </c>
      <c r="X59" s="30"/>
      <c r="Y59" s="264"/>
      <c r="Z59" s="30"/>
      <c r="AA59" s="61"/>
      <c r="AB59" s="62"/>
      <c r="AC59" s="263" t="str">
        <f t="shared" si="9"/>
        <v/>
      </c>
      <c r="AD59" s="263" t="str">
        <f t="shared" si="10"/>
        <v/>
      </c>
      <c r="AE59" s="263" t="str">
        <f t="shared" si="11"/>
        <v/>
      </c>
      <c r="AF59" s="263" t="str">
        <f t="shared" si="12"/>
        <v/>
      </c>
      <c r="AG59" s="263" t="str">
        <f t="shared" si="13"/>
        <v/>
      </c>
      <c r="AH59" s="263" t="str">
        <f t="shared" si="14"/>
        <v/>
      </c>
      <c r="AI59" s="263" t="str">
        <f t="shared" si="15"/>
        <v/>
      </c>
    </row>
    <row r="60" spans="1:35" ht="21" customHeight="1">
      <c r="A60" s="164">
        <v>43</v>
      </c>
      <c r="B60" s="60" t="str">
        <f>IF('Add Change'!D65="","",+'Add Change'!D65)</f>
        <v/>
      </c>
      <c r="C60" s="31" t="str">
        <f>IF('Add Change'!I65="","",+'Add Change'!I65)</f>
        <v/>
      </c>
      <c r="D60" s="253" t="str">
        <f>IF('Add Change'!W65="","",'Add Change'!W65)</f>
        <v/>
      </c>
      <c r="E60" s="31"/>
      <c r="F60" s="70"/>
      <c r="G60" s="253"/>
      <c r="H60" s="254" t="str">
        <f t="shared" si="2"/>
        <v/>
      </c>
      <c r="I60" s="255" t="str">
        <f t="shared" si="3"/>
        <v/>
      </c>
      <c r="J60" s="256"/>
      <c r="K60" s="257"/>
      <c r="L60" s="258" t="str">
        <f t="shared" si="4"/>
        <v/>
      </c>
      <c r="M60" s="259" t="str">
        <f t="shared" si="5"/>
        <v/>
      </c>
      <c r="N60" s="260" t="str">
        <f t="shared" si="0"/>
        <v/>
      </c>
      <c r="O60" s="261" t="str">
        <f t="shared" si="6"/>
        <v/>
      </c>
      <c r="P60" s="262" t="str">
        <f t="shared" si="7"/>
        <v/>
      </c>
      <c r="Q60" s="263" t="str">
        <f t="shared" si="16"/>
        <v/>
      </c>
      <c r="R60" s="263" t="str">
        <f t="shared" si="16"/>
        <v/>
      </c>
      <c r="S60" s="263" t="str">
        <f t="shared" si="16"/>
        <v/>
      </c>
      <c r="T60" s="263" t="str">
        <f t="shared" si="16"/>
        <v/>
      </c>
      <c r="U60" s="263" t="str">
        <f t="shared" si="16"/>
        <v/>
      </c>
      <c r="V60" s="263" t="str">
        <f t="shared" si="16"/>
        <v/>
      </c>
      <c r="W60" s="263" t="str">
        <f t="shared" si="8"/>
        <v/>
      </c>
      <c r="X60" s="30"/>
      <c r="Y60" s="264"/>
      <c r="Z60" s="30"/>
      <c r="AA60" s="61"/>
      <c r="AB60" s="62"/>
      <c r="AC60" s="263" t="str">
        <f t="shared" si="9"/>
        <v/>
      </c>
      <c r="AD60" s="263" t="str">
        <f t="shared" si="10"/>
        <v/>
      </c>
      <c r="AE60" s="263" t="str">
        <f t="shared" si="11"/>
        <v/>
      </c>
      <c r="AF60" s="263" t="str">
        <f t="shared" si="12"/>
        <v/>
      </c>
      <c r="AG60" s="263" t="str">
        <f t="shared" si="13"/>
        <v/>
      </c>
      <c r="AH60" s="263" t="str">
        <f t="shared" si="14"/>
        <v/>
      </c>
      <c r="AI60" s="263" t="str">
        <f t="shared" si="15"/>
        <v/>
      </c>
    </row>
    <row r="61" spans="1:35" ht="21" customHeight="1">
      <c r="A61" s="164">
        <v>44</v>
      </c>
      <c r="B61" s="60" t="str">
        <f>IF('Add Change'!D66="","",+'Add Change'!D66)</f>
        <v/>
      </c>
      <c r="C61" s="31" t="str">
        <f>IF('Add Change'!I66="","",+'Add Change'!I66)</f>
        <v/>
      </c>
      <c r="D61" s="253" t="str">
        <f>IF('Add Change'!W66="","",'Add Change'!W66)</f>
        <v/>
      </c>
      <c r="E61" s="31"/>
      <c r="F61" s="70"/>
      <c r="G61" s="253"/>
      <c r="H61" s="254" t="str">
        <f t="shared" si="2"/>
        <v/>
      </c>
      <c r="I61" s="255" t="str">
        <f t="shared" si="3"/>
        <v/>
      </c>
      <c r="J61" s="256"/>
      <c r="K61" s="257"/>
      <c r="L61" s="258" t="str">
        <f t="shared" si="4"/>
        <v/>
      </c>
      <c r="M61" s="259" t="str">
        <f t="shared" si="5"/>
        <v/>
      </c>
      <c r="N61" s="260" t="str">
        <f t="shared" si="0"/>
        <v/>
      </c>
      <c r="O61" s="261" t="str">
        <f t="shared" si="6"/>
        <v/>
      </c>
      <c r="P61" s="262" t="str">
        <f t="shared" si="7"/>
        <v/>
      </c>
      <c r="Q61" s="263" t="str">
        <f t="shared" si="16"/>
        <v/>
      </c>
      <c r="R61" s="263" t="str">
        <f t="shared" si="16"/>
        <v/>
      </c>
      <c r="S61" s="263" t="str">
        <f t="shared" si="16"/>
        <v/>
      </c>
      <c r="T61" s="263" t="str">
        <f t="shared" si="16"/>
        <v/>
      </c>
      <c r="U61" s="263" t="str">
        <f t="shared" si="16"/>
        <v/>
      </c>
      <c r="V61" s="263" t="str">
        <f t="shared" si="16"/>
        <v/>
      </c>
      <c r="W61" s="263" t="str">
        <f t="shared" si="8"/>
        <v/>
      </c>
      <c r="X61" s="30"/>
      <c r="Y61" s="264"/>
      <c r="Z61" s="30"/>
      <c r="AA61" s="61"/>
      <c r="AB61" s="62"/>
      <c r="AC61" s="263" t="str">
        <f t="shared" si="9"/>
        <v/>
      </c>
      <c r="AD61" s="263" t="str">
        <f t="shared" si="10"/>
        <v/>
      </c>
      <c r="AE61" s="263" t="str">
        <f t="shared" si="11"/>
        <v/>
      </c>
      <c r="AF61" s="263" t="str">
        <f t="shared" si="12"/>
        <v/>
      </c>
      <c r="AG61" s="263" t="str">
        <f t="shared" si="13"/>
        <v/>
      </c>
      <c r="AH61" s="263" t="str">
        <f t="shared" si="14"/>
        <v/>
      </c>
      <c r="AI61" s="263" t="str">
        <f t="shared" si="15"/>
        <v/>
      </c>
    </row>
    <row r="62" spans="1:35" ht="21" customHeight="1">
      <c r="A62" s="164">
        <v>45</v>
      </c>
      <c r="B62" s="60" t="str">
        <f>IF('Add Change'!D67="","",+'Add Change'!D67)</f>
        <v/>
      </c>
      <c r="C62" s="31" t="str">
        <f>IF('Add Change'!I67="","",+'Add Change'!I67)</f>
        <v/>
      </c>
      <c r="D62" s="253" t="str">
        <f>IF('Add Change'!W67="","",'Add Change'!W67)</f>
        <v/>
      </c>
      <c r="E62" s="31"/>
      <c r="F62" s="70"/>
      <c r="G62" s="253"/>
      <c r="H62" s="254" t="str">
        <f t="shared" si="2"/>
        <v/>
      </c>
      <c r="I62" s="255" t="str">
        <f t="shared" si="3"/>
        <v/>
      </c>
      <c r="J62" s="256"/>
      <c r="K62" s="257"/>
      <c r="L62" s="258" t="str">
        <f t="shared" si="4"/>
        <v/>
      </c>
      <c r="M62" s="259" t="str">
        <f t="shared" si="5"/>
        <v/>
      </c>
      <c r="N62" s="260" t="str">
        <f t="shared" si="0"/>
        <v/>
      </c>
      <c r="O62" s="261" t="str">
        <f t="shared" si="6"/>
        <v/>
      </c>
      <c r="P62" s="262" t="str">
        <f t="shared" si="7"/>
        <v/>
      </c>
      <c r="Q62" s="263" t="str">
        <f t="shared" si="16"/>
        <v/>
      </c>
      <c r="R62" s="263" t="str">
        <f t="shared" si="16"/>
        <v/>
      </c>
      <c r="S62" s="263" t="str">
        <f t="shared" si="16"/>
        <v/>
      </c>
      <c r="T62" s="263" t="str">
        <f t="shared" si="16"/>
        <v/>
      </c>
      <c r="U62" s="263" t="str">
        <f t="shared" si="16"/>
        <v/>
      </c>
      <c r="V62" s="263" t="str">
        <f t="shared" si="16"/>
        <v/>
      </c>
      <c r="W62" s="263" t="str">
        <f t="shared" si="8"/>
        <v/>
      </c>
      <c r="X62" s="30"/>
      <c r="Y62" s="264"/>
      <c r="Z62" s="30"/>
      <c r="AA62" s="61"/>
      <c r="AB62" s="62"/>
      <c r="AC62" s="263" t="str">
        <f t="shared" si="9"/>
        <v/>
      </c>
      <c r="AD62" s="263" t="str">
        <f t="shared" si="10"/>
        <v/>
      </c>
      <c r="AE62" s="263" t="str">
        <f t="shared" si="11"/>
        <v/>
      </c>
      <c r="AF62" s="263" t="str">
        <f t="shared" si="12"/>
        <v/>
      </c>
      <c r="AG62" s="263" t="str">
        <f t="shared" si="13"/>
        <v/>
      </c>
      <c r="AH62" s="263" t="str">
        <f t="shared" si="14"/>
        <v/>
      </c>
      <c r="AI62" s="263" t="str">
        <f t="shared" si="15"/>
        <v/>
      </c>
    </row>
    <row r="63" spans="1:35" ht="21" customHeight="1">
      <c r="A63" s="164">
        <v>46</v>
      </c>
      <c r="B63" s="60" t="str">
        <f>IF('Add Change'!D68="","",+'Add Change'!D68)</f>
        <v/>
      </c>
      <c r="C63" s="31" t="str">
        <f>IF('Add Change'!I68="","",+'Add Change'!I68)</f>
        <v/>
      </c>
      <c r="D63" s="253" t="str">
        <f>IF('Add Change'!W68="","",'Add Change'!W68)</f>
        <v/>
      </c>
      <c r="E63" s="31"/>
      <c r="F63" s="70"/>
      <c r="G63" s="253"/>
      <c r="H63" s="254" t="str">
        <f t="shared" si="2"/>
        <v/>
      </c>
      <c r="I63" s="255" t="str">
        <f t="shared" si="3"/>
        <v/>
      </c>
      <c r="J63" s="256"/>
      <c r="K63" s="257"/>
      <c r="L63" s="258" t="str">
        <f t="shared" si="4"/>
        <v/>
      </c>
      <c r="M63" s="259" t="str">
        <f t="shared" si="5"/>
        <v/>
      </c>
      <c r="N63" s="260" t="str">
        <f t="shared" si="0"/>
        <v/>
      </c>
      <c r="O63" s="261" t="str">
        <f t="shared" si="6"/>
        <v/>
      </c>
      <c r="P63" s="262" t="str">
        <f t="shared" si="7"/>
        <v/>
      </c>
      <c r="Q63" s="263" t="str">
        <f t="shared" si="16"/>
        <v/>
      </c>
      <c r="R63" s="263" t="str">
        <f t="shared" si="16"/>
        <v/>
      </c>
      <c r="S63" s="263" t="str">
        <f t="shared" si="16"/>
        <v/>
      </c>
      <c r="T63" s="263" t="str">
        <f t="shared" si="16"/>
        <v/>
      </c>
      <c r="U63" s="263" t="str">
        <f t="shared" si="16"/>
        <v/>
      </c>
      <c r="V63" s="263" t="str">
        <f t="shared" si="16"/>
        <v/>
      </c>
      <c r="W63" s="263" t="str">
        <f t="shared" si="8"/>
        <v/>
      </c>
      <c r="X63" s="30"/>
      <c r="Y63" s="264"/>
      <c r="Z63" s="30"/>
      <c r="AA63" s="61"/>
      <c r="AB63" s="62"/>
      <c r="AC63" s="263" t="str">
        <f t="shared" si="9"/>
        <v/>
      </c>
      <c r="AD63" s="263" t="str">
        <f t="shared" si="10"/>
        <v/>
      </c>
      <c r="AE63" s="263" t="str">
        <f t="shared" si="11"/>
        <v/>
      </c>
      <c r="AF63" s="263" t="str">
        <f t="shared" si="12"/>
        <v/>
      </c>
      <c r="AG63" s="263" t="str">
        <f t="shared" si="13"/>
        <v/>
      </c>
      <c r="AH63" s="263" t="str">
        <f t="shared" si="14"/>
        <v/>
      </c>
      <c r="AI63" s="263" t="str">
        <f t="shared" si="15"/>
        <v/>
      </c>
    </row>
    <row r="64" spans="1:35" ht="21" customHeight="1">
      <c r="A64" s="164">
        <v>47</v>
      </c>
      <c r="B64" s="60" t="str">
        <f>IF('Add Change'!D69="","",+'Add Change'!D69)</f>
        <v/>
      </c>
      <c r="C64" s="31" t="str">
        <f>IF('Add Change'!I69="","",+'Add Change'!I69)</f>
        <v/>
      </c>
      <c r="D64" s="253" t="str">
        <f>IF('Add Change'!W69="","",'Add Change'!W69)</f>
        <v/>
      </c>
      <c r="E64" s="31"/>
      <c r="F64" s="70"/>
      <c r="G64" s="253"/>
      <c r="H64" s="254" t="str">
        <f t="shared" si="2"/>
        <v/>
      </c>
      <c r="I64" s="255" t="str">
        <f t="shared" si="3"/>
        <v/>
      </c>
      <c r="J64" s="256"/>
      <c r="K64" s="257"/>
      <c r="L64" s="258" t="str">
        <f t="shared" si="4"/>
        <v/>
      </c>
      <c r="M64" s="259" t="str">
        <f t="shared" si="5"/>
        <v/>
      </c>
      <c r="N64" s="260" t="str">
        <f t="shared" si="0"/>
        <v/>
      </c>
      <c r="O64" s="261" t="str">
        <f t="shared" si="6"/>
        <v/>
      </c>
      <c r="P64" s="262" t="str">
        <f t="shared" si="7"/>
        <v/>
      </c>
      <c r="Q64" s="263" t="str">
        <f t="shared" si="16"/>
        <v/>
      </c>
      <c r="R64" s="263" t="str">
        <f t="shared" si="16"/>
        <v/>
      </c>
      <c r="S64" s="263" t="str">
        <f t="shared" si="16"/>
        <v/>
      </c>
      <c r="T64" s="263" t="str">
        <f t="shared" si="16"/>
        <v/>
      </c>
      <c r="U64" s="263" t="str">
        <f t="shared" si="16"/>
        <v/>
      </c>
      <c r="V64" s="263" t="str">
        <f t="shared" si="16"/>
        <v/>
      </c>
      <c r="W64" s="263" t="str">
        <f t="shared" si="8"/>
        <v/>
      </c>
      <c r="X64" s="30"/>
      <c r="Y64" s="264"/>
      <c r="Z64" s="30"/>
      <c r="AA64" s="61"/>
      <c r="AB64" s="62"/>
      <c r="AC64" s="263" t="str">
        <f t="shared" si="9"/>
        <v/>
      </c>
      <c r="AD64" s="263" t="str">
        <f t="shared" si="10"/>
        <v/>
      </c>
      <c r="AE64" s="263" t="str">
        <f t="shared" si="11"/>
        <v/>
      </c>
      <c r="AF64" s="263" t="str">
        <f t="shared" si="12"/>
        <v/>
      </c>
      <c r="AG64" s="263" t="str">
        <f t="shared" si="13"/>
        <v/>
      </c>
      <c r="AH64" s="263" t="str">
        <f t="shared" si="14"/>
        <v/>
      </c>
      <c r="AI64" s="263" t="str">
        <f t="shared" si="15"/>
        <v/>
      </c>
    </row>
    <row r="65" spans="1:35" ht="21" customHeight="1">
      <c r="A65" s="164">
        <v>48</v>
      </c>
      <c r="B65" s="60" t="str">
        <f>IF('Add Change'!D70="","",+'Add Change'!D70)</f>
        <v/>
      </c>
      <c r="C65" s="31" t="str">
        <f>IF('Add Change'!I70="","",+'Add Change'!I70)</f>
        <v/>
      </c>
      <c r="D65" s="253" t="str">
        <f>IF('Add Change'!W70="","",'Add Change'!W70)</f>
        <v/>
      </c>
      <c r="E65" s="31"/>
      <c r="F65" s="70"/>
      <c r="G65" s="253"/>
      <c r="H65" s="254" t="str">
        <f t="shared" si="2"/>
        <v/>
      </c>
      <c r="I65" s="255" t="str">
        <f t="shared" si="3"/>
        <v/>
      </c>
      <c r="J65" s="256"/>
      <c r="K65" s="257"/>
      <c r="L65" s="258" t="str">
        <f t="shared" si="4"/>
        <v/>
      </c>
      <c r="M65" s="259" t="str">
        <f t="shared" si="5"/>
        <v/>
      </c>
      <c r="N65" s="260" t="str">
        <f t="shared" si="0"/>
        <v/>
      </c>
      <c r="O65" s="261" t="str">
        <f t="shared" si="6"/>
        <v/>
      </c>
      <c r="P65" s="262" t="str">
        <f t="shared" si="7"/>
        <v/>
      </c>
      <c r="Q65" s="263" t="str">
        <f t="shared" si="16"/>
        <v/>
      </c>
      <c r="R65" s="263" t="str">
        <f t="shared" si="16"/>
        <v/>
      </c>
      <c r="S65" s="263" t="str">
        <f t="shared" si="16"/>
        <v/>
      </c>
      <c r="T65" s="263" t="str">
        <f t="shared" si="16"/>
        <v/>
      </c>
      <c r="U65" s="263" t="str">
        <f t="shared" si="16"/>
        <v/>
      </c>
      <c r="V65" s="263" t="str">
        <f t="shared" si="16"/>
        <v/>
      </c>
      <c r="W65" s="263" t="str">
        <f t="shared" si="8"/>
        <v/>
      </c>
      <c r="X65" s="30"/>
      <c r="Y65" s="264"/>
      <c r="Z65" s="30"/>
      <c r="AA65" s="61"/>
      <c r="AB65" s="62"/>
      <c r="AC65" s="263" t="str">
        <f t="shared" si="9"/>
        <v/>
      </c>
      <c r="AD65" s="263" t="str">
        <f t="shared" si="10"/>
        <v/>
      </c>
      <c r="AE65" s="263" t="str">
        <f t="shared" si="11"/>
        <v/>
      </c>
      <c r="AF65" s="263" t="str">
        <f t="shared" si="12"/>
        <v/>
      </c>
      <c r="AG65" s="263" t="str">
        <f t="shared" si="13"/>
        <v/>
      </c>
      <c r="AH65" s="263" t="str">
        <f t="shared" si="14"/>
        <v/>
      </c>
      <c r="AI65" s="263" t="str">
        <f t="shared" si="15"/>
        <v/>
      </c>
    </row>
    <row r="66" spans="1:35" ht="21" customHeight="1">
      <c r="A66" s="164">
        <v>49</v>
      </c>
      <c r="B66" s="60" t="str">
        <f>IF('Add Change'!D71="","",+'Add Change'!D71)</f>
        <v/>
      </c>
      <c r="C66" s="31" t="str">
        <f>IF('Add Change'!I71="","",+'Add Change'!I71)</f>
        <v/>
      </c>
      <c r="D66" s="253" t="str">
        <f>IF('Add Change'!W71="","",'Add Change'!W71)</f>
        <v/>
      </c>
      <c r="E66" s="31"/>
      <c r="F66" s="70"/>
      <c r="G66" s="253"/>
      <c r="H66" s="254" t="str">
        <f t="shared" si="2"/>
        <v/>
      </c>
      <c r="I66" s="255" t="str">
        <f t="shared" si="3"/>
        <v/>
      </c>
      <c r="J66" s="256"/>
      <c r="K66" s="257"/>
      <c r="L66" s="258" t="str">
        <f t="shared" si="4"/>
        <v/>
      </c>
      <c r="M66" s="259" t="str">
        <f t="shared" si="5"/>
        <v/>
      </c>
      <c r="N66" s="260" t="str">
        <f t="shared" si="0"/>
        <v/>
      </c>
      <c r="O66" s="261" t="str">
        <f t="shared" si="6"/>
        <v/>
      </c>
      <c r="P66" s="262" t="str">
        <f t="shared" si="7"/>
        <v/>
      </c>
      <c r="Q66" s="263" t="str">
        <f t="shared" si="16"/>
        <v/>
      </c>
      <c r="R66" s="263" t="str">
        <f t="shared" si="16"/>
        <v/>
      </c>
      <c r="S66" s="263" t="str">
        <f t="shared" si="16"/>
        <v/>
      </c>
      <c r="T66" s="263" t="str">
        <f t="shared" si="16"/>
        <v/>
      </c>
      <c r="U66" s="263" t="str">
        <f t="shared" si="16"/>
        <v/>
      </c>
      <c r="V66" s="263" t="str">
        <f t="shared" si="16"/>
        <v/>
      </c>
      <c r="W66" s="263" t="str">
        <f t="shared" si="8"/>
        <v/>
      </c>
      <c r="X66" s="30"/>
      <c r="Y66" s="264"/>
      <c r="Z66" s="30"/>
      <c r="AA66" s="61"/>
      <c r="AB66" s="62"/>
      <c r="AC66" s="263" t="str">
        <f t="shared" si="9"/>
        <v/>
      </c>
      <c r="AD66" s="263" t="str">
        <f t="shared" si="10"/>
        <v/>
      </c>
      <c r="AE66" s="263" t="str">
        <f t="shared" si="11"/>
        <v/>
      </c>
      <c r="AF66" s="263" t="str">
        <f t="shared" si="12"/>
        <v/>
      </c>
      <c r="AG66" s="263" t="str">
        <f t="shared" si="13"/>
        <v/>
      </c>
      <c r="AH66" s="263" t="str">
        <f t="shared" si="14"/>
        <v/>
      </c>
      <c r="AI66" s="263" t="str">
        <f t="shared" si="15"/>
        <v/>
      </c>
    </row>
    <row r="67" spans="1:35" ht="21" customHeight="1">
      <c r="A67" s="164">
        <v>50</v>
      </c>
      <c r="B67" s="60" t="str">
        <f>IF('Add Change'!D72="","",+'Add Change'!D72)</f>
        <v/>
      </c>
      <c r="C67" s="31" t="str">
        <f>IF('Add Change'!I72="","",+'Add Change'!I72)</f>
        <v/>
      </c>
      <c r="D67" s="253" t="str">
        <f>IF('Add Change'!W72="","",'Add Change'!W72)</f>
        <v/>
      </c>
      <c r="E67" s="31"/>
      <c r="F67" s="70"/>
      <c r="G67" s="253"/>
      <c r="H67" s="254" t="str">
        <f t="shared" si="2"/>
        <v/>
      </c>
      <c r="I67" s="255" t="str">
        <f t="shared" si="3"/>
        <v/>
      </c>
      <c r="J67" s="256"/>
      <c r="K67" s="257"/>
      <c r="L67" s="258" t="str">
        <f t="shared" si="4"/>
        <v/>
      </c>
      <c r="M67" s="259" t="str">
        <f t="shared" si="5"/>
        <v/>
      </c>
      <c r="N67" s="260" t="str">
        <f t="shared" si="0"/>
        <v/>
      </c>
      <c r="O67" s="261" t="str">
        <f t="shared" si="6"/>
        <v/>
      </c>
      <c r="P67" s="262" t="str">
        <f t="shared" si="7"/>
        <v/>
      </c>
      <c r="Q67" s="263" t="str">
        <f t="shared" si="16"/>
        <v/>
      </c>
      <c r="R67" s="263" t="str">
        <f t="shared" si="16"/>
        <v/>
      </c>
      <c r="S67" s="263" t="str">
        <f t="shared" si="16"/>
        <v/>
      </c>
      <c r="T67" s="263" t="str">
        <f t="shared" si="16"/>
        <v/>
      </c>
      <c r="U67" s="263" t="str">
        <f t="shared" si="16"/>
        <v/>
      </c>
      <c r="V67" s="263" t="str">
        <f t="shared" si="16"/>
        <v/>
      </c>
      <c r="W67" s="263" t="str">
        <f t="shared" si="8"/>
        <v/>
      </c>
      <c r="X67" s="30"/>
      <c r="Y67" s="264"/>
      <c r="Z67" s="30"/>
      <c r="AA67" s="61"/>
      <c r="AB67" s="62"/>
      <c r="AC67" s="263" t="str">
        <f t="shared" si="9"/>
        <v/>
      </c>
      <c r="AD67" s="263" t="str">
        <f t="shared" si="10"/>
        <v/>
      </c>
      <c r="AE67" s="263" t="str">
        <f t="shared" si="11"/>
        <v/>
      </c>
      <c r="AF67" s="263" t="str">
        <f t="shared" si="12"/>
        <v/>
      </c>
      <c r="AG67" s="263" t="str">
        <f t="shared" si="13"/>
        <v/>
      </c>
      <c r="AH67" s="263" t="str">
        <f t="shared" si="14"/>
        <v/>
      </c>
      <c r="AI67" s="263" t="str">
        <f t="shared" si="15"/>
        <v/>
      </c>
    </row>
    <row r="68" spans="1:35" ht="21" customHeight="1">
      <c r="A68" s="164">
        <v>51</v>
      </c>
      <c r="B68" s="60" t="str">
        <f>IF('Add Change'!D73="","",+'Add Change'!D73)</f>
        <v/>
      </c>
      <c r="C68" s="31" t="str">
        <f>IF('Add Change'!I73="","",+'Add Change'!I73)</f>
        <v/>
      </c>
      <c r="D68" s="253" t="str">
        <f>IF('Add Change'!W73="","",'Add Change'!W73)</f>
        <v/>
      </c>
      <c r="E68" s="31"/>
      <c r="F68" s="70"/>
      <c r="G68" s="253"/>
      <c r="H68" s="254" t="str">
        <f t="shared" si="2"/>
        <v/>
      </c>
      <c r="I68" s="255" t="str">
        <f t="shared" si="3"/>
        <v/>
      </c>
      <c r="J68" s="256"/>
      <c r="K68" s="257"/>
      <c r="L68" s="258" t="str">
        <f t="shared" si="4"/>
        <v/>
      </c>
      <c r="M68" s="259" t="str">
        <f t="shared" si="5"/>
        <v/>
      </c>
      <c r="N68" s="260" t="str">
        <f t="shared" si="0"/>
        <v/>
      </c>
      <c r="O68" s="261" t="str">
        <f t="shared" si="6"/>
        <v/>
      </c>
      <c r="P68" s="262" t="str">
        <f t="shared" si="7"/>
        <v/>
      </c>
      <c r="Q68" s="263" t="str">
        <f t="shared" si="16"/>
        <v/>
      </c>
      <c r="R68" s="263" t="str">
        <f t="shared" si="16"/>
        <v/>
      </c>
      <c r="S68" s="263" t="str">
        <f t="shared" si="16"/>
        <v/>
      </c>
      <c r="T68" s="263" t="str">
        <f t="shared" si="16"/>
        <v/>
      </c>
      <c r="U68" s="263" t="str">
        <f t="shared" si="16"/>
        <v/>
      </c>
      <c r="V68" s="263" t="str">
        <f t="shared" si="16"/>
        <v/>
      </c>
      <c r="W68" s="263" t="str">
        <f t="shared" si="8"/>
        <v/>
      </c>
      <c r="X68" s="30"/>
      <c r="Y68" s="264"/>
      <c r="Z68" s="30"/>
      <c r="AA68" s="61"/>
      <c r="AB68" s="62"/>
      <c r="AC68" s="263" t="str">
        <f t="shared" si="9"/>
        <v/>
      </c>
      <c r="AD68" s="263" t="str">
        <f t="shared" si="10"/>
        <v/>
      </c>
      <c r="AE68" s="263" t="str">
        <f t="shared" si="11"/>
        <v/>
      </c>
      <c r="AF68" s="263" t="str">
        <f t="shared" si="12"/>
        <v/>
      </c>
      <c r="AG68" s="263" t="str">
        <f t="shared" si="13"/>
        <v/>
      </c>
      <c r="AH68" s="263" t="str">
        <f t="shared" si="14"/>
        <v/>
      </c>
      <c r="AI68" s="263" t="str">
        <f t="shared" si="15"/>
        <v/>
      </c>
    </row>
    <row r="69" spans="1:35" ht="21" customHeight="1">
      <c r="A69" s="164">
        <v>52</v>
      </c>
      <c r="B69" s="60" t="str">
        <f>IF('Add Change'!D74="","",+'Add Change'!D74)</f>
        <v/>
      </c>
      <c r="C69" s="31" t="str">
        <f>IF('Add Change'!I74="","",+'Add Change'!I74)</f>
        <v/>
      </c>
      <c r="D69" s="253" t="str">
        <f>IF('Add Change'!W74="","",'Add Change'!W74)</f>
        <v/>
      </c>
      <c r="E69" s="31"/>
      <c r="F69" s="70"/>
      <c r="G69" s="253"/>
      <c r="H69" s="254" t="str">
        <f t="shared" si="2"/>
        <v/>
      </c>
      <c r="I69" s="255" t="str">
        <f t="shared" si="3"/>
        <v/>
      </c>
      <c r="J69" s="256"/>
      <c r="K69" s="257"/>
      <c r="L69" s="258" t="str">
        <f t="shared" si="4"/>
        <v/>
      </c>
      <c r="M69" s="259" t="str">
        <f t="shared" si="5"/>
        <v/>
      </c>
      <c r="N69" s="260" t="str">
        <f t="shared" si="0"/>
        <v/>
      </c>
      <c r="O69" s="261" t="str">
        <f t="shared" si="6"/>
        <v/>
      </c>
      <c r="P69" s="262" t="str">
        <f t="shared" si="7"/>
        <v/>
      </c>
      <c r="Q69" s="263" t="str">
        <f t="shared" si="16"/>
        <v/>
      </c>
      <c r="R69" s="263" t="str">
        <f t="shared" si="16"/>
        <v/>
      </c>
      <c r="S69" s="263" t="str">
        <f t="shared" si="16"/>
        <v/>
      </c>
      <c r="T69" s="263" t="str">
        <f t="shared" si="16"/>
        <v/>
      </c>
      <c r="U69" s="263" t="str">
        <f t="shared" si="16"/>
        <v/>
      </c>
      <c r="V69" s="263" t="str">
        <f t="shared" si="16"/>
        <v/>
      </c>
      <c r="W69" s="263" t="str">
        <f t="shared" si="8"/>
        <v/>
      </c>
      <c r="X69" s="30"/>
      <c r="Y69" s="264"/>
      <c r="Z69" s="30"/>
      <c r="AA69" s="61"/>
      <c r="AB69" s="62"/>
      <c r="AC69" s="263" t="str">
        <f t="shared" si="9"/>
        <v/>
      </c>
      <c r="AD69" s="263" t="str">
        <f t="shared" si="10"/>
        <v/>
      </c>
      <c r="AE69" s="263" t="str">
        <f t="shared" si="11"/>
        <v/>
      </c>
      <c r="AF69" s="263" t="str">
        <f t="shared" si="12"/>
        <v/>
      </c>
      <c r="AG69" s="263" t="str">
        <f t="shared" si="13"/>
        <v/>
      </c>
      <c r="AH69" s="263" t="str">
        <f t="shared" si="14"/>
        <v/>
      </c>
      <c r="AI69" s="263" t="str">
        <f t="shared" si="15"/>
        <v/>
      </c>
    </row>
    <row r="70" spans="1:35" ht="21" customHeight="1">
      <c r="A70" s="164">
        <v>53</v>
      </c>
      <c r="B70" s="60" t="str">
        <f>IF('Add Change'!D75="","",+'Add Change'!D75)</f>
        <v/>
      </c>
      <c r="C70" s="31" t="str">
        <f>IF('Add Change'!I75="","",+'Add Change'!I75)</f>
        <v/>
      </c>
      <c r="D70" s="253" t="str">
        <f>IF('Add Change'!W75="","",'Add Change'!W75)</f>
        <v/>
      </c>
      <c r="E70" s="31"/>
      <c r="F70" s="70"/>
      <c r="G70" s="253"/>
      <c r="H70" s="254" t="str">
        <f t="shared" si="2"/>
        <v/>
      </c>
      <c r="I70" s="255" t="str">
        <f t="shared" si="3"/>
        <v/>
      </c>
      <c r="J70" s="256"/>
      <c r="K70" s="257"/>
      <c r="L70" s="258" t="str">
        <f t="shared" si="4"/>
        <v/>
      </c>
      <c r="M70" s="259" t="str">
        <f t="shared" si="5"/>
        <v/>
      </c>
      <c r="N70" s="260" t="str">
        <f t="shared" si="0"/>
        <v/>
      </c>
      <c r="O70" s="261" t="str">
        <f t="shared" si="6"/>
        <v/>
      </c>
      <c r="P70" s="262" t="str">
        <f t="shared" si="7"/>
        <v/>
      </c>
      <c r="Q70" s="263" t="str">
        <f t="shared" si="16"/>
        <v/>
      </c>
      <c r="R70" s="263" t="str">
        <f t="shared" si="16"/>
        <v/>
      </c>
      <c r="S70" s="263" t="str">
        <f t="shared" si="16"/>
        <v/>
      </c>
      <c r="T70" s="263" t="str">
        <f t="shared" si="16"/>
        <v/>
      </c>
      <c r="U70" s="263" t="str">
        <f t="shared" si="16"/>
        <v/>
      </c>
      <c r="V70" s="263" t="str">
        <f t="shared" si="16"/>
        <v/>
      </c>
      <c r="W70" s="263" t="str">
        <f t="shared" si="8"/>
        <v/>
      </c>
      <c r="X70" s="30"/>
      <c r="Y70" s="264"/>
      <c r="Z70" s="30"/>
      <c r="AA70" s="61"/>
      <c r="AB70" s="62"/>
      <c r="AC70" s="263" t="str">
        <f t="shared" si="9"/>
        <v/>
      </c>
      <c r="AD70" s="263" t="str">
        <f t="shared" si="10"/>
        <v/>
      </c>
      <c r="AE70" s="263" t="str">
        <f t="shared" si="11"/>
        <v/>
      </c>
      <c r="AF70" s="263" t="str">
        <f t="shared" si="12"/>
        <v/>
      </c>
      <c r="AG70" s="263" t="str">
        <f t="shared" si="13"/>
        <v/>
      </c>
      <c r="AH70" s="263" t="str">
        <f t="shared" si="14"/>
        <v/>
      </c>
      <c r="AI70" s="263" t="str">
        <f t="shared" si="15"/>
        <v/>
      </c>
    </row>
    <row r="71" spans="1:35" ht="21" customHeight="1">
      <c r="A71" s="164">
        <v>54</v>
      </c>
      <c r="B71" s="60" t="str">
        <f>IF('Add Change'!D76="","",+'Add Change'!D76)</f>
        <v/>
      </c>
      <c r="C71" s="31" t="str">
        <f>IF('Add Change'!I76="","",+'Add Change'!I76)</f>
        <v/>
      </c>
      <c r="D71" s="253" t="str">
        <f>IF('Add Change'!W76="","",'Add Change'!W76)</f>
        <v/>
      </c>
      <c r="E71" s="31"/>
      <c r="F71" s="70"/>
      <c r="G71" s="253"/>
      <c r="H71" s="254" t="str">
        <f t="shared" si="2"/>
        <v/>
      </c>
      <c r="I71" s="255" t="str">
        <f t="shared" si="3"/>
        <v/>
      </c>
      <c r="J71" s="256"/>
      <c r="K71" s="257"/>
      <c r="L71" s="258" t="str">
        <f t="shared" si="4"/>
        <v/>
      </c>
      <c r="M71" s="259" t="str">
        <f t="shared" si="5"/>
        <v/>
      </c>
      <c r="N71" s="260" t="str">
        <f t="shared" si="0"/>
        <v/>
      </c>
      <c r="O71" s="261" t="str">
        <f t="shared" si="6"/>
        <v/>
      </c>
      <c r="P71" s="262" t="str">
        <f t="shared" si="7"/>
        <v/>
      </c>
      <c r="Q71" s="263" t="str">
        <f t="shared" si="16"/>
        <v/>
      </c>
      <c r="R71" s="263" t="str">
        <f t="shared" si="16"/>
        <v/>
      </c>
      <c r="S71" s="263" t="str">
        <f t="shared" si="16"/>
        <v/>
      </c>
      <c r="T71" s="263" t="str">
        <f t="shared" si="16"/>
        <v/>
      </c>
      <c r="U71" s="263" t="str">
        <f t="shared" si="16"/>
        <v/>
      </c>
      <c r="V71" s="263" t="str">
        <f t="shared" si="16"/>
        <v/>
      </c>
      <c r="W71" s="263" t="str">
        <f t="shared" si="8"/>
        <v/>
      </c>
      <c r="X71" s="30"/>
      <c r="Y71" s="264"/>
      <c r="Z71" s="30"/>
      <c r="AA71" s="61"/>
      <c r="AB71" s="62"/>
      <c r="AC71" s="263" t="str">
        <f t="shared" si="9"/>
        <v/>
      </c>
      <c r="AD71" s="263" t="str">
        <f t="shared" si="10"/>
        <v/>
      </c>
      <c r="AE71" s="263" t="str">
        <f t="shared" si="11"/>
        <v/>
      </c>
      <c r="AF71" s="263" t="str">
        <f t="shared" si="12"/>
        <v/>
      </c>
      <c r="AG71" s="263" t="str">
        <f t="shared" si="13"/>
        <v/>
      </c>
      <c r="AH71" s="263" t="str">
        <f t="shared" si="14"/>
        <v/>
      </c>
      <c r="AI71" s="263" t="str">
        <f t="shared" si="15"/>
        <v/>
      </c>
    </row>
    <row r="72" spans="1:35" ht="21" customHeight="1">
      <c r="A72" s="164">
        <v>55</v>
      </c>
      <c r="B72" s="60" t="str">
        <f>IF('Add Change'!D77="","",+'Add Change'!D77)</f>
        <v/>
      </c>
      <c r="C72" s="31" t="str">
        <f>IF('Add Change'!I77="","",+'Add Change'!I77)</f>
        <v/>
      </c>
      <c r="D72" s="253" t="str">
        <f>IF('Add Change'!W77="","",'Add Change'!W77)</f>
        <v/>
      </c>
      <c r="E72" s="31"/>
      <c r="F72" s="70"/>
      <c r="G72" s="253"/>
      <c r="H72" s="254" t="str">
        <f t="shared" si="2"/>
        <v/>
      </c>
      <c r="I72" s="255" t="str">
        <f t="shared" si="3"/>
        <v/>
      </c>
      <c r="J72" s="256"/>
      <c r="K72" s="257"/>
      <c r="L72" s="258" t="str">
        <f t="shared" si="4"/>
        <v/>
      </c>
      <c r="M72" s="259" t="str">
        <f t="shared" si="5"/>
        <v/>
      </c>
      <c r="N72" s="260" t="str">
        <f t="shared" si="0"/>
        <v/>
      </c>
      <c r="O72" s="261" t="str">
        <f t="shared" si="6"/>
        <v/>
      </c>
      <c r="P72" s="262" t="str">
        <f t="shared" si="7"/>
        <v/>
      </c>
      <c r="Q72" s="263" t="str">
        <f t="shared" si="16"/>
        <v/>
      </c>
      <c r="R72" s="263" t="str">
        <f t="shared" si="16"/>
        <v/>
      </c>
      <c r="S72" s="263" t="str">
        <f t="shared" si="16"/>
        <v/>
      </c>
      <c r="T72" s="263" t="str">
        <f t="shared" si="16"/>
        <v/>
      </c>
      <c r="U72" s="263" t="str">
        <f t="shared" si="16"/>
        <v/>
      </c>
      <c r="V72" s="263" t="str">
        <f t="shared" si="16"/>
        <v/>
      </c>
      <c r="W72" s="263" t="str">
        <f t="shared" si="8"/>
        <v/>
      </c>
      <c r="X72" s="30"/>
      <c r="Y72" s="264"/>
      <c r="Z72" s="30"/>
      <c r="AA72" s="61"/>
      <c r="AB72" s="62"/>
      <c r="AC72" s="263" t="str">
        <f t="shared" si="9"/>
        <v/>
      </c>
      <c r="AD72" s="263" t="str">
        <f t="shared" si="10"/>
        <v/>
      </c>
      <c r="AE72" s="263" t="str">
        <f t="shared" si="11"/>
        <v/>
      </c>
      <c r="AF72" s="263" t="str">
        <f t="shared" si="12"/>
        <v/>
      </c>
      <c r="AG72" s="263" t="str">
        <f t="shared" si="13"/>
        <v/>
      </c>
      <c r="AH72" s="263" t="str">
        <f t="shared" si="14"/>
        <v/>
      </c>
      <c r="AI72" s="263" t="str">
        <f t="shared" si="15"/>
        <v/>
      </c>
    </row>
    <row r="73" spans="1:35" ht="21" customHeight="1">
      <c r="A73" s="164">
        <v>56</v>
      </c>
      <c r="B73" s="60" t="str">
        <f>IF('Add Change'!D78="","",+'Add Change'!D78)</f>
        <v/>
      </c>
      <c r="C73" s="31" t="str">
        <f>IF('Add Change'!I78="","",+'Add Change'!I78)</f>
        <v/>
      </c>
      <c r="D73" s="253" t="str">
        <f>IF('Add Change'!W78="","",'Add Change'!W78)</f>
        <v/>
      </c>
      <c r="E73" s="31"/>
      <c r="F73" s="70"/>
      <c r="G73" s="253"/>
      <c r="H73" s="254" t="str">
        <f t="shared" si="2"/>
        <v/>
      </c>
      <c r="I73" s="255" t="str">
        <f t="shared" si="3"/>
        <v/>
      </c>
      <c r="J73" s="256"/>
      <c r="K73" s="257"/>
      <c r="L73" s="258" t="str">
        <f t="shared" si="4"/>
        <v/>
      </c>
      <c r="M73" s="259" t="str">
        <f t="shared" si="5"/>
        <v/>
      </c>
      <c r="N73" s="260" t="str">
        <f t="shared" si="0"/>
        <v/>
      </c>
      <c r="O73" s="261" t="str">
        <f t="shared" si="6"/>
        <v/>
      </c>
      <c r="P73" s="262" t="str">
        <f t="shared" si="7"/>
        <v/>
      </c>
      <c r="Q73" s="263" t="str">
        <f t="shared" si="16"/>
        <v/>
      </c>
      <c r="R73" s="263" t="str">
        <f t="shared" si="16"/>
        <v/>
      </c>
      <c r="S73" s="263" t="str">
        <f t="shared" si="16"/>
        <v/>
      </c>
      <c r="T73" s="263" t="str">
        <f t="shared" si="16"/>
        <v/>
      </c>
      <c r="U73" s="263" t="str">
        <f t="shared" si="16"/>
        <v/>
      </c>
      <c r="V73" s="263" t="str">
        <f t="shared" si="16"/>
        <v/>
      </c>
      <c r="W73" s="263" t="str">
        <f t="shared" si="8"/>
        <v/>
      </c>
      <c r="X73" s="30"/>
      <c r="Y73" s="264"/>
      <c r="Z73" s="30"/>
      <c r="AA73" s="61"/>
      <c r="AB73" s="62"/>
      <c r="AC73" s="263" t="str">
        <f t="shared" si="9"/>
        <v/>
      </c>
      <c r="AD73" s="263" t="str">
        <f t="shared" si="10"/>
        <v/>
      </c>
      <c r="AE73" s="263" t="str">
        <f t="shared" si="11"/>
        <v/>
      </c>
      <c r="AF73" s="263" t="str">
        <f t="shared" si="12"/>
        <v/>
      </c>
      <c r="AG73" s="263" t="str">
        <f t="shared" si="13"/>
        <v/>
      </c>
      <c r="AH73" s="263" t="str">
        <f t="shared" si="14"/>
        <v/>
      </c>
      <c r="AI73" s="263" t="str">
        <f t="shared" si="15"/>
        <v/>
      </c>
    </row>
    <row r="74" spans="1:35" ht="21" customHeight="1">
      <c r="A74" s="164">
        <v>57</v>
      </c>
      <c r="B74" s="60" t="str">
        <f>IF('Add Change'!D79="","",+'Add Change'!D79)</f>
        <v/>
      </c>
      <c r="C74" s="31" t="str">
        <f>IF('Add Change'!I79="","",+'Add Change'!I79)</f>
        <v/>
      </c>
      <c r="D74" s="253" t="str">
        <f>IF('Add Change'!W79="","",'Add Change'!W79)</f>
        <v/>
      </c>
      <c r="E74" s="31"/>
      <c r="F74" s="70"/>
      <c r="G74" s="253"/>
      <c r="H74" s="254" t="str">
        <f t="shared" si="2"/>
        <v/>
      </c>
      <c r="I74" s="255" t="str">
        <f t="shared" si="3"/>
        <v/>
      </c>
      <c r="J74" s="256"/>
      <c r="K74" s="257"/>
      <c r="L74" s="258" t="str">
        <f t="shared" si="4"/>
        <v/>
      </c>
      <c r="M74" s="259" t="str">
        <f t="shared" si="5"/>
        <v/>
      </c>
      <c r="N74" s="260" t="str">
        <f t="shared" si="0"/>
        <v/>
      </c>
      <c r="O74" s="261" t="str">
        <f t="shared" si="6"/>
        <v/>
      </c>
      <c r="P74" s="262" t="str">
        <f t="shared" si="7"/>
        <v/>
      </c>
      <c r="Q74" s="263" t="str">
        <f t="shared" si="16"/>
        <v/>
      </c>
      <c r="R74" s="263" t="str">
        <f t="shared" si="16"/>
        <v/>
      </c>
      <c r="S74" s="263" t="str">
        <f t="shared" si="16"/>
        <v/>
      </c>
      <c r="T74" s="263" t="str">
        <f t="shared" si="16"/>
        <v/>
      </c>
      <c r="U74" s="263" t="str">
        <f t="shared" si="16"/>
        <v/>
      </c>
      <c r="V74" s="263" t="str">
        <f t="shared" si="16"/>
        <v/>
      </c>
      <c r="W74" s="263" t="str">
        <f t="shared" si="8"/>
        <v/>
      </c>
      <c r="X74" s="30"/>
      <c r="Y74" s="264"/>
      <c r="Z74" s="30"/>
      <c r="AA74" s="61"/>
      <c r="AB74" s="62"/>
      <c r="AC74" s="263" t="str">
        <f t="shared" si="9"/>
        <v/>
      </c>
      <c r="AD74" s="263" t="str">
        <f t="shared" si="10"/>
        <v/>
      </c>
      <c r="AE74" s="263" t="str">
        <f t="shared" si="11"/>
        <v/>
      </c>
      <c r="AF74" s="263" t="str">
        <f t="shared" si="12"/>
        <v/>
      </c>
      <c r="AG74" s="263" t="str">
        <f t="shared" si="13"/>
        <v/>
      </c>
      <c r="AH74" s="263" t="str">
        <f t="shared" si="14"/>
        <v/>
      </c>
      <c r="AI74" s="263" t="str">
        <f t="shared" si="15"/>
        <v/>
      </c>
    </row>
    <row r="75" spans="1:35" ht="21" customHeight="1">
      <c r="A75" s="164">
        <v>58</v>
      </c>
      <c r="B75" s="60" t="str">
        <f>IF('Add Change'!D80="","",+'Add Change'!D80)</f>
        <v/>
      </c>
      <c r="C75" s="31" t="str">
        <f>IF('Add Change'!I80="","",+'Add Change'!I80)</f>
        <v/>
      </c>
      <c r="D75" s="253" t="str">
        <f>IF('Add Change'!W80="","",'Add Change'!W80)</f>
        <v/>
      </c>
      <c r="E75" s="31"/>
      <c r="F75" s="70"/>
      <c r="G75" s="253"/>
      <c r="H75" s="254" t="str">
        <f t="shared" si="2"/>
        <v/>
      </c>
      <c r="I75" s="255" t="str">
        <f t="shared" si="3"/>
        <v/>
      </c>
      <c r="J75" s="256"/>
      <c r="K75" s="257"/>
      <c r="L75" s="258" t="str">
        <f t="shared" si="4"/>
        <v/>
      </c>
      <c r="M75" s="259" t="str">
        <f t="shared" si="5"/>
        <v/>
      </c>
      <c r="N75" s="260" t="str">
        <f t="shared" si="0"/>
        <v/>
      </c>
      <c r="O75" s="261" t="str">
        <f t="shared" si="6"/>
        <v/>
      </c>
      <c r="P75" s="262" t="str">
        <f t="shared" si="7"/>
        <v/>
      </c>
      <c r="Q75" s="263" t="str">
        <f t="shared" si="16"/>
        <v/>
      </c>
      <c r="R75" s="263" t="str">
        <f t="shared" si="16"/>
        <v/>
      </c>
      <c r="S75" s="263" t="str">
        <f t="shared" si="16"/>
        <v/>
      </c>
      <c r="T75" s="263" t="str">
        <f t="shared" si="16"/>
        <v/>
      </c>
      <c r="U75" s="263" t="str">
        <f t="shared" si="16"/>
        <v/>
      </c>
      <c r="V75" s="263" t="str">
        <f t="shared" si="16"/>
        <v/>
      </c>
      <c r="W75" s="263" t="str">
        <f t="shared" si="8"/>
        <v/>
      </c>
      <c r="X75" s="30"/>
      <c r="Y75" s="264"/>
      <c r="Z75" s="30"/>
      <c r="AA75" s="61"/>
      <c r="AB75" s="62"/>
      <c r="AC75" s="263" t="str">
        <f t="shared" si="9"/>
        <v/>
      </c>
      <c r="AD75" s="263" t="str">
        <f t="shared" si="10"/>
        <v/>
      </c>
      <c r="AE75" s="263" t="str">
        <f t="shared" si="11"/>
        <v/>
      </c>
      <c r="AF75" s="263" t="str">
        <f t="shared" si="12"/>
        <v/>
      </c>
      <c r="AG75" s="263" t="str">
        <f t="shared" si="13"/>
        <v/>
      </c>
      <c r="AH75" s="263" t="str">
        <f t="shared" si="14"/>
        <v/>
      </c>
      <c r="AI75" s="263" t="str">
        <f t="shared" si="15"/>
        <v/>
      </c>
    </row>
    <row r="76" spans="1:35" ht="21" customHeight="1">
      <c r="A76" s="164">
        <v>59</v>
      </c>
      <c r="B76" s="60" t="str">
        <f>IF('Add Change'!D81="","",+'Add Change'!D81)</f>
        <v/>
      </c>
      <c r="C76" s="31" t="str">
        <f>IF('Add Change'!I81="","",+'Add Change'!I81)</f>
        <v/>
      </c>
      <c r="D76" s="253" t="str">
        <f>IF('Add Change'!W81="","",'Add Change'!W81)</f>
        <v/>
      </c>
      <c r="E76" s="31"/>
      <c r="F76" s="70"/>
      <c r="G76" s="253"/>
      <c r="H76" s="254" t="str">
        <f t="shared" si="2"/>
        <v/>
      </c>
      <c r="I76" s="255" t="str">
        <f t="shared" si="3"/>
        <v/>
      </c>
      <c r="J76" s="256"/>
      <c r="K76" s="257"/>
      <c r="L76" s="258" t="str">
        <f t="shared" si="4"/>
        <v/>
      </c>
      <c r="M76" s="259" t="str">
        <f t="shared" si="5"/>
        <v/>
      </c>
      <c r="N76" s="260" t="str">
        <f t="shared" si="0"/>
        <v/>
      </c>
      <c r="O76" s="261" t="str">
        <f t="shared" si="6"/>
        <v/>
      </c>
      <c r="P76" s="262" t="str">
        <f t="shared" si="7"/>
        <v/>
      </c>
      <c r="Q76" s="263" t="str">
        <f t="shared" si="16"/>
        <v/>
      </c>
      <c r="R76" s="263" t="str">
        <f t="shared" si="16"/>
        <v/>
      </c>
      <c r="S76" s="263" t="str">
        <f t="shared" si="16"/>
        <v/>
      </c>
      <c r="T76" s="263" t="str">
        <f t="shared" ref="Q76:V118" si="17">IF($O76="","",($O76*T$13/4)*52)</f>
        <v/>
      </c>
      <c r="U76" s="263" t="str">
        <f t="shared" si="17"/>
        <v/>
      </c>
      <c r="V76" s="263" t="str">
        <f t="shared" si="17"/>
        <v/>
      </c>
      <c r="W76" s="263" t="str">
        <f t="shared" si="8"/>
        <v/>
      </c>
      <c r="X76" s="30"/>
      <c r="Y76" s="264"/>
      <c r="Z76" s="30"/>
      <c r="AA76" s="61"/>
      <c r="AB76" s="62"/>
      <c r="AC76" s="263" t="str">
        <f t="shared" si="9"/>
        <v/>
      </c>
      <c r="AD76" s="263" t="str">
        <f t="shared" si="10"/>
        <v/>
      </c>
      <c r="AE76" s="263" t="str">
        <f t="shared" si="11"/>
        <v/>
      </c>
      <c r="AF76" s="263" t="str">
        <f t="shared" si="12"/>
        <v/>
      </c>
      <c r="AG76" s="263" t="str">
        <f t="shared" si="13"/>
        <v/>
      </c>
      <c r="AH76" s="263" t="str">
        <f t="shared" si="14"/>
        <v/>
      </c>
      <c r="AI76" s="263" t="str">
        <f t="shared" si="15"/>
        <v/>
      </c>
    </row>
    <row r="77" spans="1:35" ht="21" customHeight="1">
      <c r="A77" s="164">
        <v>60</v>
      </c>
      <c r="B77" s="60" t="str">
        <f>IF('Add Change'!D82="","",+'Add Change'!D82)</f>
        <v/>
      </c>
      <c r="C77" s="31" t="str">
        <f>IF('Add Change'!I82="","",+'Add Change'!I82)</f>
        <v/>
      </c>
      <c r="D77" s="253" t="str">
        <f>IF('Add Change'!W82="","",'Add Change'!W82)</f>
        <v/>
      </c>
      <c r="E77" s="31"/>
      <c r="F77" s="70"/>
      <c r="G77" s="253"/>
      <c r="H77" s="254" t="str">
        <f t="shared" si="2"/>
        <v/>
      </c>
      <c r="I77" s="255" t="str">
        <f t="shared" si="3"/>
        <v/>
      </c>
      <c r="J77" s="256"/>
      <c r="K77" s="257"/>
      <c r="L77" s="258" t="str">
        <f t="shared" si="4"/>
        <v/>
      </c>
      <c r="M77" s="259" t="str">
        <f t="shared" si="5"/>
        <v/>
      </c>
      <c r="N77" s="260" t="str">
        <f t="shared" si="0"/>
        <v/>
      </c>
      <c r="O77" s="261" t="str">
        <f t="shared" si="6"/>
        <v/>
      </c>
      <c r="P77" s="262" t="str">
        <f t="shared" si="7"/>
        <v/>
      </c>
      <c r="Q77" s="263" t="str">
        <f t="shared" si="17"/>
        <v/>
      </c>
      <c r="R77" s="263" t="str">
        <f t="shared" si="17"/>
        <v/>
      </c>
      <c r="S77" s="263" t="str">
        <f t="shared" si="17"/>
        <v/>
      </c>
      <c r="T77" s="263" t="str">
        <f t="shared" si="17"/>
        <v/>
      </c>
      <c r="U77" s="263" t="str">
        <f t="shared" si="17"/>
        <v/>
      </c>
      <c r="V77" s="263" t="str">
        <f t="shared" si="17"/>
        <v/>
      </c>
      <c r="W77" s="263" t="str">
        <f t="shared" si="8"/>
        <v/>
      </c>
      <c r="X77" s="30"/>
      <c r="Y77" s="264"/>
      <c r="Z77" s="30"/>
      <c r="AA77" s="61"/>
      <c r="AB77" s="62"/>
      <c r="AC77" s="263" t="str">
        <f t="shared" si="9"/>
        <v/>
      </c>
      <c r="AD77" s="263" t="str">
        <f t="shared" si="10"/>
        <v/>
      </c>
      <c r="AE77" s="263" t="str">
        <f t="shared" si="11"/>
        <v/>
      </c>
      <c r="AF77" s="263" t="str">
        <f t="shared" si="12"/>
        <v/>
      </c>
      <c r="AG77" s="263" t="str">
        <f t="shared" si="13"/>
        <v/>
      </c>
      <c r="AH77" s="263" t="str">
        <f t="shared" si="14"/>
        <v/>
      </c>
      <c r="AI77" s="263" t="str">
        <f t="shared" si="15"/>
        <v/>
      </c>
    </row>
    <row r="78" spans="1:35" ht="21" customHeight="1">
      <c r="A78" s="164">
        <v>61</v>
      </c>
      <c r="B78" s="60" t="str">
        <f>IF('Add Change'!D83="","",+'Add Change'!D83)</f>
        <v/>
      </c>
      <c r="C78" s="31" t="str">
        <f>IF('Add Change'!I83="","",+'Add Change'!I83)</f>
        <v/>
      </c>
      <c r="D78" s="253" t="str">
        <f>IF('Add Change'!W83="","",'Add Change'!W83)</f>
        <v/>
      </c>
      <c r="E78" s="31"/>
      <c r="F78" s="70"/>
      <c r="G78" s="253"/>
      <c r="H78" s="254" t="str">
        <f t="shared" si="2"/>
        <v/>
      </c>
      <c r="I78" s="255" t="str">
        <f t="shared" si="3"/>
        <v/>
      </c>
      <c r="J78" s="256"/>
      <c r="K78" s="257"/>
      <c r="L78" s="258" t="str">
        <f t="shared" si="4"/>
        <v/>
      </c>
      <c r="M78" s="259" t="str">
        <f t="shared" si="5"/>
        <v/>
      </c>
      <c r="N78" s="260" t="str">
        <f t="shared" si="0"/>
        <v/>
      </c>
      <c r="O78" s="261" t="str">
        <f t="shared" si="6"/>
        <v/>
      </c>
      <c r="P78" s="262" t="str">
        <f t="shared" si="7"/>
        <v/>
      </c>
      <c r="Q78" s="263" t="str">
        <f t="shared" si="17"/>
        <v/>
      </c>
      <c r="R78" s="263" t="str">
        <f t="shared" si="17"/>
        <v/>
      </c>
      <c r="S78" s="263" t="str">
        <f t="shared" si="17"/>
        <v/>
      </c>
      <c r="T78" s="263" t="str">
        <f t="shared" si="17"/>
        <v/>
      </c>
      <c r="U78" s="263" t="str">
        <f t="shared" si="17"/>
        <v/>
      </c>
      <c r="V78" s="263" t="str">
        <f t="shared" si="17"/>
        <v/>
      </c>
      <c r="W78" s="263" t="str">
        <f t="shared" si="8"/>
        <v/>
      </c>
      <c r="X78" s="30"/>
      <c r="Y78" s="264"/>
      <c r="Z78" s="30"/>
      <c r="AA78" s="61"/>
      <c r="AB78" s="62"/>
      <c r="AC78" s="263" t="str">
        <f t="shared" si="9"/>
        <v/>
      </c>
      <c r="AD78" s="263" t="str">
        <f t="shared" si="10"/>
        <v/>
      </c>
      <c r="AE78" s="263" t="str">
        <f t="shared" si="11"/>
        <v/>
      </c>
      <c r="AF78" s="263" t="str">
        <f t="shared" si="12"/>
        <v/>
      </c>
      <c r="AG78" s="263" t="str">
        <f t="shared" si="13"/>
        <v/>
      </c>
      <c r="AH78" s="263" t="str">
        <f t="shared" si="14"/>
        <v/>
      </c>
      <c r="AI78" s="263" t="str">
        <f t="shared" si="15"/>
        <v/>
      </c>
    </row>
    <row r="79" spans="1:35" ht="21" customHeight="1">
      <c r="A79" s="164">
        <v>62</v>
      </c>
      <c r="B79" s="60" t="str">
        <f>IF('Add Change'!D84="","",+'Add Change'!D84)</f>
        <v/>
      </c>
      <c r="C79" s="31" t="str">
        <f>IF('Add Change'!I84="","",+'Add Change'!I84)</f>
        <v/>
      </c>
      <c r="D79" s="253" t="str">
        <f>IF('Add Change'!W84="","",'Add Change'!W84)</f>
        <v/>
      </c>
      <c r="E79" s="31"/>
      <c r="F79" s="70"/>
      <c r="G79" s="253"/>
      <c r="H79" s="254" t="str">
        <f t="shared" si="2"/>
        <v/>
      </c>
      <c r="I79" s="255" t="str">
        <f t="shared" si="3"/>
        <v/>
      </c>
      <c r="J79" s="256"/>
      <c r="K79" s="257"/>
      <c r="L79" s="258" t="str">
        <f t="shared" si="4"/>
        <v/>
      </c>
      <c r="M79" s="259" t="str">
        <f t="shared" si="5"/>
        <v/>
      </c>
      <c r="N79" s="260" t="str">
        <f t="shared" si="0"/>
        <v/>
      </c>
      <c r="O79" s="261" t="str">
        <f t="shared" si="6"/>
        <v/>
      </c>
      <c r="P79" s="262" t="str">
        <f t="shared" si="7"/>
        <v/>
      </c>
      <c r="Q79" s="263" t="str">
        <f t="shared" si="17"/>
        <v/>
      </c>
      <c r="R79" s="263" t="str">
        <f t="shared" si="17"/>
        <v/>
      </c>
      <c r="S79" s="263" t="str">
        <f t="shared" si="17"/>
        <v/>
      </c>
      <c r="T79" s="263" t="str">
        <f t="shared" si="17"/>
        <v/>
      </c>
      <c r="U79" s="263" t="str">
        <f t="shared" si="17"/>
        <v/>
      </c>
      <c r="V79" s="263" t="str">
        <f t="shared" si="17"/>
        <v/>
      </c>
      <c r="W79" s="263" t="str">
        <f t="shared" si="8"/>
        <v/>
      </c>
      <c r="X79" s="30"/>
      <c r="Y79" s="264"/>
      <c r="Z79" s="30"/>
      <c r="AA79" s="61"/>
      <c r="AB79" s="62"/>
      <c r="AC79" s="263" t="str">
        <f t="shared" si="9"/>
        <v/>
      </c>
      <c r="AD79" s="263" t="str">
        <f t="shared" si="10"/>
        <v/>
      </c>
      <c r="AE79" s="263" t="str">
        <f t="shared" si="11"/>
        <v/>
      </c>
      <c r="AF79" s="263" t="str">
        <f t="shared" si="12"/>
        <v/>
      </c>
      <c r="AG79" s="263" t="str">
        <f t="shared" si="13"/>
        <v/>
      </c>
      <c r="AH79" s="263" t="str">
        <f t="shared" si="14"/>
        <v/>
      </c>
      <c r="AI79" s="263" t="str">
        <f t="shared" si="15"/>
        <v/>
      </c>
    </row>
    <row r="80" spans="1:35" ht="21" customHeight="1">
      <c r="A80" s="164">
        <v>63</v>
      </c>
      <c r="B80" s="60" t="str">
        <f>IF('Add Change'!D85="","",+'Add Change'!D85)</f>
        <v/>
      </c>
      <c r="C80" s="31" t="str">
        <f>IF('Add Change'!I85="","",+'Add Change'!I85)</f>
        <v/>
      </c>
      <c r="D80" s="253" t="str">
        <f>IF('Add Change'!W85="","",'Add Change'!W85)</f>
        <v/>
      </c>
      <c r="E80" s="31"/>
      <c r="F80" s="70"/>
      <c r="G80" s="253"/>
      <c r="H80" s="254" t="str">
        <f t="shared" si="2"/>
        <v/>
      </c>
      <c r="I80" s="255" t="str">
        <f t="shared" si="3"/>
        <v/>
      </c>
      <c r="J80" s="256"/>
      <c r="K80" s="257"/>
      <c r="L80" s="258" t="str">
        <f t="shared" si="4"/>
        <v/>
      </c>
      <c r="M80" s="259" t="str">
        <f t="shared" si="5"/>
        <v/>
      </c>
      <c r="N80" s="260" t="str">
        <f t="shared" si="0"/>
        <v/>
      </c>
      <c r="O80" s="261" t="str">
        <f t="shared" si="6"/>
        <v/>
      </c>
      <c r="P80" s="262" t="str">
        <f t="shared" si="7"/>
        <v/>
      </c>
      <c r="Q80" s="263" t="str">
        <f t="shared" si="17"/>
        <v/>
      </c>
      <c r="R80" s="263" t="str">
        <f t="shared" si="17"/>
        <v/>
      </c>
      <c r="S80" s="263" t="str">
        <f t="shared" si="17"/>
        <v/>
      </c>
      <c r="T80" s="263" t="str">
        <f t="shared" si="17"/>
        <v/>
      </c>
      <c r="U80" s="263" t="str">
        <f t="shared" si="17"/>
        <v/>
      </c>
      <c r="V80" s="263" t="str">
        <f t="shared" si="17"/>
        <v/>
      </c>
      <c r="W80" s="263" t="str">
        <f t="shared" si="8"/>
        <v/>
      </c>
      <c r="X80" s="30"/>
      <c r="Y80" s="264"/>
      <c r="Z80" s="30"/>
      <c r="AA80" s="61"/>
      <c r="AB80" s="62"/>
      <c r="AC80" s="263" t="str">
        <f t="shared" si="9"/>
        <v/>
      </c>
      <c r="AD80" s="263" t="str">
        <f t="shared" si="10"/>
        <v/>
      </c>
      <c r="AE80" s="263" t="str">
        <f t="shared" si="11"/>
        <v/>
      </c>
      <c r="AF80" s="263" t="str">
        <f t="shared" si="12"/>
        <v/>
      </c>
      <c r="AG80" s="263" t="str">
        <f t="shared" si="13"/>
        <v/>
      </c>
      <c r="AH80" s="263" t="str">
        <f t="shared" si="14"/>
        <v/>
      </c>
      <c r="AI80" s="263" t="str">
        <f t="shared" si="15"/>
        <v/>
      </c>
    </row>
    <row r="81" spans="1:35" ht="21" customHeight="1">
      <c r="A81" s="164">
        <v>64</v>
      </c>
      <c r="B81" s="60" t="str">
        <f>IF('Add Change'!D86="","",+'Add Change'!D86)</f>
        <v/>
      </c>
      <c r="C81" s="31" t="str">
        <f>IF('Add Change'!I86="","",+'Add Change'!I86)</f>
        <v/>
      </c>
      <c r="D81" s="253" t="str">
        <f>IF('Add Change'!W86="","",'Add Change'!W86)</f>
        <v/>
      </c>
      <c r="E81" s="31"/>
      <c r="F81" s="70"/>
      <c r="G81" s="253"/>
      <c r="H81" s="254" t="str">
        <f t="shared" si="2"/>
        <v/>
      </c>
      <c r="I81" s="255" t="str">
        <f t="shared" si="3"/>
        <v/>
      </c>
      <c r="J81" s="256"/>
      <c r="K81" s="257"/>
      <c r="L81" s="258" t="str">
        <f t="shared" si="4"/>
        <v/>
      </c>
      <c r="M81" s="259" t="str">
        <f t="shared" si="5"/>
        <v/>
      </c>
      <c r="N81" s="260" t="str">
        <f t="shared" si="0"/>
        <v/>
      </c>
      <c r="O81" s="261" t="str">
        <f t="shared" si="6"/>
        <v/>
      </c>
      <c r="P81" s="262" t="str">
        <f t="shared" si="7"/>
        <v/>
      </c>
      <c r="Q81" s="263" t="str">
        <f t="shared" si="17"/>
        <v/>
      </c>
      <c r="R81" s="263" t="str">
        <f t="shared" si="17"/>
        <v/>
      </c>
      <c r="S81" s="263" t="str">
        <f t="shared" si="17"/>
        <v/>
      </c>
      <c r="T81" s="263" t="str">
        <f t="shared" si="17"/>
        <v/>
      </c>
      <c r="U81" s="263" t="str">
        <f t="shared" si="17"/>
        <v/>
      </c>
      <c r="V81" s="263" t="str">
        <f t="shared" si="17"/>
        <v/>
      </c>
      <c r="W81" s="263" t="str">
        <f t="shared" si="8"/>
        <v/>
      </c>
      <c r="X81" s="30"/>
      <c r="Y81" s="264"/>
      <c r="Z81" s="30"/>
      <c r="AA81" s="61"/>
      <c r="AB81" s="62"/>
      <c r="AC81" s="263" t="str">
        <f t="shared" si="9"/>
        <v/>
      </c>
      <c r="AD81" s="263" t="str">
        <f t="shared" si="10"/>
        <v/>
      </c>
      <c r="AE81" s="263" t="str">
        <f t="shared" si="11"/>
        <v/>
      </c>
      <c r="AF81" s="263" t="str">
        <f t="shared" si="12"/>
        <v/>
      </c>
      <c r="AG81" s="263" t="str">
        <f t="shared" si="13"/>
        <v/>
      </c>
      <c r="AH81" s="263" t="str">
        <f t="shared" si="14"/>
        <v/>
      </c>
      <c r="AI81" s="263" t="str">
        <f t="shared" si="15"/>
        <v/>
      </c>
    </row>
    <row r="82" spans="1:35" ht="21" customHeight="1">
      <c r="A82" s="164">
        <v>65</v>
      </c>
      <c r="B82" s="60" t="str">
        <f>IF('Add Change'!D87="","",+'Add Change'!D87)</f>
        <v/>
      </c>
      <c r="C82" s="31" t="str">
        <f>IF('Add Change'!I87="","",+'Add Change'!I87)</f>
        <v/>
      </c>
      <c r="D82" s="253" t="str">
        <f>IF('Add Change'!W87="","",'Add Change'!W87)</f>
        <v/>
      </c>
      <c r="E82" s="31"/>
      <c r="F82" s="70"/>
      <c r="G82" s="253"/>
      <c r="H82" s="254" t="str">
        <f t="shared" si="2"/>
        <v/>
      </c>
      <c r="I82" s="255" t="str">
        <f t="shared" si="3"/>
        <v/>
      </c>
      <c r="J82" s="256"/>
      <c r="K82" s="257"/>
      <c r="L82" s="258" t="str">
        <f t="shared" si="4"/>
        <v/>
      </c>
      <c r="M82" s="259" t="str">
        <f t="shared" si="5"/>
        <v/>
      </c>
      <c r="N82" s="260" t="str">
        <f t="shared" ref="N82:N145" si="18">IF($M82="","",($M82*$L82*$W$13/4)*52)</f>
        <v/>
      </c>
      <c r="O82" s="261" t="str">
        <f t="shared" si="6"/>
        <v/>
      </c>
      <c r="P82" s="262" t="str">
        <f t="shared" si="7"/>
        <v/>
      </c>
      <c r="Q82" s="263" t="str">
        <f t="shared" si="17"/>
        <v/>
      </c>
      <c r="R82" s="263" t="str">
        <f t="shared" si="17"/>
        <v/>
      </c>
      <c r="S82" s="263" t="str">
        <f t="shared" si="17"/>
        <v/>
      </c>
      <c r="T82" s="263" t="str">
        <f t="shared" si="17"/>
        <v/>
      </c>
      <c r="U82" s="263" t="str">
        <f t="shared" si="17"/>
        <v/>
      </c>
      <c r="V82" s="263" t="str">
        <f t="shared" si="17"/>
        <v/>
      </c>
      <c r="W82" s="263" t="str">
        <f t="shared" si="8"/>
        <v/>
      </c>
      <c r="X82" s="30"/>
      <c r="Y82" s="264"/>
      <c r="Z82" s="30"/>
      <c r="AA82" s="61"/>
      <c r="AB82" s="62"/>
      <c r="AC82" s="263" t="str">
        <f t="shared" si="9"/>
        <v/>
      </c>
      <c r="AD82" s="263" t="str">
        <f t="shared" si="10"/>
        <v/>
      </c>
      <c r="AE82" s="263" t="str">
        <f t="shared" si="11"/>
        <v/>
      </c>
      <c r="AF82" s="263" t="str">
        <f t="shared" si="12"/>
        <v/>
      </c>
      <c r="AG82" s="263" t="str">
        <f t="shared" si="13"/>
        <v/>
      </c>
      <c r="AH82" s="263" t="str">
        <f t="shared" si="14"/>
        <v/>
      </c>
      <c r="AI82" s="263" t="str">
        <f t="shared" si="15"/>
        <v/>
      </c>
    </row>
    <row r="83" spans="1:35" ht="21" customHeight="1">
      <c r="A83" s="164">
        <v>66</v>
      </c>
      <c r="B83" s="60" t="str">
        <f>IF('Add Change'!D88="","",+'Add Change'!D88)</f>
        <v/>
      </c>
      <c r="C83" s="31" t="str">
        <f>IF('Add Change'!I88="","",+'Add Change'!I88)</f>
        <v/>
      </c>
      <c r="D83" s="253" t="str">
        <f>IF('Add Change'!W88="","",'Add Change'!W88)</f>
        <v/>
      </c>
      <c r="E83" s="31"/>
      <c r="F83" s="70"/>
      <c r="G83" s="253"/>
      <c r="H83" s="254" t="str">
        <f t="shared" ref="H83:H146" si="19">IF($AK$3=1,"",IF($AK$3=2,"Enter Forecast",IF($AK$3=3,IF(LEN(I83)=9,"",(I83*$W$13/4)*52),"Error")))</f>
        <v/>
      </c>
      <c r="I83" s="255" t="str">
        <f t="shared" ref="I83:I146" si="20">IF($AK$3=1,"",IF($AK$3=2,IF(LEN(H83)=14,"",((H83/$W$13)/52)*4),IF($AK$3=3,"Avg Units","Error")))</f>
        <v/>
      </c>
      <c r="J83" s="256"/>
      <c r="K83" s="257"/>
      <c r="L83" s="258" t="str">
        <f t="shared" ref="L83:L117" si="21">IF(K83="","",(K83/J83/52)*4)</f>
        <v/>
      </c>
      <c r="M83" s="259" t="str">
        <f t="shared" ref="M83:M117" si="22">IF(L83="","",ROUND(I83/L83,1))</f>
        <v/>
      </c>
      <c r="N83" s="260" t="str">
        <f t="shared" si="18"/>
        <v/>
      </c>
      <c r="O83" s="261" t="str">
        <f t="shared" ref="O83:O117" si="23">IF(N83="","",(N83/W$13/52)*4)</f>
        <v/>
      </c>
      <c r="P83" s="262" t="str">
        <f t="shared" ref="P83:P117" si="24">IF(H83="","",+H83*D83)</f>
        <v/>
      </c>
      <c r="Q83" s="263" t="str">
        <f t="shared" si="17"/>
        <v/>
      </c>
      <c r="R83" s="263" t="str">
        <f t="shared" si="17"/>
        <v/>
      </c>
      <c r="S83" s="263" t="str">
        <f t="shared" si="17"/>
        <v/>
      </c>
      <c r="T83" s="263" t="str">
        <f t="shared" si="17"/>
        <v/>
      </c>
      <c r="U83" s="263" t="str">
        <f t="shared" si="17"/>
        <v/>
      </c>
      <c r="V83" s="263" t="str">
        <f t="shared" si="17"/>
        <v/>
      </c>
      <c r="W83" s="263" t="str">
        <f t="shared" ref="W83:W117" si="25">IF(SUM(Q83:V83)=0,"",SUM(Q83:V83))</f>
        <v/>
      </c>
      <c r="X83" s="30"/>
      <c r="Y83" s="264"/>
      <c r="Z83" s="30"/>
      <c r="AA83" s="61"/>
      <c r="AB83" s="62"/>
      <c r="AC83" s="263" t="str">
        <f t="shared" ref="AC83:AC117" si="26">IF(AB83="","",(INT(($AB83/$AA83)+0.99)*$AA83)*Q$13)</f>
        <v/>
      </c>
      <c r="AD83" s="263" t="str">
        <f t="shared" ref="AD83:AD117" si="27">IF(AB83="","",(INT(($AB83/$AA83)+0.99)*$AA83)*R$13)</f>
        <v/>
      </c>
      <c r="AE83" s="263" t="str">
        <f t="shared" ref="AE83:AE117" si="28">IF(AB83="","",(INT(($AB83/$AA83)+0.99)*$AA83)*S$13)</f>
        <v/>
      </c>
      <c r="AF83" s="263" t="str">
        <f t="shared" ref="AF83:AF117" si="29">IF(AB83="","",(INT(($AB83/$AA83)+0.99)*$AA83)*T$13)</f>
        <v/>
      </c>
      <c r="AG83" s="263" t="str">
        <f t="shared" ref="AG83:AG117" si="30">IF(AB83="","",(INT(($AB83/$AA83)+0.99)*$AA83)*U$13)</f>
        <v/>
      </c>
      <c r="AH83" s="263" t="str">
        <f t="shared" ref="AH83:AH117" si="31">IF(AB83="","",(INT(($AB83/$AA83)+0.99)*$AA83)*V$13)</f>
        <v/>
      </c>
      <c r="AI83" s="263" t="str">
        <f t="shared" ref="AI83:AI117" si="32">IF(SUM(AC83:AH83)=0,"",SUM(AC83:AH83))</f>
        <v/>
      </c>
    </row>
    <row r="84" spans="1:35" ht="21" customHeight="1">
      <c r="A84" s="164">
        <v>67</v>
      </c>
      <c r="B84" s="60" t="str">
        <f>IF('Add Change'!D89="","",+'Add Change'!D89)</f>
        <v/>
      </c>
      <c r="C84" s="31" t="str">
        <f>IF('Add Change'!I89="","",+'Add Change'!I89)</f>
        <v/>
      </c>
      <c r="D84" s="253" t="str">
        <f>IF('Add Change'!W89="","",'Add Change'!W89)</f>
        <v/>
      </c>
      <c r="E84" s="31"/>
      <c r="F84" s="70"/>
      <c r="G84" s="253"/>
      <c r="H84" s="254" t="str">
        <f t="shared" si="19"/>
        <v/>
      </c>
      <c r="I84" s="255" t="str">
        <f t="shared" si="20"/>
        <v/>
      </c>
      <c r="J84" s="256"/>
      <c r="K84" s="257"/>
      <c r="L84" s="258" t="str">
        <f t="shared" si="21"/>
        <v/>
      </c>
      <c r="M84" s="259" t="str">
        <f t="shared" si="22"/>
        <v/>
      </c>
      <c r="N84" s="260" t="str">
        <f t="shared" si="18"/>
        <v/>
      </c>
      <c r="O84" s="261" t="str">
        <f t="shared" si="23"/>
        <v/>
      </c>
      <c r="P84" s="262" t="str">
        <f t="shared" si="24"/>
        <v/>
      </c>
      <c r="Q84" s="263" t="str">
        <f t="shared" si="17"/>
        <v/>
      </c>
      <c r="R84" s="263" t="str">
        <f t="shared" si="17"/>
        <v/>
      </c>
      <c r="S84" s="263" t="str">
        <f t="shared" si="17"/>
        <v/>
      </c>
      <c r="T84" s="263" t="str">
        <f t="shared" si="17"/>
        <v/>
      </c>
      <c r="U84" s="263" t="str">
        <f t="shared" si="17"/>
        <v/>
      </c>
      <c r="V84" s="263" t="str">
        <f t="shared" si="17"/>
        <v/>
      </c>
      <c r="W84" s="263" t="str">
        <f t="shared" si="25"/>
        <v/>
      </c>
      <c r="X84" s="30"/>
      <c r="Y84" s="264"/>
      <c r="Z84" s="30"/>
      <c r="AA84" s="61"/>
      <c r="AB84" s="62"/>
      <c r="AC84" s="263" t="str">
        <f t="shared" si="26"/>
        <v/>
      </c>
      <c r="AD84" s="263" t="str">
        <f t="shared" si="27"/>
        <v/>
      </c>
      <c r="AE84" s="263" t="str">
        <f t="shared" si="28"/>
        <v/>
      </c>
      <c r="AF84" s="263" t="str">
        <f t="shared" si="29"/>
        <v/>
      </c>
      <c r="AG84" s="263" t="str">
        <f t="shared" si="30"/>
        <v/>
      </c>
      <c r="AH84" s="263" t="str">
        <f t="shared" si="31"/>
        <v/>
      </c>
      <c r="AI84" s="263" t="str">
        <f t="shared" si="32"/>
        <v/>
      </c>
    </row>
    <row r="85" spans="1:35" ht="21" customHeight="1">
      <c r="A85" s="164">
        <v>68</v>
      </c>
      <c r="B85" s="60" t="str">
        <f>IF('Add Change'!D90="","",+'Add Change'!D90)</f>
        <v/>
      </c>
      <c r="C85" s="31" t="str">
        <f>IF('Add Change'!I90="","",+'Add Change'!I90)</f>
        <v/>
      </c>
      <c r="D85" s="253" t="str">
        <f>IF('Add Change'!W90="","",'Add Change'!W90)</f>
        <v/>
      </c>
      <c r="E85" s="31"/>
      <c r="F85" s="70"/>
      <c r="G85" s="253"/>
      <c r="H85" s="254" t="str">
        <f t="shared" si="19"/>
        <v/>
      </c>
      <c r="I85" s="255" t="str">
        <f t="shared" si="20"/>
        <v/>
      </c>
      <c r="J85" s="256"/>
      <c r="K85" s="257"/>
      <c r="L85" s="258" t="str">
        <f t="shared" si="21"/>
        <v/>
      </c>
      <c r="M85" s="259" t="str">
        <f t="shared" si="22"/>
        <v/>
      </c>
      <c r="N85" s="260" t="str">
        <f t="shared" si="18"/>
        <v/>
      </c>
      <c r="O85" s="261" t="str">
        <f t="shared" si="23"/>
        <v/>
      </c>
      <c r="P85" s="262" t="str">
        <f t="shared" si="24"/>
        <v/>
      </c>
      <c r="Q85" s="263" t="str">
        <f t="shared" si="17"/>
        <v/>
      </c>
      <c r="R85" s="263" t="str">
        <f t="shared" si="17"/>
        <v/>
      </c>
      <c r="S85" s="263" t="str">
        <f t="shared" si="17"/>
        <v/>
      </c>
      <c r="T85" s="263" t="str">
        <f t="shared" si="17"/>
        <v/>
      </c>
      <c r="U85" s="263" t="str">
        <f t="shared" si="17"/>
        <v/>
      </c>
      <c r="V85" s="263" t="str">
        <f t="shared" si="17"/>
        <v/>
      </c>
      <c r="W85" s="263" t="str">
        <f t="shared" si="25"/>
        <v/>
      </c>
      <c r="X85" s="30"/>
      <c r="Y85" s="264"/>
      <c r="Z85" s="30"/>
      <c r="AA85" s="61"/>
      <c r="AB85" s="62"/>
      <c r="AC85" s="263" t="str">
        <f t="shared" si="26"/>
        <v/>
      </c>
      <c r="AD85" s="263" t="str">
        <f t="shared" si="27"/>
        <v/>
      </c>
      <c r="AE85" s="263" t="str">
        <f t="shared" si="28"/>
        <v/>
      </c>
      <c r="AF85" s="263" t="str">
        <f t="shared" si="29"/>
        <v/>
      </c>
      <c r="AG85" s="263" t="str">
        <f t="shared" si="30"/>
        <v/>
      </c>
      <c r="AH85" s="263" t="str">
        <f t="shared" si="31"/>
        <v/>
      </c>
      <c r="AI85" s="263" t="str">
        <f t="shared" si="32"/>
        <v/>
      </c>
    </row>
    <row r="86" spans="1:35" ht="21" customHeight="1">
      <c r="A86" s="164">
        <v>69</v>
      </c>
      <c r="B86" s="60" t="str">
        <f>IF('Add Change'!D91="","",+'Add Change'!D91)</f>
        <v/>
      </c>
      <c r="C86" s="31" t="str">
        <f>IF('Add Change'!I91="","",+'Add Change'!I91)</f>
        <v/>
      </c>
      <c r="D86" s="253" t="str">
        <f>IF('Add Change'!W91="","",'Add Change'!W91)</f>
        <v/>
      </c>
      <c r="E86" s="31"/>
      <c r="F86" s="70"/>
      <c r="G86" s="253"/>
      <c r="H86" s="254" t="str">
        <f t="shared" si="19"/>
        <v/>
      </c>
      <c r="I86" s="255" t="str">
        <f t="shared" si="20"/>
        <v/>
      </c>
      <c r="J86" s="256"/>
      <c r="K86" s="257"/>
      <c r="L86" s="258" t="str">
        <f t="shared" si="21"/>
        <v/>
      </c>
      <c r="M86" s="259" t="str">
        <f t="shared" si="22"/>
        <v/>
      </c>
      <c r="N86" s="260" t="str">
        <f t="shared" si="18"/>
        <v/>
      </c>
      <c r="O86" s="261" t="str">
        <f t="shared" si="23"/>
        <v/>
      </c>
      <c r="P86" s="262" t="str">
        <f t="shared" si="24"/>
        <v/>
      </c>
      <c r="Q86" s="263" t="str">
        <f t="shared" si="17"/>
        <v/>
      </c>
      <c r="R86" s="263" t="str">
        <f t="shared" si="17"/>
        <v/>
      </c>
      <c r="S86" s="263" t="str">
        <f t="shared" si="17"/>
        <v/>
      </c>
      <c r="T86" s="263" t="str">
        <f t="shared" si="17"/>
        <v/>
      </c>
      <c r="U86" s="263" t="str">
        <f t="shared" si="17"/>
        <v/>
      </c>
      <c r="V86" s="263" t="str">
        <f t="shared" si="17"/>
        <v/>
      </c>
      <c r="W86" s="263" t="str">
        <f t="shared" si="25"/>
        <v/>
      </c>
      <c r="X86" s="30"/>
      <c r="Y86" s="264"/>
      <c r="Z86" s="30"/>
      <c r="AA86" s="61"/>
      <c r="AB86" s="62"/>
      <c r="AC86" s="263" t="str">
        <f t="shared" si="26"/>
        <v/>
      </c>
      <c r="AD86" s="263" t="str">
        <f t="shared" si="27"/>
        <v/>
      </c>
      <c r="AE86" s="263" t="str">
        <f t="shared" si="28"/>
        <v/>
      </c>
      <c r="AF86" s="263" t="str">
        <f t="shared" si="29"/>
        <v/>
      </c>
      <c r="AG86" s="263" t="str">
        <f t="shared" si="30"/>
        <v/>
      </c>
      <c r="AH86" s="263" t="str">
        <f t="shared" si="31"/>
        <v/>
      </c>
      <c r="AI86" s="263" t="str">
        <f t="shared" si="32"/>
        <v/>
      </c>
    </row>
    <row r="87" spans="1:35" ht="21" customHeight="1">
      <c r="A87" s="164">
        <v>70</v>
      </c>
      <c r="B87" s="60" t="str">
        <f>IF('Add Change'!D92="","",+'Add Change'!D92)</f>
        <v/>
      </c>
      <c r="C87" s="31" t="str">
        <f>IF('Add Change'!I92="","",+'Add Change'!I92)</f>
        <v/>
      </c>
      <c r="D87" s="253" t="str">
        <f>IF('Add Change'!W92="","",'Add Change'!W92)</f>
        <v/>
      </c>
      <c r="E87" s="31"/>
      <c r="F87" s="70"/>
      <c r="G87" s="253"/>
      <c r="H87" s="254" t="str">
        <f t="shared" si="19"/>
        <v/>
      </c>
      <c r="I87" s="255" t="str">
        <f t="shared" si="20"/>
        <v/>
      </c>
      <c r="J87" s="256"/>
      <c r="K87" s="257"/>
      <c r="L87" s="258" t="str">
        <f t="shared" si="21"/>
        <v/>
      </c>
      <c r="M87" s="259" t="str">
        <f t="shared" si="22"/>
        <v/>
      </c>
      <c r="N87" s="260" t="str">
        <f t="shared" si="18"/>
        <v/>
      </c>
      <c r="O87" s="261" t="str">
        <f t="shared" si="23"/>
        <v/>
      </c>
      <c r="P87" s="262" t="str">
        <f t="shared" si="24"/>
        <v/>
      </c>
      <c r="Q87" s="263" t="str">
        <f t="shared" si="17"/>
        <v/>
      </c>
      <c r="R87" s="263" t="str">
        <f t="shared" si="17"/>
        <v/>
      </c>
      <c r="S87" s="263" t="str">
        <f t="shared" si="17"/>
        <v/>
      </c>
      <c r="T87" s="263" t="str">
        <f t="shared" si="17"/>
        <v/>
      </c>
      <c r="U87" s="263" t="str">
        <f t="shared" si="17"/>
        <v/>
      </c>
      <c r="V87" s="263" t="str">
        <f t="shared" si="17"/>
        <v/>
      </c>
      <c r="W87" s="263" t="str">
        <f t="shared" si="25"/>
        <v/>
      </c>
      <c r="X87" s="30"/>
      <c r="Y87" s="264"/>
      <c r="Z87" s="30"/>
      <c r="AA87" s="61"/>
      <c r="AB87" s="62"/>
      <c r="AC87" s="263" t="str">
        <f t="shared" si="26"/>
        <v/>
      </c>
      <c r="AD87" s="263" t="str">
        <f t="shared" si="27"/>
        <v/>
      </c>
      <c r="AE87" s="263" t="str">
        <f t="shared" si="28"/>
        <v/>
      </c>
      <c r="AF87" s="263" t="str">
        <f t="shared" si="29"/>
        <v/>
      </c>
      <c r="AG87" s="263" t="str">
        <f t="shared" si="30"/>
        <v/>
      </c>
      <c r="AH87" s="263" t="str">
        <f t="shared" si="31"/>
        <v/>
      </c>
      <c r="AI87" s="263" t="str">
        <f t="shared" si="32"/>
        <v/>
      </c>
    </row>
    <row r="88" spans="1:35" ht="21" customHeight="1">
      <c r="A88" s="164">
        <v>71</v>
      </c>
      <c r="B88" s="60" t="str">
        <f>IF('Add Change'!D93="","",+'Add Change'!D93)</f>
        <v/>
      </c>
      <c r="C88" s="31" t="str">
        <f>IF('Add Change'!I93="","",+'Add Change'!I93)</f>
        <v/>
      </c>
      <c r="D88" s="253" t="str">
        <f>IF('Add Change'!W93="","",'Add Change'!W93)</f>
        <v/>
      </c>
      <c r="E88" s="31"/>
      <c r="F88" s="70"/>
      <c r="G88" s="253"/>
      <c r="H88" s="254" t="str">
        <f t="shared" si="19"/>
        <v/>
      </c>
      <c r="I88" s="255" t="str">
        <f t="shared" si="20"/>
        <v/>
      </c>
      <c r="J88" s="256"/>
      <c r="K88" s="257"/>
      <c r="L88" s="258" t="str">
        <f t="shared" si="21"/>
        <v/>
      </c>
      <c r="M88" s="259" t="str">
        <f t="shared" si="22"/>
        <v/>
      </c>
      <c r="N88" s="260" t="str">
        <f t="shared" si="18"/>
        <v/>
      </c>
      <c r="O88" s="261" t="str">
        <f t="shared" si="23"/>
        <v/>
      </c>
      <c r="P88" s="262" t="str">
        <f t="shared" si="24"/>
        <v/>
      </c>
      <c r="Q88" s="263" t="str">
        <f t="shared" si="17"/>
        <v/>
      </c>
      <c r="R88" s="263" t="str">
        <f t="shared" si="17"/>
        <v/>
      </c>
      <c r="S88" s="263" t="str">
        <f t="shared" si="17"/>
        <v/>
      </c>
      <c r="T88" s="263" t="str">
        <f t="shared" si="17"/>
        <v/>
      </c>
      <c r="U88" s="263" t="str">
        <f t="shared" si="17"/>
        <v/>
      </c>
      <c r="V88" s="263" t="str">
        <f t="shared" si="17"/>
        <v/>
      </c>
      <c r="W88" s="263" t="str">
        <f t="shared" si="25"/>
        <v/>
      </c>
      <c r="X88" s="30"/>
      <c r="Y88" s="264"/>
      <c r="Z88" s="30"/>
      <c r="AA88" s="61"/>
      <c r="AB88" s="62"/>
      <c r="AC88" s="263" t="str">
        <f t="shared" si="26"/>
        <v/>
      </c>
      <c r="AD88" s="263" t="str">
        <f t="shared" si="27"/>
        <v/>
      </c>
      <c r="AE88" s="263" t="str">
        <f t="shared" si="28"/>
        <v/>
      </c>
      <c r="AF88" s="263" t="str">
        <f t="shared" si="29"/>
        <v/>
      </c>
      <c r="AG88" s="263" t="str">
        <f t="shared" si="30"/>
        <v/>
      </c>
      <c r="AH88" s="263" t="str">
        <f t="shared" si="31"/>
        <v/>
      </c>
      <c r="AI88" s="263" t="str">
        <f t="shared" si="32"/>
        <v/>
      </c>
    </row>
    <row r="89" spans="1:35" ht="21" customHeight="1">
      <c r="A89" s="164">
        <v>72</v>
      </c>
      <c r="B89" s="60" t="str">
        <f>IF('Add Change'!D94="","",+'Add Change'!D94)</f>
        <v/>
      </c>
      <c r="C89" s="31" t="str">
        <f>IF('Add Change'!I94="","",+'Add Change'!I94)</f>
        <v/>
      </c>
      <c r="D89" s="253" t="str">
        <f>IF('Add Change'!W94="","",'Add Change'!W94)</f>
        <v/>
      </c>
      <c r="E89" s="31"/>
      <c r="F89" s="70"/>
      <c r="G89" s="253"/>
      <c r="H89" s="254" t="str">
        <f t="shared" si="19"/>
        <v/>
      </c>
      <c r="I89" s="255" t="str">
        <f t="shared" si="20"/>
        <v/>
      </c>
      <c r="J89" s="256"/>
      <c r="K89" s="257"/>
      <c r="L89" s="258" t="str">
        <f t="shared" si="21"/>
        <v/>
      </c>
      <c r="M89" s="259" t="str">
        <f t="shared" si="22"/>
        <v/>
      </c>
      <c r="N89" s="260" t="str">
        <f t="shared" si="18"/>
        <v/>
      </c>
      <c r="O89" s="261" t="str">
        <f t="shared" si="23"/>
        <v/>
      </c>
      <c r="P89" s="262" t="str">
        <f t="shared" si="24"/>
        <v/>
      </c>
      <c r="Q89" s="263" t="str">
        <f t="shared" si="17"/>
        <v/>
      </c>
      <c r="R89" s="263" t="str">
        <f t="shared" si="17"/>
        <v/>
      </c>
      <c r="S89" s="263" t="str">
        <f t="shared" si="17"/>
        <v/>
      </c>
      <c r="T89" s="263" t="str">
        <f t="shared" si="17"/>
        <v/>
      </c>
      <c r="U89" s="263" t="str">
        <f t="shared" si="17"/>
        <v/>
      </c>
      <c r="V89" s="263" t="str">
        <f t="shared" si="17"/>
        <v/>
      </c>
      <c r="W89" s="263" t="str">
        <f t="shared" si="25"/>
        <v/>
      </c>
      <c r="X89" s="30"/>
      <c r="Y89" s="264"/>
      <c r="Z89" s="30"/>
      <c r="AA89" s="61"/>
      <c r="AB89" s="62"/>
      <c r="AC89" s="263" t="str">
        <f t="shared" si="26"/>
        <v/>
      </c>
      <c r="AD89" s="263" t="str">
        <f t="shared" si="27"/>
        <v/>
      </c>
      <c r="AE89" s="263" t="str">
        <f t="shared" si="28"/>
        <v/>
      </c>
      <c r="AF89" s="263" t="str">
        <f t="shared" si="29"/>
        <v/>
      </c>
      <c r="AG89" s="263" t="str">
        <f t="shared" si="30"/>
        <v/>
      </c>
      <c r="AH89" s="263" t="str">
        <f t="shared" si="31"/>
        <v/>
      </c>
      <c r="AI89" s="263" t="str">
        <f t="shared" si="32"/>
        <v/>
      </c>
    </row>
    <row r="90" spans="1:35" ht="21" customHeight="1">
      <c r="A90" s="164">
        <v>73</v>
      </c>
      <c r="B90" s="60" t="str">
        <f>IF('Add Change'!D95="","",+'Add Change'!D95)</f>
        <v/>
      </c>
      <c r="C90" s="31" t="str">
        <f>IF('Add Change'!I95="","",+'Add Change'!I95)</f>
        <v/>
      </c>
      <c r="D90" s="253" t="str">
        <f>IF('Add Change'!W95="","",'Add Change'!W95)</f>
        <v/>
      </c>
      <c r="E90" s="31"/>
      <c r="F90" s="70"/>
      <c r="G90" s="253"/>
      <c r="H90" s="254" t="str">
        <f t="shared" si="19"/>
        <v/>
      </c>
      <c r="I90" s="255" t="str">
        <f t="shared" si="20"/>
        <v/>
      </c>
      <c r="J90" s="256"/>
      <c r="K90" s="257"/>
      <c r="L90" s="258" t="str">
        <f t="shared" si="21"/>
        <v/>
      </c>
      <c r="M90" s="259" t="str">
        <f t="shared" si="22"/>
        <v/>
      </c>
      <c r="N90" s="260" t="str">
        <f t="shared" si="18"/>
        <v/>
      </c>
      <c r="O90" s="261" t="str">
        <f t="shared" si="23"/>
        <v/>
      </c>
      <c r="P90" s="262" t="str">
        <f t="shared" si="24"/>
        <v/>
      </c>
      <c r="Q90" s="263" t="str">
        <f t="shared" si="17"/>
        <v/>
      </c>
      <c r="R90" s="263" t="str">
        <f t="shared" si="17"/>
        <v/>
      </c>
      <c r="S90" s="263" t="str">
        <f t="shared" si="17"/>
        <v/>
      </c>
      <c r="T90" s="263" t="str">
        <f t="shared" si="17"/>
        <v/>
      </c>
      <c r="U90" s="263" t="str">
        <f t="shared" si="17"/>
        <v/>
      </c>
      <c r="V90" s="263" t="str">
        <f t="shared" si="17"/>
        <v/>
      </c>
      <c r="W90" s="263" t="str">
        <f t="shared" si="25"/>
        <v/>
      </c>
      <c r="X90" s="30"/>
      <c r="Y90" s="264"/>
      <c r="Z90" s="30"/>
      <c r="AA90" s="61"/>
      <c r="AB90" s="62"/>
      <c r="AC90" s="263" t="str">
        <f t="shared" si="26"/>
        <v/>
      </c>
      <c r="AD90" s="263" t="str">
        <f t="shared" si="27"/>
        <v/>
      </c>
      <c r="AE90" s="263" t="str">
        <f t="shared" si="28"/>
        <v/>
      </c>
      <c r="AF90" s="263" t="str">
        <f t="shared" si="29"/>
        <v/>
      </c>
      <c r="AG90" s="263" t="str">
        <f t="shared" si="30"/>
        <v/>
      </c>
      <c r="AH90" s="263" t="str">
        <f t="shared" si="31"/>
        <v/>
      </c>
      <c r="AI90" s="263" t="str">
        <f t="shared" si="32"/>
        <v/>
      </c>
    </row>
    <row r="91" spans="1:35" ht="21" customHeight="1">
      <c r="A91" s="164">
        <v>74</v>
      </c>
      <c r="B91" s="60" t="str">
        <f>IF('Add Change'!D96="","",+'Add Change'!D96)</f>
        <v/>
      </c>
      <c r="C91" s="31" t="str">
        <f>IF('Add Change'!I96="","",+'Add Change'!I96)</f>
        <v/>
      </c>
      <c r="D91" s="253" t="str">
        <f>IF('Add Change'!W96="","",'Add Change'!W96)</f>
        <v/>
      </c>
      <c r="E91" s="31"/>
      <c r="F91" s="70"/>
      <c r="G91" s="253"/>
      <c r="H91" s="254" t="str">
        <f t="shared" si="19"/>
        <v/>
      </c>
      <c r="I91" s="255" t="str">
        <f t="shared" si="20"/>
        <v/>
      </c>
      <c r="J91" s="256"/>
      <c r="K91" s="257"/>
      <c r="L91" s="258" t="str">
        <f t="shared" si="21"/>
        <v/>
      </c>
      <c r="M91" s="259" t="str">
        <f t="shared" si="22"/>
        <v/>
      </c>
      <c r="N91" s="260" t="str">
        <f t="shared" si="18"/>
        <v/>
      </c>
      <c r="O91" s="261" t="str">
        <f t="shared" si="23"/>
        <v/>
      </c>
      <c r="P91" s="262" t="str">
        <f t="shared" si="24"/>
        <v/>
      </c>
      <c r="Q91" s="263" t="str">
        <f t="shared" si="17"/>
        <v/>
      </c>
      <c r="R91" s="263" t="str">
        <f t="shared" si="17"/>
        <v/>
      </c>
      <c r="S91" s="263" t="str">
        <f t="shared" si="17"/>
        <v/>
      </c>
      <c r="T91" s="263" t="str">
        <f t="shared" si="17"/>
        <v/>
      </c>
      <c r="U91" s="263" t="str">
        <f t="shared" si="17"/>
        <v/>
      </c>
      <c r="V91" s="263" t="str">
        <f t="shared" si="17"/>
        <v/>
      </c>
      <c r="W91" s="263" t="str">
        <f t="shared" si="25"/>
        <v/>
      </c>
      <c r="X91" s="30"/>
      <c r="Y91" s="264"/>
      <c r="Z91" s="30"/>
      <c r="AA91" s="61"/>
      <c r="AB91" s="62"/>
      <c r="AC91" s="263" t="str">
        <f t="shared" si="26"/>
        <v/>
      </c>
      <c r="AD91" s="263" t="str">
        <f t="shared" si="27"/>
        <v/>
      </c>
      <c r="AE91" s="263" t="str">
        <f t="shared" si="28"/>
        <v/>
      </c>
      <c r="AF91" s="263" t="str">
        <f t="shared" si="29"/>
        <v/>
      </c>
      <c r="AG91" s="263" t="str">
        <f t="shared" si="30"/>
        <v/>
      </c>
      <c r="AH91" s="263" t="str">
        <f t="shared" si="31"/>
        <v/>
      </c>
      <c r="AI91" s="263" t="str">
        <f t="shared" si="32"/>
        <v/>
      </c>
    </row>
    <row r="92" spans="1:35" ht="21" customHeight="1">
      <c r="A92" s="164">
        <v>75</v>
      </c>
      <c r="B92" s="60" t="str">
        <f>IF('Add Change'!D97="","",+'Add Change'!D97)</f>
        <v/>
      </c>
      <c r="C92" s="31" t="str">
        <f>IF('Add Change'!I97="","",+'Add Change'!I97)</f>
        <v/>
      </c>
      <c r="D92" s="253" t="str">
        <f>IF('Add Change'!W97="","",'Add Change'!W97)</f>
        <v/>
      </c>
      <c r="E92" s="31"/>
      <c r="F92" s="70"/>
      <c r="G92" s="253"/>
      <c r="H92" s="254" t="str">
        <f t="shared" si="19"/>
        <v/>
      </c>
      <c r="I92" s="255" t="str">
        <f t="shared" si="20"/>
        <v/>
      </c>
      <c r="J92" s="256"/>
      <c r="K92" s="257"/>
      <c r="L92" s="258" t="str">
        <f t="shared" si="21"/>
        <v/>
      </c>
      <c r="M92" s="259" t="str">
        <f t="shared" si="22"/>
        <v/>
      </c>
      <c r="N92" s="260" t="str">
        <f t="shared" si="18"/>
        <v/>
      </c>
      <c r="O92" s="261" t="str">
        <f t="shared" si="23"/>
        <v/>
      </c>
      <c r="P92" s="262" t="str">
        <f t="shared" si="24"/>
        <v/>
      </c>
      <c r="Q92" s="263" t="str">
        <f t="shared" si="17"/>
        <v/>
      </c>
      <c r="R92" s="263" t="str">
        <f t="shared" si="17"/>
        <v/>
      </c>
      <c r="S92" s="263" t="str">
        <f t="shared" si="17"/>
        <v/>
      </c>
      <c r="T92" s="263" t="str">
        <f t="shared" si="17"/>
        <v/>
      </c>
      <c r="U92" s="263" t="str">
        <f t="shared" si="17"/>
        <v/>
      </c>
      <c r="V92" s="263" t="str">
        <f t="shared" si="17"/>
        <v/>
      </c>
      <c r="W92" s="263" t="str">
        <f t="shared" si="25"/>
        <v/>
      </c>
      <c r="X92" s="30"/>
      <c r="Y92" s="264"/>
      <c r="Z92" s="30"/>
      <c r="AA92" s="61"/>
      <c r="AB92" s="62"/>
      <c r="AC92" s="263" t="str">
        <f t="shared" si="26"/>
        <v/>
      </c>
      <c r="AD92" s="263" t="str">
        <f t="shared" si="27"/>
        <v/>
      </c>
      <c r="AE92" s="263" t="str">
        <f t="shared" si="28"/>
        <v/>
      </c>
      <c r="AF92" s="263" t="str">
        <f t="shared" si="29"/>
        <v/>
      </c>
      <c r="AG92" s="263" t="str">
        <f t="shared" si="30"/>
        <v/>
      </c>
      <c r="AH92" s="263" t="str">
        <f t="shared" si="31"/>
        <v/>
      </c>
      <c r="AI92" s="263" t="str">
        <f t="shared" si="32"/>
        <v/>
      </c>
    </row>
    <row r="93" spans="1:35" ht="21" customHeight="1">
      <c r="A93" s="164">
        <v>76</v>
      </c>
      <c r="B93" s="60" t="str">
        <f>IF('Add Change'!D98="","",+'Add Change'!D98)</f>
        <v/>
      </c>
      <c r="C93" s="31" t="str">
        <f>IF('Add Change'!I98="","",+'Add Change'!I98)</f>
        <v/>
      </c>
      <c r="D93" s="253" t="str">
        <f>IF('Add Change'!W98="","",'Add Change'!W98)</f>
        <v/>
      </c>
      <c r="E93" s="31"/>
      <c r="F93" s="70"/>
      <c r="G93" s="253"/>
      <c r="H93" s="254" t="str">
        <f t="shared" si="19"/>
        <v/>
      </c>
      <c r="I93" s="255" t="str">
        <f t="shared" si="20"/>
        <v/>
      </c>
      <c r="J93" s="256"/>
      <c r="K93" s="257"/>
      <c r="L93" s="258" t="str">
        <f t="shared" si="21"/>
        <v/>
      </c>
      <c r="M93" s="259" t="str">
        <f t="shared" si="22"/>
        <v/>
      </c>
      <c r="N93" s="260" t="str">
        <f t="shared" si="18"/>
        <v/>
      </c>
      <c r="O93" s="261" t="str">
        <f t="shared" si="23"/>
        <v/>
      </c>
      <c r="P93" s="262" t="str">
        <f t="shared" si="24"/>
        <v/>
      </c>
      <c r="Q93" s="263" t="str">
        <f t="shared" si="17"/>
        <v/>
      </c>
      <c r="R93" s="263" t="str">
        <f t="shared" si="17"/>
        <v/>
      </c>
      <c r="S93" s="263" t="str">
        <f t="shared" si="17"/>
        <v/>
      </c>
      <c r="T93" s="263" t="str">
        <f t="shared" si="17"/>
        <v/>
      </c>
      <c r="U93" s="263" t="str">
        <f t="shared" si="17"/>
        <v/>
      </c>
      <c r="V93" s="263" t="str">
        <f t="shared" si="17"/>
        <v/>
      </c>
      <c r="W93" s="263" t="str">
        <f t="shared" si="25"/>
        <v/>
      </c>
      <c r="X93" s="30"/>
      <c r="Y93" s="264"/>
      <c r="Z93" s="30"/>
      <c r="AA93" s="61"/>
      <c r="AB93" s="62"/>
      <c r="AC93" s="263" t="str">
        <f t="shared" si="26"/>
        <v/>
      </c>
      <c r="AD93" s="263" t="str">
        <f t="shared" si="27"/>
        <v/>
      </c>
      <c r="AE93" s="263" t="str">
        <f t="shared" si="28"/>
        <v/>
      </c>
      <c r="AF93" s="263" t="str">
        <f t="shared" si="29"/>
        <v/>
      </c>
      <c r="AG93" s="263" t="str">
        <f t="shared" si="30"/>
        <v/>
      </c>
      <c r="AH93" s="263" t="str">
        <f t="shared" si="31"/>
        <v/>
      </c>
      <c r="AI93" s="263" t="str">
        <f t="shared" si="32"/>
        <v/>
      </c>
    </row>
    <row r="94" spans="1:35" ht="21" customHeight="1">
      <c r="A94" s="164">
        <v>77</v>
      </c>
      <c r="B94" s="60" t="str">
        <f>IF('Add Change'!D99="","",+'Add Change'!D99)</f>
        <v/>
      </c>
      <c r="C94" s="31" t="str">
        <f>IF('Add Change'!I99="","",+'Add Change'!I99)</f>
        <v/>
      </c>
      <c r="D94" s="253" t="str">
        <f>IF('Add Change'!W99="","",'Add Change'!W99)</f>
        <v/>
      </c>
      <c r="E94" s="31"/>
      <c r="F94" s="70"/>
      <c r="G94" s="253"/>
      <c r="H94" s="254" t="str">
        <f t="shared" si="19"/>
        <v/>
      </c>
      <c r="I94" s="255" t="str">
        <f t="shared" si="20"/>
        <v/>
      </c>
      <c r="J94" s="256"/>
      <c r="K94" s="257"/>
      <c r="L94" s="258" t="str">
        <f t="shared" si="21"/>
        <v/>
      </c>
      <c r="M94" s="259" t="str">
        <f t="shared" si="22"/>
        <v/>
      </c>
      <c r="N94" s="260" t="str">
        <f t="shared" si="18"/>
        <v/>
      </c>
      <c r="O94" s="261" t="str">
        <f t="shared" si="23"/>
        <v/>
      </c>
      <c r="P94" s="262" t="str">
        <f t="shared" si="24"/>
        <v/>
      </c>
      <c r="Q94" s="263" t="str">
        <f t="shared" si="17"/>
        <v/>
      </c>
      <c r="R94" s="263" t="str">
        <f t="shared" si="17"/>
        <v/>
      </c>
      <c r="S94" s="263" t="str">
        <f t="shared" si="17"/>
        <v/>
      </c>
      <c r="T94" s="263" t="str">
        <f t="shared" si="17"/>
        <v/>
      </c>
      <c r="U94" s="263" t="str">
        <f t="shared" si="17"/>
        <v/>
      </c>
      <c r="V94" s="263" t="str">
        <f t="shared" si="17"/>
        <v/>
      </c>
      <c r="W94" s="263" t="str">
        <f t="shared" si="25"/>
        <v/>
      </c>
      <c r="X94" s="30"/>
      <c r="Y94" s="264"/>
      <c r="Z94" s="30"/>
      <c r="AA94" s="61"/>
      <c r="AB94" s="62"/>
      <c r="AC94" s="263" t="str">
        <f t="shared" si="26"/>
        <v/>
      </c>
      <c r="AD94" s="263" t="str">
        <f t="shared" si="27"/>
        <v/>
      </c>
      <c r="AE94" s="263" t="str">
        <f t="shared" si="28"/>
        <v/>
      </c>
      <c r="AF94" s="263" t="str">
        <f t="shared" si="29"/>
        <v/>
      </c>
      <c r="AG94" s="263" t="str">
        <f t="shared" si="30"/>
        <v/>
      </c>
      <c r="AH94" s="263" t="str">
        <f t="shared" si="31"/>
        <v/>
      </c>
      <c r="AI94" s="263" t="str">
        <f t="shared" si="32"/>
        <v/>
      </c>
    </row>
    <row r="95" spans="1:35" ht="21" customHeight="1">
      <c r="A95" s="164">
        <v>78</v>
      </c>
      <c r="B95" s="60" t="str">
        <f>IF('Add Change'!D100="","",+'Add Change'!D100)</f>
        <v/>
      </c>
      <c r="C95" s="31" t="str">
        <f>IF('Add Change'!I100="","",+'Add Change'!I100)</f>
        <v/>
      </c>
      <c r="D95" s="253" t="str">
        <f>IF('Add Change'!W100="","",'Add Change'!W100)</f>
        <v/>
      </c>
      <c r="E95" s="31"/>
      <c r="F95" s="70"/>
      <c r="G95" s="253"/>
      <c r="H95" s="254" t="str">
        <f t="shared" si="19"/>
        <v/>
      </c>
      <c r="I95" s="255" t="str">
        <f t="shared" si="20"/>
        <v/>
      </c>
      <c r="J95" s="256"/>
      <c r="K95" s="257"/>
      <c r="L95" s="258" t="str">
        <f t="shared" si="21"/>
        <v/>
      </c>
      <c r="M95" s="259" t="str">
        <f t="shared" si="22"/>
        <v/>
      </c>
      <c r="N95" s="260" t="str">
        <f t="shared" si="18"/>
        <v/>
      </c>
      <c r="O95" s="261" t="str">
        <f t="shared" si="23"/>
        <v/>
      </c>
      <c r="P95" s="262" t="str">
        <f t="shared" si="24"/>
        <v/>
      </c>
      <c r="Q95" s="263" t="str">
        <f t="shared" si="17"/>
        <v/>
      </c>
      <c r="R95" s="263" t="str">
        <f t="shared" si="17"/>
        <v/>
      </c>
      <c r="S95" s="263" t="str">
        <f t="shared" si="17"/>
        <v/>
      </c>
      <c r="T95" s="263" t="str">
        <f t="shared" si="17"/>
        <v/>
      </c>
      <c r="U95" s="263" t="str">
        <f t="shared" si="17"/>
        <v/>
      </c>
      <c r="V95" s="263" t="str">
        <f t="shared" si="17"/>
        <v/>
      </c>
      <c r="W95" s="263" t="str">
        <f t="shared" si="25"/>
        <v/>
      </c>
      <c r="X95" s="30"/>
      <c r="Y95" s="264"/>
      <c r="Z95" s="30"/>
      <c r="AA95" s="61"/>
      <c r="AB95" s="62"/>
      <c r="AC95" s="263" t="str">
        <f t="shared" si="26"/>
        <v/>
      </c>
      <c r="AD95" s="263" t="str">
        <f t="shared" si="27"/>
        <v/>
      </c>
      <c r="AE95" s="263" t="str">
        <f t="shared" si="28"/>
        <v/>
      </c>
      <c r="AF95" s="263" t="str">
        <f t="shared" si="29"/>
        <v/>
      </c>
      <c r="AG95" s="263" t="str">
        <f t="shared" si="30"/>
        <v/>
      </c>
      <c r="AH95" s="263" t="str">
        <f t="shared" si="31"/>
        <v/>
      </c>
      <c r="AI95" s="263" t="str">
        <f t="shared" si="32"/>
        <v/>
      </c>
    </row>
    <row r="96" spans="1:35" ht="21" customHeight="1">
      <c r="A96" s="164">
        <v>79</v>
      </c>
      <c r="B96" s="60" t="str">
        <f>IF('Add Change'!D101="","",+'Add Change'!D101)</f>
        <v/>
      </c>
      <c r="C96" s="31" t="str">
        <f>IF('Add Change'!I101="","",+'Add Change'!I101)</f>
        <v/>
      </c>
      <c r="D96" s="253" t="str">
        <f>IF('Add Change'!W101="","",'Add Change'!W101)</f>
        <v/>
      </c>
      <c r="E96" s="31"/>
      <c r="F96" s="70"/>
      <c r="G96" s="253"/>
      <c r="H96" s="254" t="str">
        <f t="shared" si="19"/>
        <v/>
      </c>
      <c r="I96" s="255" t="str">
        <f t="shared" si="20"/>
        <v/>
      </c>
      <c r="J96" s="256"/>
      <c r="K96" s="257"/>
      <c r="L96" s="258" t="str">
        <f t="shared" si="21"/>
        <v/>
      </c>
      <c r="M96" s="259" t="str">
        <f t="shared" si="22"/>
        <v/>
      </c>
      <c r="N96" s="260" t="str">
        <f t="shared" si="18"/>
        <v/>
      </c>
      <c r="O96" s="261" t="str">
        <f t="shared" si="23"/>
        <v/>
      </c>
      <c r="P96" s="262" t="str">
        <f t="shared" si="24"/>
        <v/>
      </c>
      <c r="Q96" s="263" t="str">
        <f t="shared" si="17"/>
        <v/>
      </c>
      <c r="R96" s="263" t="str">
        <f t="shared" si="17"/>
        <v/>
      </c>
      <c r="S96" s="263" t="str">
        <f t="shared" si="17"/>
        <v/>
      </c>
      <c r="T96" s="263" t="str">
        <f t="shared" si="17"/>
        <v/>
      </c>
      <c r="U96" s="263" t="str">
        <f t="shared" si="17"/>
        <v/>
      </c>
      <c r="V96" s="263" t="str">
        <f t="shared" si="17"/>
        <v/>
      </c>
      <c r="W96" s="263" t="str">
        <f t="shared" si="25"/>
        <v/>
      </c>
      <c r="X96" s="30"/>
      <c r="Y96" s="264"/>
      <c r="Z96" s="30"/>
      <c r="AA96" s="61"/>
      <c r="AB96" s="62"/>
      <c r="AC96" s="263" t="str">
        <f t="shared" si="26"/>
        <v/>
      </c>
      <c r="AD96" s="263" t="str">
        <f t="shared" si="27"/>
        <v/>
      </c>
      <c r="AE96" s="263" t="str">
        <f t="shared" si="28"/>
        <v/>
      </c>
      <c r="AF96" s="263" t="str">
        <f t="shared" si="29"/>
        <v/>
      </c>
      <c r="AG96" s="263" t="str">
        <f t="shared" si="30"/>
        <v/>
      </c>
      <c r="AH96" s="263" t="str">
        <f t="shared" si="31"/>
        <v/>
      </c>
      <c r="AI96" s="263" t="str">
        <f t="shared" si="32"/>
        <v/>
      </c>
    </row>
    <row r="97" spans="1:35" ht="21" customHeight="1">
      <c r="A97" s="164">
        <v>80</v>
      </c>
      <c r="B97" s="60" t="str">
        <f>IF('Add Change'!D102="","",+'Add Change'!D102)</f>
        <v/>
      </c>
      <c r="C97" s="31" t="str">
        <f>IF('Add Change'!I102="","",+'Add Change'!I102)</f>
        <v/>
      </c>
      <c r="D97" s="253" t="str">
        <f>IF('Add Change'!W102="","",'Add Change'!W102)</f>
        <v/>
      </c>
      <c r="E97" s="31"/>
      <c r="F97" s="70"/>
      <c r="G97" s="253"/>
      <c r="H97" s="254" t="str">
        <f t="shared" si="19"/>
        <v/>
      </c>
      <c r="I97" s="255" t="str">
        <f t="shared" si="20"/>
        <v/>
      </c>
      <c r="J97" s="256"/>
      <c r="K97" s="257"/>
      <c r="L97" s="258" t="str">
        <f t="shared" si="21"/>
        <v/>
      </c>
      <c r="M97" s="259" t="str">
        <f t="shared" si="22"/>
        <v/>
      </c>
      <c r="N97" s="260" t="str">
        <f t="shared" si="18"/>
        <v/>
      </c>
      <c r="O97" s="261" t="str">
        <f t="shared" si="23"/>
        <v/>
      </c>
      <c r="P97" s="262" t="str">
        <f t="shared" si="24"/>
        <v/>
      </c>
      <c r="Q97" s="263" t="str">
        <f t="shared" si="17"/>
        <v/>
      </c>
      <c r="R97" s="263" t="str">
        <f t="shared" si="17"/>
        <v/>
      </c>
      <c r="S97" s="263" t="str">
        <f t="shared" si="17"/>
        <v/>
      </c>
      <c r="T97" s="263" t="str">
        <f t="shared" si="17"/>
        <v/>
      </c>
      <c r="U97" s="263" t="str">
        <f t="shared" si="17"/>
        <v/>
      </c>
      <c r="V97" s="263" t="str">
        <f t="shared" si="17"/>
        <v/>
      </c>
      <c r="W97" s="263" t="str">
        <f t="shared" si="25"/>
        <v/>
      </c>
      <c r="X97" s="30"/>
      <c r="Y97" s="264"/>
      <c r="Z97" s="30"/>
      <c r="AA97" s="61"/>
      <c r="AB97" s="62"/>
      <c r="AC97" s="263" t="str">
        <f t="shared" si="26"/>
        <v/>
      </c>
      <c r="AD97" s="263" t="str">
        <f t="shared" si="27"/>
        <v/>
      </c>
      <c r="AE97" s="263" t="str">
        <f t="shared" si="28"/>
        <v/>
      </c>
      <c r="AF97" s="263" t="str">
        <f t="shared" si="29"/>
        <v/>
      </c>
      <c r="AG97" s="263" t="str">
        <f t="shared" si="30"/>
        <v/>
      </c>
      <c r="AH97" s="263" t="str">
        <f t="shared" si="31"/>
        <v/>
      </c>
      <c r="AI97" s="263" t="str">
        <f t="shared" si="32"/>
        <v/>
      </c>
    </row>
    <row r="98" spans="1:35" ht="21" customHeight="1">
      <c r="A98" s="164">
        <v>81</v>
      </c>
      <c r="B98" s="60" t="str">
        <f>IF('Add Change'!D103="","",+'Add Change'!D103)</f>
        <v/>
      </c>
      <c r="C98" s="31" t="str">
        <f>IF('Add Change'!I103="","",+'Add Change'!I103)</f>
        <v/>
      </c>
      <c r="D98" s="253" t="str">
        <f>IF('Add Change'!W103="","",'Add Change'!W103)</f>
        <v/>
      </c>
      <c r="E98" s="31"/>
      <c r="F98" s="70"/>
      <c r="G98" s="253"/>
      <c r="H98" s="254" t="str">
        <f t="shared" si="19"/>
        <v/>
      </c>
      <c r="I98" s="255" t="str">
        <f t="shared" si="20"/>
        <v/>
      </c>
      <c r="J98" s="256"/>
      <c r="K98" s="257"/>
      <c r="L98" s="258" t="str">
        <f t="shared" si="21"/>
        <v/>
      </c>
      <c r="M98" s="259" t="str">
        <f t="shared" si="22"/>
        <v/>
      </c>
      <c r="N98" s="260" t="str">
        <f t="shared" si="18"/>
        <v/>
      </c>
      <c r="O98" s="261" t="str">
        <f t="shared" si="23"/>
        <v/>
      </c>
      <c r="P98" s="262" t="str">
        <f t="shared" si="24"/>
        <v/>
      </c>
      <c r="Q98" s="263" t="str">
        <f t="shared" si="17"/>
        <v/>
      </c>
      <c r="R98" s="263" t="str">
        <f t="shared" si="17"/>
        <v/>
      </c>
      <c r="S98" s="263" t="str">
        <f t="shared" si="17"/>
        <v/>
      </c>
      <c r="T98" s="263" t="str">
        <f t="shared" si="17"/>
        <v/>
      </c>
      <c r="U98" s="263" t="str">
        <f t="shared" si="17"/>
        <v/>
      </c>
      <c r="V98" s="263" t="str">
        <f t="shared" si="17"/>
        <v/>
      </c>
      <c r="W98" s="263" t="str">
        <f t="shared" si="25"/>
        <v/>
      </c>
      <c r="X98" s="30"/>
      <c r="Y98" s="264"/>
      <c r="Z98" s="30"/>
      <c r="AA98" s="61"/>
      <c r="AB98" s="62"/>
      <c r="AC98" s="263" t="str">
        <f t="shared" si="26"/>
        <v/>
      </c>
      <c r="AD98" s="263" t="str">
        <f t="shared" si="27"/>
        <v/>
      </c>
      <c r="AE98" s="263" t="str">
        <f t="shared" si="28"/>
        <v/>
      </c>
      <c r="AF98" s="263" t="str">
        <f t="shared" si="29"/>
        <v/>
      </c>
      <c r="AG98" s="263" t="str">
        <f t="shared" si="30"/>
        <v/>
      </c>
      <c r="AH98" s="263" t="str">
        <f t="shared" si="31"/>
        <v/>
      </c>
      <c r="AI98" s="263" t="str">
        <f t="shared" si="32"/>
        <v/>
      </c>
    </row>
    <row r="99" spans="1:35" ht="21" customHeight="1">
      <c r="A99" s="164">
        <v>82</v>
      </c>
      <c r="B99" s="60" t="str">
        <f>IF('Add Change'!D104="","",+'Add Change'!D104)</f>
        <v/>
      </c>
      <c r="C99" s="31" t="str">
        <f>IF('Add Change'!I104="","",+'Add Change'!I104)</f>
        <v/>
      </c>
      <c r="D99" s="253" t="str">
        <f>IF('Add Change'!W104="","",'Add Change'!W104)</f>
        <v/>
      </c>
      <c r="E99" s="31"/>
      <c r="F99" s="70"/>
      <c r="G99" s="253"/>
      <c r="H99" s="254" t="str">
        <f t="shared" si="19"/>
        <v/>
      </c>
      <c r="I99" s="255" t="str">
        <f t="shared" si="20"/>
        <v/>
      </c>
      <c r="J99" s="256"/>
      <c r="K99" s="257"/>
      <c r="L99" s="258" t="str">
        <f t="shared" si="21"/>
        <v/>
      </c>
      <c r="M99" s="259" t="str">
        <f t="shared" si="22"/>
        <v/>
      </c>
      <c r="N99" s="260" t="str">
        <f t="shared" si="18"/>
        <v/>
      </c>
      <c r="O99" s="261" t="str">
        <f t="shared" si="23"/>
        <v/>
      </c>
      <c r="P99" s="262" t="str">
        <f t="shared" si="24"/>
        <v/>
      </c>
      <c r="Q99" s="263" t="str">
        <f t="shared" si="17"/>
        <v/>
      </c>
      <c r="R99" s="263" t="str">
        <f t="shared" si="17"/>
        <v/>
      </c>
      <c r="S99" s="263" t="str">
        <f t="shared" si="17"/>
        <v/>
      </c>
      <c r="T99" s="263" t="str">
        <f t="shared" si="17"/>
        <v/>
      </c>
      <c r="U99" s="263" t="str">
        <f t="shared" si="17"/>
        <v/>
      </c>
      <c r="V99" s="263" t="str">
        <f t="shared" si="17"/>
        <v/>
      </c>
      <c r="W99" s="263" t="str">
        <f t="shared" si="25"/>
        <v/>
      </c>
      <c r="X99" s="30"/>
      <c r="Y99" s="264"/>
      <c r="Z99" s="30"/>
      <c r="AA99" s="61"/>
      <c r="AB99" s="62"/>
      <c r="AC99" s="263" t="str">
        <f t="shared" si="26"/>
        <v/>
      </c>
      <c r="AD99" s="263" t="str">
        <f t="shared" si="27"/>
        <v/>
      </c>
      <c r="AE99" s="263" t="str">
        <f t="shared" si="28"/>
        <v/>
      </c>
      <c r="AF99" s="263" t="str">
        <f t="shared" si="29"/>
        <v/>
      </c>
      <c r="AG99" s="263" t="str">
        <f t="shared" si="30"/>
        <v/>
      </c>
      <c r="AH99" s="263" t="str">
        <f t="shared" si="31"/>
        <v/>
      </c>
      <c r="AI99" s="263" t="str">
        <f t="shared" si="32"/>
        <v/>
      </c>
    </row>
    <row r="100" spans="1:35" ht="21" customHeight="1">
      <c r="A100" s="164">
        <v>83</v>
      </c>
      <c r="B100" s="60" t="str">
        <f>IF('Add Change'!D105="","",+'Add Change'!D105)</f>
        <v/>
      </c>
      <c r="C100" s="31" t="str">
        <f>IF('Add Change'!I105="","",+'Add Change'!I105)</f>
        <v/>
      </c>
      <c r="D100" s="253" t="str">
        <f>IF('Add Change'!W105="","",'Add Change'!W105)</f>
        <v/>
      </c>
      <c r="E100" s="31"/>
      <c r="F100" s="70"/>
      <c r="G100" s="253"/>
      <c r="H100" s="254" t="str">
        <f t="shared" si="19"/>
        <v/>
      </c>
      <c r="I100" s="255" t="str">
        <f t="shared" si="20"/>
        <v/>
      </c>
      <c r="J100" s="256"/>
      <c r="K100" s="257"/>
      <c r="L100" s="258" t="str">
        <f t="shared" si="21"/>
        <v/>
      </c>
      <c r="M100" s="259" t="str">
        <f t="shared" si="22"/>
        <v/>
      </c>
      <c r="N100" s="260" t="str">
        <f t="shared" si="18"/>
        <v/>
      </c>
      <c r="O100" s="261" t="str">
        <f t="shared" si="23"/>
        <v/>
      </c>
      <c r="P100" s="262" t="str">
        <f t="shared" si="24"/>
        <v/>
      </c>
      <c r="Q100" s="263" t="str">
        <f t="shared" si="17"/>
        <v/>
      </c>
      <c r="R100" s="263" t="str">
        <f t="shared" si="17"/>
        <v/>
      </c>
      <c r="S100" s="263" t="str">
        <f t="shared" si="17"/>
        <v/>
      </c>
      <c r="T100" s="263" t="str">
        <f t="shared" si="17"/>
        <v/>
      </c>
      <c r="U100" s="263" t="str">
        <f t="shared" si="17"/>
        <v/>
      </c>
      <c r="V100" s="263" t="str">
        <f t="shared" si="17"/>
        <v/>
      </c>
      <c r="W100" s="263" t="str">
        <f t="shared" si="25"/>
        <v/>
      </c>
      <c r="X100" s="30"/>
      <c r="Y100" s="264"/>
      <c r="Z100" s="30"/>
      <c r="AA100" s="61"/>
      <c r="AB100" s="62"/>
      <c r="AC100" s="263" t="str">
        <f t="shared" si="26"/>
        <v/>
      </c>
      <c r="AD100" s="263" t="str">
        <f t="shared" si="27"/>
        <v/>
      </c>
      <c r="AE100" s="263" t="str">
        <f t="shared" si="28"/>
        <v/>
      </c>
      <c r="AF100" s="263" t="str">
        <f t="shared" si="29"/>
        <v/>
      </c>
      <c r="AG100" s="263" t="str">
        <f t="shared" si="30"/>
        <v/>
      </c>
      <c r="AH100" s="263" t="str">
        <f t="shared" si="31"/>
        <v/>
      </c>
      <c r="AI100" s="263" t="str">
        <f t="shared" si="32"/>
        <v/>
      </c>
    </row>
    <row r="101" spans="1:35" ht="21" customHeight="1">
      <c r="A101" s="164">
        <v>84</v>
      </c>
      <c r="B101" s="60" t="str">
        <f>IF('Add Change'!D106="","",+'Add Change'!D106)</f>
        <v/>
      </c>
      <c r="C101" s="31" t="str">
        <f>IF('Add Change'!I106="","",+'Add Change'!I106)</f>
        <v/>
      </c>
      <c r="D101" s="253" t="str">
        <f>IF('Add Change'!W106="","",'Add Change'!W106)</f>
        <v/>
      </c>
      <c r="E101" s="31"/>
      <c r="F101" s="70"/>
      <c r="G101" s="253"/>
      <c r="H101" s="254" t="str">
        <f t="shared" si="19"/>
        <v/>
      </c>
      <c r="I101" s="255" t="str">
        <f t="shared" si="20"/>
        <v/>
      </c>
      <c r="J101" s="256"/>
      <c r="K101" s="257"/>
      <c r="L101" s="258" t="str">
        <f t="shared" si="21"/>
        <v/>
      </c>
      <c r="M101" s="259" t="str">
        <f t="shared" si="22"/>
        <v/>
      </c>
      <c r="N101" s="260" t="str">
        <f t="shared" si="18"/>
        <v/>
      </c>
      <c r="O101" s="261" t="str">
        <f t="shared" si="23"/>
        <v/>
      </c>
      <c r="P101" s="262" t="str">
        <f t="shared" si="24"/>
        <v/>
      </c>
      <c r="Q101" s="263" t="str">
        <f t="shared" si="17"/>
        <v/>
      </c>
      <c r="R101" s="263" t="str">
        <f t="shared" si="17"/>
        <v/>
      </c>
      <c r="S101" s="263" t="str">
        <f t="shared" si="17"/>
        <v/>
      </c>
      <c r="T101" s="263" t="str">
        <f t="shared" si="17"/>
        <v/>
      </c>
      <c r="U101" s="263" t="str">
        <f t="shared" si="17"/>
        <v/>
      </c>
      <c r="V101" s="263" t="str">
        <f t="shared" si="17"/>
        <v/>
      </c>
      <c r="W101" s="263" t="str">
        <f t="shared" si="25"/>
        <v/>
      </c>
      <c r="X101" s="30"/>
      <c r="Y101" s="264"/>
      <c r="Z101" s="30"/>
      <c r="AA101" s="61"/>
      <c r="AB101" s="62"/>
      <c r="AC101" s="263" t="str">
        <f t="shared" si="26"/>
        <v/>
      </c>
      <c r="AD101" s="263" t="str">
        <f t="shared" si="27"/>
        <v/>
      </c>
      <c r="AE101" s="263" t="str">
        <f t="shared" si="28"/>
        <v/>
      </c>
      <c r="AF101" s="263" t="str">
        <f t="shared" si="29"/>
        <v/>
      </c>
      <c r="AG101" s="263" t="str">
        <f t="shared" si="30"/>
        <v/>
      </c>
      <c r="AH101" s="263" t="str">
        <f t="shared" si="31"/>
        <v/>
      </c>
      <c r="AI101" s="263" t="str">
        <f t="shared" si="32"/>
        <v/>
      </c>
    </row>
    <row r="102" spans="1:35" ht="21" customHeight="1">
      <c r="A102" s="164">
        <v>85</v>
      </c>
      <c r="B102" s="60" t="str">
        <f>IF('Add Change'!D107="","",+'Add Change'!D107)</f>
        <v/>
      </c>
      <c r="C102" s="31" t="str">
        <f>IF('Add Change'!I107="","",+'Add Change'!I107)</f>
        <v/>
      </c>
      <c r="D102" s="253" t="str">
        <f>IF('Add Change'!W107="","",'Add Change'!W107)</f>
        <v/>
      </c>
      <c r="E102" s="31"/>
      <c r="F102" s="70"/>
      <c r="G102" s="253"/>
      <c r="H102" s="254" t="str">
        <f t="shared" si="19"/>
        <v/>
      </c>
      <c r="I102" s="255" t="str">
        <f t="shared" si="20"/>
        <v/>
      </c>
      <c r="J102" s="256"/>
      <c r="K102" s="257"/>
      <c r="L102" s="258" t="str">
        <f t="shared" si="21"/>
        <v/>
      </c>
      <c r="M102" s="259" t="str">
        <f t="shared" si="22"/>
        <v/>
      </c>
      <c r="N102" s="260" t="str">
        <f t="shared" si="18"/>
        <v/>
      </c>
      <c r="O102" s="261" t="str">
        <f t="shared" si="23"/>
        <v/>
      </c>
      <c r="P102" s="262" t="str">
        <f t="shared" si="24"/>
        <v/>
      </c>
      <c r="Q102" s="263" t="str">
        <f t="shared" si="17"/>
        <v/>
      </c>
      <c r="R102" s="263" t="str">
        <f t="shared" si="17"/>
        <v/>
      </c>
      <c r="S102" s="263" t="str">
        <f t="shared" si="17"/>
        <v/>
      </c>
      <c r="T102" s="263" t="str">
        <f t="shared" si="17"/>
        <v/>
      </c>
      <c r="U102" s="263" t="str">
        <f t="shared" si="17"/>
        <v/>
      </c>
      <c r="V102" s="263" t="str">
        <f t="shared" si="17"/>
        <v/>
      </c>
      <c r="W102" s="263" t="str">
        <f t="shared" si="25"/>
        <v/>
      </c>
      <c r="X102" s="30"/>
      <c r="Y102" s="264"/>
      <c r="Z102" s="30"/>
      <c r="AA102" s="61"/>
      <c r="AB102" s="62"/>
      <c r="AC102" s="263" t="str">
        <f t="shared" si="26"/>
        <v/>
      </c>
      <c r="AD102" s="263" t="str">
        <f t="shared" si="27"/>
        <v/>
      </c>
      <c r="AE102" s="263" t="str">
        <f t="shared" si="28"/>
        <v/>
      </c>
      <c r="AF102" s="263" t="str">
        <f t="shared" si="29"/>
        <v/>
      </c>
      <c r="AG102" s="263" t="str">
        <f t="shared" si="30"/>
        <v/>
      </c>
      <c r="AH102" s="263" t="str">
        <f t="shared" si="31"/>
        <v/>
      </c>
      <c r="AI102" s="263" t="str">
        <f t="shared" si="32"/>
        <v/>
      </c>
    </row>
    <row r="103" spans="1:35" ht="21" customHeight="1">
      <c r="A103" s="164">
        <v>86</v>
      </c>
      <c r="B103" s="60" t="str">
        <f>IF('Add Change'!D108="","",+'Add Change'!D108)</f>
        <v/>
      </c>
      <c r="C103" s="31" t="str">
        <f>IF('Add Change'!I108="","",+'Add Change'!I108)</f>
        <v/>
      </c>
      <c r="D103" s="253" t="str">
        <f>IF('Add Change'!W108="","",'Add Change'!W108)</f>
        <v/>
      </c>
      <c r="E103" s="31"/>
      <c r="F103" s="70"/>
      <c r="G103" s="253"/>
      <c r="H103" s="254" t="str">
        <f t="shared" si="19"/>
        <v/>
      </c>
      <c r="I103" s="255" t="str">
        <f t="shared" si="20"/>
        <v/>
      </c>
      <c r="J103" s="256"/>
      <c r="K103" s="257"/>
      <c r="L103" s="258" t="str">
        <f t="shared" si="21"/>
        <v/>
      </c>
      <c r="M103" s="259" t="str">
        <f t="shared" si="22"/>
        <v/>
      </c>
      <c r="N103" s="260" t="str">
        <f t="shared" si="18"/>
        <v/>
      </c>
      <c r="O103" s="261" t="str">
        <f t="shared" si="23"/>
        <v/>
      </c>
      <c r="P103" s="262" t="str">
        <f t="shared" si="24"/>
        <v/>
      </c>
      <c r="Q103" s="263" t="str">
        <f t="shared" si="17"/>
        <v/>
      </c>
      <c r="R103" s="263" t="str">
        <f t="shared" si="17"/>
        <v/>
      </c>
      <c r="S103" s="263" t="str">
        <f t="shared" si="17"/>
        <v/>
      </c>
      <c r="T103" s="263" t="str">
        <f t="shared" si="17"/>
        <v/>
      </c>
      <c r="U103" s="263" t="str">
        <f t="shared" si="17"/>
        <v/>
      </c>
      <c r="V103" s="263" t="str">
        <f t="shared" si="17"/>
        <v/>
      </c>
      <c r="W103" s="263" t="str">
        <f t="shared" si="25"/>
        <v/>
      </c>
      <c r="X103" s="30"/>
      <c r="Y103" s="264"/>
      <c r="Z103" s="30"/>
      <c r="AA103" s="61"/>
      <c r="AB103" s="62"/>
      <c r="AC103" s="263" t="str">
        <f t="shared" si="26"/>
        <v/>
      </c>
      <c r="AD103" s="263" t="str">
        <f t="shared" si="27"/>
        <v/>
      </c>
      <c r="AE103" s="263" t="str">
        <f t="shared" si="28"/>
        <v/>
      </c>
      <c r="AF103" s="263" t="str">
        <f t="shared" si="29"/>
        <v/>
      </c>
      <c r="AG103" s="263" t="str">
        <f t="shared" si="30"/>
        <v/>
      </c>
      <c r="AH103" s="263" t="str">
        <f t="shared" si="31"/>
        <v/>
      </c>
      <c r="AI103" s="263" t="str">
        <f t="shared" si="32"/>
        <v/>
      </c>
    </row>
    <row r="104" spans="1:35" ht="21" customHeight="1">
      <c r="A104" s="164">
        <v>87</v>
      </c>
      <c r="B104" s="60" t="str">
        <f>IF('Add Change'!D109="","",+'Add Change'!D109)</f>
        <v/>
      </c>
      <c r="C104" s="31" t="str">
        <f>IF('Add Change'!I109="","",+'Add Change'!I109)</f>
        <v/>
      </c>
      <c r="D104" s="253" t="str">
        <f>IF('Add Change'!W109="","",'Add Change'!W109)</f>
        <v/>
      </c>
      <c r="E104" s="31"/>
      <c r="F104" s="70"/>
      <c r="G104" s="253"/>
      <c r="H104" s="254" t="str">
        <f t="shared" si="19"/>
        <v/>
      </c>
      <c r="I104" s="255" t="str">
        <f t="shared" si="20"/>
        <v/>
      </c>
      <c r="J104" s="256"/>
      <c r="K104" s="257"/>
      <c r="L104" s="258" t="str">
        <f t="shared" si="21"/>
        <v/>
      </c>
      <c r="M104" s="259" t="str">
        <f t="shared" si="22"/>
        <v/>
      </c>
      <c r="N104" s="260" t="str">
        <f t="shared" si="18"/>
        <v/>
      </c>
      <c r="O104" s="261" t="str">
        <f t="shared" si="23"/>
        <v/>
      </c>
      <c r="P104" s="262" t="str">
        <f t="shared" si="24"/>
        <v/>
      </c>
      <c r="Q104" s="263" t="str">
        <f t="shared" si="17"/>
        <v/>
      </c>
      <c r="R104" s="263" t="str">
        <f t="shared" si="17"/>
        <v/>
      </c>
      <c r="S104" s="263" t="str">
        <f t="shared" si="17"/>
        <v/>
      </c>
      <c r="T104" s="263" t="str">
        <f t="shared" si="17"/>
        <v/>
      </c>
      <c r="U104" s="263" t="str">
        <f t="shared" si="17"/>
        <v/>
      </c>
      <c r="V104" s="263" t="str">
        <f t="shared" si="17"/>
        <v/>
      </c>
      <c r="W104" s="263" t="str">
        <f t="shared" si="25"/>
        <v/>
      </c>
      <c r="X104" s="30"/>
      <c r="Y104" s="264"/>
      <c r="Z104" s="30"/>
      <c r="AA104" s="61"/>
      <c r="AB104" s="62"/>
      <c r="AC104" s="263" t="str">
        <f t="shared" si="26"/>
        <v/>
      </c>
      <c r="AD104" s="263" t="str">
        <f t="shared" si="27"/>
        <v/>
      </c>
      <c r="AE104" s="263" t="str">
        <f t="shared" si="28"/>
        <v/>
      </c>
      <c r="AF104" s="263" t="str">
        <f t="shared" si="29"/>
        <v/>
      </c>
      <c r="AG104" s="263" t="str">
        <f t="shared" si="30"/>
        <v/>
      </c>
      <c r="AH104" s="263" t="str">
        <f t="shared" si="31"/>
        <v/>
      </c>
      <c r="AI104" s="263" t="str">
        <f t="shared" si="32"/>
        <v/>
      </c>
    </row>
    <row r="105" spans="1:35" ht="21" customHeight="1">
      <c r="A105" s="164">
        <v>88</v>
      </c>
      <c r="B105" s="60" t="str">
        <f>IF('Add Change'!D110="","",+'Add Change'!D110)</f>
        <v/>
      </c>
      <c r="C105" s="31" t="str">
        <f>IF('Add Change'!I110="","",+'Add Change'!I110)</f>
        <v/>
      </c>
      <c r="D105" s="253" t="str">
        <f>IF('Add Change'!W110="","",'Add Change'!W110)</f>
        <v/>
      </c>
      <c r="E105" s="31"/>
      <c r="F105" s="70"/>
      <c r="G105" s="253"/>
      <c r="H105" s="254" t="str">
        <f t="shared" si="19"/>
        <v/>
      </c>
      <c r="I105" s="255" t="str">
        <f t="shared" si="20"/>
        <v/>
      </c>
      <c r="J105" s="256"/>
      <c r="K105" s="257"/>
      <c r="L105" s="258" t="str">
        <f t="shared" si="21"/>
        <v/>
      </c>
      <c r="M105" s="259" t="str">
        <f t="shared" si="22"/>
        <v/>
      </c>
      <c r="N105" s="260" t="str">
        <f t="shared" si="18"/>
        <v/>
      </c>
      <c r="O105" s="261" t="str">
        <f t="shared" si="23"/>
        <v/>
      </c>
      <c r="P105" s="262" t="str">
        <f t="shared" si="24"/>
        <v/>
      </c>
      <c r="Q105" s="263" t="str">
        <f t="shared" si="17"/>
        <v/>
      </c>
      <c r="R105" s="263" t="str">
        <f t="shared" si="17"/>
        <v/>
      </c>
      <c r="S105" s="263" t="str">
        <f t="shared" si="17"/>
        <v/>
      </c>
      <c r="T105" s="263" t="str">
        <f t="shared" si="17"/>
        <v/>
      </c>
      <c r="U105" s="263" t="str">
        <f t="shared" si="17"/>
        <v/>
      </c>
      <c r="V105" s="263" t="str">
        <f t="shared" si="17"/>
        <v/>
      </c>
      <c r="W105" s="263" t="str">
        <f t="shared" si="25"/>
        <v/>
      </c>
      <c r="X105" s="30"/>
      <c r="Y105" s="264"/>
      <c r="Z105" s="30"/>
      <c r="AA105" s="61"/>
      <c r="AB105" s="62"/>
      <c r="AC105" s="263" t="str">
        <f t="shared" si="26"/>
        <v/>
      </c>
      <c r="AD105" s="263" t="str">
        <f t="shared" si="27"/>
        <v/>
      </c>
      <c r="AE105" s="263" t="str">
        <f t="shared" si="28"/>
        <v/>
      </c>
      <c r="AF105" s="263" t="str">
        <f t="shared" si="29"/>
        <v/>
      </c>
      <c r="AG105" s="263" t="str">
        <f t="shared" si="30"/>
        <v/>
      </c>
      <c r="AH105" s="263" t="str">
        <f t="shared" si="31"/>
        <v/>
      </c>
      <c r="AI105" s="263" t="str">
        <f t="shared" si="32"/>
        <v/>
      </c>
    </row>
    <row r="106" spans="1:35" ht="21" customHeight="1">
      <c r="A106" s="164">
        <v>89</v>
      </c>
      <c r="B106" s="60" t="str">
        <f>IF('Add Change'!D111="","",+'Add Change'!D111)</f>
        <v/>
      </c>
      <c r="C106" s="31" t="str">
        <f>IF('Add Change'!I111="","",+'Add Change'!I111)</f>
        <v/>
      </c>
      <c r="D106" s="253" t="str">
        <f>IF('Add Change'!W111="","",'Add Change'!W111)</f>
        <v/>
      </c>
      <c r="E106" s="31"/>
      <c r="F106" s="70"/>
      <c r="G106" s="253"/>
      <c r="H106" s="254" t="str">
        <f t="shared" si="19"/>
        <v/>
      </c>
      <c r="I106" s="255" t="str">
        <f t="shared" si="20"/>
        <v/>
      </c>
      <c r="J106" s="256"/>
      <c r="K106" s="257"/>
      <c r="L106" s="258" t="str">
        <f t="shared" si="21"/>
        <v/>
      </c>
      <c r="M106" s="259" t="str">
        <f t="shared" si="22"/>
        <v/>
      </c>
      <c r="N106" s="260" t="str">
        <f t="shared" si="18"/>
        <v/>
      </c>
      <c r="O106" s="261" t="str">
        <f t="shared" si="23"/>
        <v/>
      </c>
      <c r="P106" s="262" t="str">
        <f t="shared" si="24"/>
        <v/>
      </c>
      <c r="Q106" s="263" t="str">
        <f t="shared" si="17"/>
        <v/>
      </c>
      <c r="R106" s="263" t="str">
        <f t="shared" si="17"/>
        <v/>
      </c>
      <c r="S106" s="263" t="str">
        <f t="shared" si="17"/>
        <v/>
      </c>
      <c r="T106" s="263" t="str">
        <f t="shared" si="17"/>
        <v/>
      </c>
      <c r="U106" s="263" t="str">
        <f t="shared" si="17"/>
        <v/>
      </c>
      <c r="V106" s="263" t="str">
        <f t="shared" si="17"/>
        <v/>
      </c>
      <c r="W106" s="263" t="str">
        <f t="shared" si="25"/>
        <v/>
      </c>
      <c r="X106" s="30"/>
      <c r="Y106" s="264"/>
      <c r="Z106" s="30"/>
      <c r="AA106" s="61"/>
      <c r="AB106" s="62"/>
      <c r="AC106" s="263" t="str">
        <f t="shared" si="26"/>
        <v/>
      </c>
      <c r="AD106" s="263" t="str">
        <f t="shared" si="27"/>
        <v/>
      </c>
      <c r="AE106" s="263" t="str">
        <f t="shared" si="28"/>
        <v/>
      </c>
      <c r="AF106" s="263" t="str">
        <f t="shared" si="29"/>
        <v/>
      </c>
      <c r="AG106" s="263" t="str">
        <f t="shared" si="30"/>
        <v/>
      </c>
      <c r="AH106" s="263" t="str">
        <f t="shared" si="31"/>
        <v/>
      </c>
      <c r="AI106" s="263" t="str">
        <f t="shared" si="32"/>
        <v/>
      </c>
    </row>
    <row r="107" spans="1:35" ht="21" customHeight="1">
      <c r="A107" s="164">
        <v>90</v>
      </c>
      <c r="B107" s="60" t="str">
        <f>IF('Add Change'!D112="","",+'Add Change'!D112)</f>
        <v/>
      </c>
      <c r="C107" s="31" t="str">
        <f>IF('Add Change'!I112="","",+'Add Change'!I112)</f>
        <v/>
      </c>
      <c r="D107" s="253" t="str">
        <f>IF('Add Change'!W112="","",'Add Change'!W112)</f>
        <v/>
      </c>
      <c r="E107" s="31"/>
      <c r="F107" s="70"/>
      <c r="G107" s="253"/>
      <c r="H107" s="254" t="str">
        <f t="shared" si="19"/>
        <v/>
      </c>
      <c r="I107" s="255" t="str">
        <f t="shared" si="20"/>
        <v/>
      </c>
      <c r="J107" s="256"/>
      <c r="K107" s="257"/>
      <c r="L107" s="258" t="str">
        <f t="shared" si="21"/>
        <v/>
      </c>
      <c r="M107" s="259" t="str">
        <f t="shared" si="22"/>
        <v/>
      </c>
      <c r="N107" s="260" t="str">
        <f t="shared" si="18"/>
        <v/>
      </c>
      <c r="O107" s="261" t="str">
        <f t="shared" si="23"/>
        <v/>
      </c>
      <c r="P107" s="262" t="str">
        <f t="shared" si="24"/>
        <v/>
      </c>
      <c r="Q107" s="263" t="str">
        <f t="shared" si="17"/>
        <v/>
      </c>
      <c r="R107" s="263" t="str">
        <f t="shared" si="17"/>
        <v/>
      </c>
      <c r="S107" s="263" t="str">
        <f t="shared" si="17"/>
        <v/>
      </c>
      <c r="T107" s="263" t="str">
        <f t="shared" si="17"/>
        <v/>
      </c>
      <c r="U107" s="263" t="str">
        <f t="shared" si="17"/>
        <v/>
      </c>
      <c r="V107" s="263" t="str">
        <f t="shared" si="17"/>
        <v/>
      </c>
      <c r="W107" s="263" t="str">
        <f t="shared" si="25"/>
        <v/>
      </c>
      <c r="X107" s="30"/>
      <c r="Y107" s="264"/>
      <c r="Z107" s="30"/>
      <c r="AA107" s="61"/>
      <c r="AB107" s="62"/>
      <c r="AC107" s="263" t="str">
        <f t="shared" si="26"/>
        <v/>
      </c>
      <c r="AD107" s="263" t="str">
        <f t="shared" si="27"/>
        <v/>
      </c>
      <c r="AE107" s="263" t="str">
        <f t="shared" si="28"/>
        <v/>
      </c>
      <c r="AF107" s="263" t="str">
        <f t="shared" si="29"/>
        <v/>
      </c>
      <c r="AG107" s="263" t="str">
        <f t="shared" si="30"/>
        <v/>
      </c>
      <c r="AH107" s="263" t="str">
        <f t="shared" si="31"/>
        <v/>
      </c>
      <c r="AI107" s="263" t="str">
        <f t="shared" si="32"/>
        <v/>
      </c>
    </row>
    <row r="108" spans="1:35" ht="21" customHeight="1">
      <c r="A108" s="164">
        <v>91</v>
      </c>
      <c r="B108" s="60" t="str">
        <f>IF('Add Change'!D113="","",+'Add Change'!D113)</f>
        <v/>
      </c>
      <c r="C108" s="31" t="str">
        <f>IF('Add Change'!I113="","",+'Add Change'!I113)</f>
        <v/>
      </c>
      <c r="D108" s="253" t="str">
        <f>IF('Add Change'!W113="","",'Add Change'!W113)</f>
        <v/>
      </c>
      <c r="E108" s="31"/>
      <c r="F108" s="70"/>
      <c r="G108" s="253"/>
      <c r="H108" s="254" t="str">
        <f t="shared" si="19"/>
        <v/>
      </c>
      <c r="I108" s="255" t="str">
        <f t="shared" si="20"/>
        <v/>
      </c>
      <c r="J108" s="256"/>
      <c r="K108" s="257"/>
      <c r="L108" s="258" t="str">
        <f t="shared" si="21"/>
        <v/>
      </c>
      <c r="M108" s="259" t="str">
        <f t="shared" si="22"/>
        <v/>
      </c>
      <c r="N108" s="260" t="str">
        <f t="shared" si="18"/>
        <v/>
      </c>
      <c r="O108" s="261" t="str">
        <f t="shared" si="23"/>
        <v/>
      </c>
      <c r="P108" s="262" t="str">
        <f t="shared" si="24"/>
        <v/>
      </c>
      <c r="Q108" s="263" t="str">
        <f t="shared" si="17"/>
        <v/>
      </c>
      <c r="R108" s="263" t="str">
        <f t="shared" si="17"/>
        <v/>
      </c>
      <c r="S108" s="263" t="str">
        <f t="shared" si="17"/>
        <v/>
      </c>
      <c r="T108" s="263" t="str">
        <f t="shared" si="17"/>
        <v/>
      </c>
      <c r="U108" s="263" t="str">
        <f t="shared" si="17"/>
        <v/>
      </c>
      <c r="V108" s="263" t="str">
        <f t="shared" si="17"/>
        <v/>
      </c>
      <c r="W108" s="263" t="str">
        <f t="shared" si="25"/>
        <v/>
      </c>
      <c r="X108" s="30"/>
      <c r="Y108" s="264"/>
      <c r="Z108" s="30"/>
      <c r="AA108" s="61"/>
      <c r="AB108" s="62"/>
      <c r="AC108" s="263" t="str">
        <f t="shared" si="26"/>
        <v/>
      </c>
      <c r="AD108" s="263" t="str">
        <f t="shared" si="27"/>
        <v/>
      </c>
      <c r="AE108" s="263" t="str">
        <f t="shared" si="28"/>
        <v/>
      </c>
      <c r="AF108" s="263" t="str">
        <f t="shared" si="29"/>
        <v/>
      </c>
      <c r="AG108" s="263" t="str">
        <f t="shared" si="30"/>
        <v/>
      </c>
      <c r="AH108" s="263" t="str">
        <f t="shared" si="31"/>
        <v/>
      </c>
      <c r="AI108" s="263" t="str">
        <f t="shared" si="32"/>
        <v/>
      </c>
    </row>
    <row r="109" spans="1:35" ht="21" customHeight="1">
      <c r="A109" s="164">
        <v>92</v>
      </c>
      <c r="B109" s="60" t="str">
        <f>IF('Add Change'!D114="","",+'Add Change'!D114)</f>
        <v/>
      </c>
      <c r="C109" s="31" t="str">
        <f>IF('Add Change'!I114="","",+'Add Change'!I114)</f>
        <v/>
      </c>
      <c r="D109" s="253" t="str">
        <f>IF('Add Change'!W114="","",'Add Change'!W114)</f>
        <v/>
      </c>
      <c r="E109" s="31"/>
      <c r="F109" s="70"/>
      <c r="G109" s="253"/>
      <c r="H109" s="254" t="str">
        <f t="shared" si="19"/>
        <v/>
      </c>
      <c r="I109" s="255" t="str">
        <f t="shared" si="20"/>
        <v/>
      </c>
      <c r="J109" s="256"/>
      <c r="K109" s="257"/>
      <c r="L109" s="258" t="str">
        <f t="shared" si="21"/>
        <v/>
      </c>
      <c r="M109" s="259" t="str">
        <f t="shared" si="22"/>
        <v/>
      </c>
      <c r="N109" s="260" t="str">
        <f t="shared" si="18"/>
        <v/>
      </c>
      <c r="O109" s="261" t="str">
        <f t="shared" si="23"/>
        <v/>
      </c>
      <c r="P109" s="262" t="str">
        <f t="shared" si="24"/>
        <v/>
      </c>
      <c r="Q109" s="263" t="str">
        <f t="shared" si="17"/>
        <v/>
      </c>
      <c r="R109" s="263" t="str">
        <f t="shared" si="17"/>
        <v/>
      </c>
      <c r="S109" s="263" t="str">
        <f t="shared" si="17"/>
        <v/>
      </c>
      <c r="T109" s="263" t="str">
        <f t="shared" si="17"/>
        <v/>
      </c>
      <c r="U109" s="263" t="str">
        <f t="shared" si="17"/>
        <v/>
      </c>
      <c r="V109" s="263" t="str">
        <f t="shared" si="17"/>
        <v/>
      </c>
      <c r="W109" s="263" t="str">
        <f t="shared" si="25"/>
        <v/>
      </c>
      <c r="X109" s="30"/>
      <c r="Y109" s="264"/>
      <c r="Z109" s="30"/>
      <c r="AA109" s="61"/>
      <c r="AB109" s="62"/>
      <c r="AC109" s="263" t="str">
        <f t="shared" si="26"/>
        <v/>
      </c>
      <c r="AD109" s="263" t="str">
        <f t="shared" si="27"/>
        <v/>
      </c>
      <c r="AE109" s="263" t="str">
        <f t="shared" si="28"/>
        <v/>
      </c>
      <c r="AF109" s="263" t="str">
        <f t="shared" si="29"/>
        <v/>
      </c>
      <c r="AG109" s="263" t="str">
        <f t="shared" si="30"/>
        <v/>
      </c>
      <c r="AH109" s="263" t="str">
        <f t="shared" si="31"/>
        <v/>
      </c>
      <c r="AI109" s="263" t="str">
        <f t="shared" si="32"/>
        <v/>
      </c>
    </row>
    <row r="110" spans="1:35" ht="21" customHeight="1">
      <c r="A110" s="164">
        <v>93</v>
      </c>
      <c r="B110" s="60" t="str">
        <f>IF('Add Change'!D115="","",+'Add Change'!D115)</f>
        <v/>
      </c>
      <c r="C110" s="31" t="str">
        <f>IF('Add Change'!I115="","",+'Add Change'!I115)</f>
        <v/>
      </c>
      <c r="D110" s="253" t="str">
        <f>IF('Add Change'!W115="","",'Add Change'!W115)</f>
        <v/>
      </c>
      <c r="E110" s="31"/>
      <c r="F110" s="70"/>
      <c r="G110" s="253"/>
      <c r="H110" s="254" t="str">
        <f t="shared" si="19"/>
        <v/>
      </c>
      <c r="I110" s="255" t="str">
        <f t="shared" si="20"/>
        <v/>
      </c>
      <c r="J110" s="256"/>
      <c r="K110" s="257"/>
      <c r="L110" s="258" t="str">
        <f t="shared" si="21"/>
        <v/>
      </c>
      <c r="M110" s="259" t="str">
        <f t="shared" si="22"/>
        <v/>
      </c>
      <c r="N110" s="260" t="str">
        <f t="shared" si="18"/>
        <v/>
      </c>
      <c r="O110" s="261" t="str">
        <f t="shared" si="23"/>
        <v/>
      </c>
      <c r="P110" s="262" t="str">
        <f t="shared" si="24"/>
        <v/>
      </c>
      <c r="Q110" s="263" t="str">
        <f t="shared" si="17"/>
        <v/>
      </c>
      <c r="R110" s="263" t="str">
        <f t="shared" si="17"/>
        <v/>
      </c>
      <c r="S110" s="263" t="str">
        <f t="shared" si="17"/>
        <v/>
      </c>
      <c r="T110" s="263" t="str">
        <f t="shared" si="17"/>
        <v/>
      </c>
      <c r="U110" s="263" t="str">
        <f t="shared" si="17"/>
        <v/>
      </c>
      <c r="V110" s="263" t="str">
        <f t="shared" si="17"/>
        <v/>
      </c>
      <c r="W110" s="263" t="str">
        <f t="shared" si="25"/>
        <v/>
      </c>
      <c r="X110" s="30"/>
      <c r="Y110" s="264"/>
      <c r="Z110" s="30"/>
      <c r="AA110" s="61"/>
      <c r="AB110" s="62"/>
      <c r="AC110" s="263" t="str">
        <f t="shared" si="26"/>
        <v/>
      </c>
      <c r="AD110" s="263" t="str">
        <f t="shared" si="27"/>
        <v/>
      </c>
      <c r="AE110" s="263" t="str">
        <f t="shared" si="28"/>
        <v/>
      </c>
      <c r="AF110" s="263" t="str">
        <f t="shared" si="29"/>
        <v/>
      </c>
      <c r="AG110" s="263" t="str">
        <f t="shared" si="30"/>
        <v/>
      </c>
      <c r="AH110" s="263" t="str">
        <f t="shared" si="31"/>
        <v/>
      </c>
      <c r="AI110" s="263" t="str">
        <f t="shared" si="32"/>
        <v/>
      </c>
    </row>
    <row r="111" spans="1:35" ht="21" customHeight="1">
      <c r="A111" s="164">
        <v>94</v>
      </c>
      <c r="B111" s="60" t="str">
        <f>IF('Add Change'!D116="","",+'Add Change'!D116)</f>
        <v/>
      </c>
      <c r="C111" s="31" t="str">
        <f>IF('Add Change'!I116="","",+'Add Change'!I116)</f>
        <v/>
      </c>
      <c r="D111" s="253" t="str">
        <f>IF('Add Change'!W116="","",'Add Change'!W116)</f>
        <v/>
      </c>
      <c r="E111" s="31"/>
      <c r="F111" s="70"/>
      <c r="G111" s="253"/>
      <c r="H111" s="254" t="str">
        <f t="shared" si="19"/>
        <v/>
      </c>
      <c r="I111" s="255" t="str">
        <f t="shared" si="20"/>
        <v/>
      </c>
      <c r="J111" s="256"/>
      <c r="K111" s="257"/>
      <c r="L111" s="258" t="str">
        <f t="shared" si="21"/>
        <v/>
      </c>
      <c r="M111" s="259" t="str">
        <f t="shared" si="22"/>
        <v/>
      </c>
      <c r="N111" s="260" t="str">
        <f t="shared" si="18"/>
        <v/>
      </c>
      <c r="O111" s="261" t="str">
        <f t="shared" si="23"/>
        <v/>
      </c>
      <c r="P111" s="262" t="str">
        <f t="shared" si="24"/>
        <v/>
      </c>
      <c r="Q111" s="263" t="str">
        <f t="shared" si="17"/>
        <v/>
      </c>
      <c r="R111" s="263" t="str">
        <f t="shared" si="17"/>
        <v/>
      </c>
      <c r="S111" s="263" t="str">
        <f t="shared" si="17"/>
        <v/>
      </c>
      <c r="T111" s="263" t="str">
        <f t="shared" si="17"/>
        <v/>
      </c>
      <c r="U111" s="263" t="str">
        <f t="shared" si="17"/>
        <v/>
      </c>
      <c r="V111" s="263" t="str">
        <f t="shared" si="17"/>
        <v/>
      </c>
      <c r="W111" s="263" t="str">
        <f t="shared" si="25"/>
        <v/>
      </c>
      <c r="X111" s="30"/>
      <c r="Y111" s="264"/>
      <c r="Z111" s="30"/>
      <c r="AA111" s="61"/>
      <c r="AB111" s="62"/>
      <c r="AC111" s="263" t="str">
        <f t="shared" si="26"/>
        <v/>
      </c>
      <c r="AD111" s="263" t="str">
        <f t="shared" si="27"/>
        <v/>
      </c>
      <c r="AE111" s="263" t="str">
        <f t="shared" si="28"/>
        <v/>
      </c>
      <c r="AF111" s="263" t="str">
        <f t="shared" si="29"/>
        <v/>
      </c>
      <c r="AG111" s="263" t="str">
        <f t="shared" si="30"/>
        <v/>
      </c>
      <c r="AH111" s="263" t="str">
        <f t="shared" si="31"/>
        <v/>
      </c>
      <c r="AI111" s="263" t="str">
        <f t="shared" si="32"/>
        <v/>
      </c>
    </row>
    <row r="112" spans="1:35" ht="21" customHeight="1">
      <c r="A112" s="164">
        <v>95</v>
      </c>
      <c r="B112" s="60" t="str">
        <f>IF('Add Change'!D117="","",+'Add Change'!D117)</f>
        <v/>
      </c>
      <c r="C112" s="31" t="str">
        <f>IF('Add Change'!I117="","",+'Add Change'!I117)</f>
        <v/>
      </c>
      <c r="D112" s="253" t="str">
        <f>IF('Add Change'!W117="","",'Add Change'!W117)</f>
        <v/>
      </c>
      <c r="E112" s="31"/>
      <c r="F112" s="70"/>
      <c r="G112" s="253"/>
      <c r="H112" s="254" t="str">
        <f t="shared" si="19"/>
        <v/>
      </c>
      <c r="I112" s="255" t="str">
        <f t="shared" si="20"/>
        <v/>
      </c>
      <c r="J112" s="256"/>
      <c r="K112" s="257"/>
      <c r="L112" s="258" t="str">
        <f t="shared" si="21"/>
        <v/>
      </c>
      <c r="M112" s="259" t="str">
        <f t="shared" si="22"/>
        <v/>
      </c>
      <c r="N112" s="260" t="str">
        <f t="shared" si="18"/>
        <v/>
      </c>
      <c r="O112" s="261" t="str">
        <f t="shared" si="23"/>
        <v/>
      </c>
      <c r="P112" s="262" t="str">
        <f t="shared" si="24"/>
        <v/>
      </c>
      <c r="Q112" s="263" t="str">
        <f t="shared" si="17"/>
        <v/>
      </c>
      <c r="R112" s="263" t="str">
        <f t="shared" si="17"/>
        <v/>
      </c>
      <c r="S112" s="263" t="str">
        <f t="shared" si="17"/>
        <v/>
      </c>
      <c r="T112" s="263" t="str">
        <f t="shared" si="17"/>
        <v/>
      </c>
      <c r="U112" s="263" t="str">
        <f t="shared" si="17"/>
        <v/>
      </c>
      <c r="V112" s="263" t="str">
        <f t="shared" si="17"/>
        <v/>
      </c>
      <c r="W112" s="263" t="str">
        <f t="shared" si="25"/>
        <v/>
      </c>
      <c r="X112" s="30"/>
      <c r="Y112" s="264"/>
      <c r="Z112" s="30"/>
      <c r="AA112" s="61"/>
      <c r="AB112" s="62"/>
      <c r="AC112" s="263" t="str">
        <f t="shared" si="26"/>
        <v/>
      </c>
      <c r="AD112" s="263" t="str">
        <f t="shared" si="27"/>
        <v/>
      </c>
      <c r="AE112" s="263" t="str">
        <f t="shared" si="28"/>
        <v/>
      </c>
      <c r="AF112" s="263" t="str">
        <f t="shared" si="29"/>
        <v/>
      </c>
      <c r="AG112" s="263" t="str">
        <f t="shared" si="30"/>
        <v/>
      </c>
      <c r="AH112" s="263" t="str">
        <f t="shared" si="31"/>
        <v/>
      </c>
      <c r="AI112" s="263" t="str">
        <f t="shared" si="32"/>
        <v/>
      </c>
    </row>
    <row r="113" spans="1:35" ht="21" customHeight="1">
      <c r="A113" s="164">
        <v>96</v>
      </c>
      <c r="B113" s="60" t="str">
        <f>IF('Add Change'!D118="","",+'Add Change'!D118)</f>
        <v/>
      </c>
      <c r="C113" s="31" t="str">
        <f>IF('Add Change'!I118="","",+'Add Change'!I118)</f>
        <v/>
      </c>
      <c r="D113" s="253" t="str">
        <f>IF('Add Change'!W118="","",'Add Change'!W118)</f>
        <v/>
      </c>
      <c r="E113" s="31"/>
      <c r="F113" s="70"/>
      <c r="G113" s="253"/>
      <c r="H113" s="254" t="str">
        <f t="shared" si="19"/>
        <v/>
      </c>
      <c r="I113" s="255" t="str">
        <f t="shared" si="20"/>
        <v/>
      </c>
      <c r="J113" s="256"/>
      <c r="K113" s="257"/>
      <c r="L113" s="258" t="str">
        <f t="shared" si="21"/>
        <v/>
      </c>
      <c r="M113" s="259" t="str">
        <f t="shared" si="22"/>
        <v/>
      </c>
      <c r="N113" s="260" t="str">
        <f t="shared" si="18"/>
        <v/>
      </c>
      <c r="O113" s="261" t="str">
        <f t="shared" si="23"/>
        <v/>
      </c>
      <c r="P113" s="262" t="str">
        <f t="shared" si="24"/>
        <v/>
      </c>
      <c r="Q113" s="263" t="str">
        <f t="shared" si="17"/>
        <v/>
      </c>
      <c r="R113" s="263" t="str">
        <f t="shared" si="17"/>
        <v/>
      </c>
      <c r="S113" s="263" t="str">
        <f t="shared" si="17"/>
        <v/>
      </c>
      <c r="T113" s="263" t="str">
        <f t="shared" si="17"/>
        <v/>
      </c>
      <c r="U113" s="263" t="str">
        <f t="shared" si="17"/>
        <v/>
      </c>
      <c r="V113" s="263" t="str">
        <f t="shared" si="17"/>
        <v/>
      </c>
      <c r="W113" s="263" t="str">
        <f t="shared" si="25"/>
        <v/>
      </c>
      <c r="X113" s="30"/>
      <c r="Y113" s="264"/>
      <c r="Z113" s="30"/>
      <c r="AA113" s="61"/>
      <c r="AB113" s="62"/>
      <c r="AC113" s="263" t="str">
        <f t="shared" si="26"/>
        <v/>
      </c>
      <c r="AD113" s="263" t="str">
        <f t="shared" si="27"/>
        <v/>
      </c>
      <c r="AE113" s="263" t="str">
        <f t="shared" si="28"/>
        <v/>
      </c>
      <c r="AF113" s="263" t="str">
        <f t="shared" si="29"/>
        <v/>
      </c>
      <c r="AG113" s="263" t="str">
        <f t="shared" si="30"/>
        <v/>
      </c>
      <c r="AH113" s="263" t="str">
        <f t="shared" si="31"/>
        <v/>
      </c>
      <c r="AI113" s="263" t="str">
        <f t="shared" si="32"/>
        <v/>
      </c>
    </row>
    <row r="114" spans="1:35" ht="21" customHeight="1">
      <c r="A114" s="164">
        <v>97</v>
      </c>
      <c r="B114" s="60" t="str">
        <f>IF('Add Change'!D119="","",+'Add Change'!D119)</f>
        <v/>
      </c>
      <c r="C114" s="31" t="str">
        <f>IF('Add Change'!I119="","",+'Add Change'!I119)</f>
        <v/>
      </c>
      <c r="D114" s="253" t="str">
        <f>IF('Add Change'!W119="","",'Add Change'!W119)</f>
        <v/>
      </c>
      <c r="E114" s="31"/>
      <c r="F114" s="70"/>
      <c r="G114" s="253"/>
      <c r="H114" s="254" t="str">
        <f t="shared" si="19"/>
        <v/>
      </c>
      <c r="I114" s="255" t="str">
        <f t="shared" si="20"/>
        <v/>
      </c>
      <c r="J114" s="256"/>
      <c r="K114" s="257"/>
      <c r="L114" s="258" t="str">
        <f t="shared" si="21"/>
        <v/>
      </c>
      <c r="M114" s="259" t="str">
        <f t="shared" si="22"/>
        <v/>
      </c>
      <c r="N114" s="260" t="str">
        <f t="shared" si="18"/>
        <v/>
      </c>
      <c r="O114" s="261" t="str">
        <f t="shared" si="23"/>
        <v/>
      </c>
      <c r="P114" s="262" t="str">
        <f t="shared" si="24"/>
        <v/>
      </c>
      <c r="Q114" s="263" t="str">
        <f t="shared" si="17"/>
        <v/>
      </c>
      <c r="R114" s="263" t="str">
        <f t="shared" si="17"/>
        <v/>
      </c>
      <c r="S114" s="263" t="str">
        <f t="shared" si="17"/>
        <v/>
      </c>
      <c r="T114" s="263" t="str">
        <f t="shared" si="17"/>
        <v/>
      </c>
      <c r="U114" s="263" t="str">
        <f t="shared" si="17"/>
        <v/>
      </c>
      <c r="V114" s="263" t="str">
        <f t="shared" si="17"/>
        <v/>
      </c>
      <c r="W114" s="263" t="str">
        <f t="shared" si="25"/>
        <v/>
      </c>
      <c r="X114" s="30"/>
      <c r="Y114" s="264"/>
      <c r="Z114" s="30"/>
      <c r="AA114" s="61"/>
      <c r="AB114" s="62"/>
      <c r="AC114" s="263" t="str">
        <f t="shared" si="26"/>
        <v/>
      </c>
      <c r="AD114" s="263" t="str">
        <f t="shared" si="27"/>
        <v/>
      </c>
      <c r="AE114" s="263" t="str">
        <f t="shared" si="28"/>
        <v/>
      </c>
      <c r="AF114" s="263" t="str">
        <f t="shared" si="29"/>
        <v/>
      </c>
      <c r="AG114" s="263" t="str">
        <f t="shared" si="30"/>
        <v/>
      </c>
      <c r="AH114" s="263" t="str">
        <f t="shared" si="31"/>
        <v/>
      </c>
      <c r="AI114" s="263" t="str">
        <f t="shared" si="32"/>
        <v/>
      </c>
    </row>
    <row r="115" spans="1:35" ht="21" customHeight="1">
      <c r="A115" s="164">
        <v>98</v>
      </c>
      <c r="B115" s="60" t="str">
        <f>IF('Add Change'!D120="","",+'Add Change'!D120)</f>
        <v/>
      </c>
      <c r="C115" s="31" t="str">
        <f>IF('Add Change'!I120="","",+'Add Change'!I120)</f>
        <v/>
      </c>
      <c r="D115" s="253" t="str">
        <f>IF('Add Change'!W120="","",'Add Change'!W120)</f>
        <v/>
      </c>
      <c r="E115" s="31"/>
      <c r="F115" s="70"/>
      <c r="G115" s="253"/>
      <c r="H115" s="254" t="str">
        <f t="shared" si="19"/>
        <v/>
      </c>
      <c r="I115" s="255" t="str">
        <f t="shared" si="20"/>
        <v/>
      </c>
      <c r="J115" s="256"/>
      <c r="K115" s="257"/>
      <c r="L115" s="258" t="str">
        <f t="shared" si="21"/>
        <v/>
      </c>
      <c r="M115" s="259" t="str">
        <f t="shared" si="22"/>
        <v/>
      </c>
      <c r="N115" s="260" t="str">
        <f t="shared" si="18"/>
        <v/>
      </c>
      <c r="O115" s="261" t="str">
        <f t="shared" si="23"/>
        <v/>
      </c>
      <c r="P115" s="262" t="str">
        <f t="shared" si="24"/>
        <v/>
      </c>
      <c r="Q115" s="263" t="str">
        <f t="shared" si="17"/>
        <v/>
      </c>
      <c r="R115" s="263" t="str">
        <f t="shared" si="17"/>
        <v/>
      </c>
      <c r="S115" s="263" t="str">
        <f t="shared" si="17"/>
        <v/>
      </c>
      <c r="T115" s="263" t="str">
        <f t="shared" si="17"/>
        <v/>
      </c>
      <c r="U115" s="263" t="str">
        <f t="shared" si="17"/>
        <v/>
      </c>
      <c r="V115" s="263" t="str">
        <f t="shared" si="17"/>
        <v/>
      </c>
      <c r="W115" s="263" t="str">
        <f t="shared" si="25"/>
        <v/>
      </c>
      <c r="X115" s="30"/>
      <c r="Y115" s="264"/>
      <c r="Z115" s="30"/>
      <c r="AA115" s="61"/>
      <c r="AB115" s="62"/>
      <c r="AC115" s="263" t="str">
        <f t="shared" si="26"/>
        <v/>
      </c>
      <c r="AD115" s="263" t="str">
        <f t="shared" si="27"/>
        <v/>
      </c>
      <c r="AE115" s="263" t="str">
        <f t="shared" si="28"/>
        <v/>
      </c>
      <c r="AF115" s="263" t="str">
        <f t="shared" si="29"/>
        <v/>
      </c>
      <c r="AG115" s="263" t="str">
        <f t="shared" si="30"/>
        <v/>
      </c>
      <c r="AH115" s="263" t="str">
        <f t="shared" si="31"/>
        <v/>
      </c>
      <c r="AI115" s="263" t="str">
        <f t="shared" si="32"/>
        <v/>
      </c>
    </row>
    <row r="116" spans="1:35" ht="21" customHeight="1">
      <c r="A116" s="164">
        <v>99</v>
      </c>
      <c r="B116" s="60" t="str">
        <f>IF('Add Change'!D121="","",+'Add Change'!D121)</f>
        <v/>
      </c>
      <c r="C116" s="31" t="str">
        <f>IF('Add Change'!I121="","",+'Add Change'!I121)</f>
        <v/>
      </c>
      <c r="D116" s="253" t="str">
        <f>IF('Add Change'!W121="","",'Add Change'!W121)</f>
        <v/>
      </c>
      <c r="E116" s="31"/>
      <c r="F116" s="70"/>
      <c r="G116" s="253"/>
      <c r="H116" s="254" t="str">
        <f t="shared" si="19"/>
        <v/>
      </c>
      <c r="I116" s="255" t="str">
        <f t="shared" si="20"/>
        <v/>
      </c>
      <c r="J116" s="256"/>
      <c r="K116" s="257"/>
      <c r="L116" s="258" t="str">
        <f t="shared" si="21"/>
        <v/>
      </c>
      <c r="M116" s="259" t="str">
        <f t="shared" si="22"/>
        <v/>
      </c>
      <c r="N116" s="260" t="str">
        <f t="shared" si="18"/>
        <v/>
      </c>
      <c r="O116" s="261" t="str">
        <f t="shared" si="23"/>
        <v/>
      </c>
      <c r="P116" s="262" t="str">
        <f t="shared" si="24"/>
        <v/>
      </c>
      <c r="Q116" s="263" t="str">
        <f t="shared" si="17"/>
        <v/>
      </c>
      <c r="R116" s="263" t="str">
        <f t="shared" si="17"/>
        <v/>
      </c>
      <c r="S116" s="263" t="str">
        <f t="shared" si="17"/>
        <v/>
      </c>
      <c r="T116" s="263" t="str">
        <f t="shared" si="17"/>
        <v/>
      </c>
      <c r="U116" s="263" t="str">
        <f t="shared" si="17"/>
        <v/>
      </c>
      <c r="V116" s="263" t="str">
        <f t="shared" si="17"/>
        <v/>
      </c>
      <c r="W116" s="263" t="str">
        <f t="shared" si="25"/>
        <v/>
      </c>
      <c r="X116" s="30"/>
      <c r="Y116" s="264"/>
      <c r="Z116" s="30"/>
      <c r="AA116" s="61"/>
      <c r="AB116" s="62"/>
      <c r="AC116" s="263" t="str">
        <f t="shared" si="26"/>
        <v/>
      </c>
      <c r="AD116" s="263" t="str">
        <f t="shared" si="27"/>
        <v/>
      </c>
      <c r="AE116" s="263" t="str">
        <f t="shared" si="28"/>
        <v/>
      </c>
      <c r="AF116" s="263" t="str">
        <f t="shared" si="29"/>
        <v/>
      </c>
      <c r="AG116" s="263" t="str">
        <f t="shared" si="30"/>
        <v/>
      </c>
      <c r="AH116" s="263" t="str">
        <f t="shared" si="31"/>
        <v/>
      </c>
      <c r="AI116" s="263" t="str">
        <f t="shared" si="32"/>
        <v/>
      </c>
    </row>
    <row r="117" spans="1:35" ht="21" customHeight="1">
      <c r="A117" s="164">
        <v>100</v>
      </c>
      <c r="B117" s="60" t="str">
        <f>IF('Add Change'!D122="","",+'Add Change'!D122)</f>
        <v/>
      </c>
      <c r="C117" s="31" t="str">
        <f>IF('Add Change'!I122="","",+'Add Change'!I122)</f>
        <v/>
      </c>
      <c r="D117" s="253" t="str">
        <f>IF('Add Change'!W122="","",'Add Change'!W122)</f>
        <v/>
      </c>
      <c r="E117" s="31"/>
      <c r="F117" s="70"/>
      <c r="G117" s="253"/>
      <c r="H117" s="254" t="str">
        <f t="shared" si="19"/>
        <v/>
      </c>
      <c r="I117" s="255" t="str">
        <f t="shared" si="20"/>
        <v/>
      </c>
      <c r="J117" s="256"/>
      <c r="K117" s="257"/>
      <c r="L117" s="258" t="str">
        <f t="shared" si="21"/>
        <v/>
      </c>
      <c r="M117" s="259" t="str">
        <f t="shared" si="22"/>
        <v/>
      </c>
      <c r="N117" s="260" t="str">
        <f t="shared" si="18"/>
        <v/>
      </c>
      <c r="O117" s="261" t="str">
        <f t="shared" si="23"/>
        <v/>
      </c>
      <c r="P117" s="262" t="str">
        <f t="shared" si="24"/>
        <v/>
      </c>
      <c r="Q117" s="263" t="str">
        <f t="shared" si="17"/>
        <v/>
      </c>
      <c r="R117" s="263" t="str">
        <f t="shared" si="17"/>
        <v/>
      </c>
      <c r="S117" s="263" t="str">
        <f t="shared" si="17"/>
        <v/>
      </c>
      <c r="T117" s="263" t="str">
        <f t="shared" si="17"/>
        <v/>
      </c>
      <c r="U117" s="263" t="str">
        <f t="shared" si="17"/>
        <v/>
      </c>
      <c r="V117" s="263" t="str">
        <f t="shared" si="17"/>
        <v/>
      </c>
      <c r="W117" s="263" t="str">
        <f t="shared" si="25"/>
        <v/>
      </c>
      <c r="X117" s="30"/>
      <c r="Y117" s="264"/>
      <c r="Z117" s="30"/>
      <c r="AA117" s="61"/>
      <c r="AB117" s="62"/>
      <c r="AC117" s="263" t="str">
        <f t="shared" si="26"/>
        <v/>
      </c>
      <c r="AD117" s="263" t="str">
        <f t="shared" si="27"/>
        <v/>
      </c>
      <c r="AE117" s="263" t="str">
        <f t="shared" si="28"/>
        <v/>
      </c>
      <c r="AF117" s="263" t="str">
        <f t="shared" si="29"/>
        <v/>
      </c>
      <c r="AG117" s="263" t="str">
        <f t="shared" si="30"/>
        <v/>
      </c>
      <c r="AH117" s="263" t="str">
        <f t="shared" si="31"/>
        <v/>
      </c>
      <c r="AI117" s="263" t="str">
        <f t="shared" si="32"/>
        <v/>
      </c>
    </row>
    <row r="118" spans="1:35">
      <c r="A118" s="164">
        <v>101</v>
      </c>
      <c r="B118" s="60" t="str">
        <f>IF('Add Change'!D123="","",+'Add Change'!D123)</f>
        <v/>
      </c>
      <c r="C118" s="31" t="str">
        <f>IF('Add Change'!I123="","",+'Add Change'!I123)</f>
        <v/>
      </c>
      <c r="D118" s="253" t="str">
        <f>IF('Add Change'!W123="","",'Add Change'!W123)</f>
        <v/>
      </c>
      <c r="E118" s="31"/>
      <c r="F118" s="70"/>
      <c r="G118" s="253"/>
      <c r="H118" s="254" t="str">
        <f t="shared" si="19"/>
        <v/>
      </c>
      <c r="I118" s="255" t="str">
        <f t="shared" si="20"/>
        <v/>
      </c>
      <c r="J118" s="256"/>
      <c r="K118" s="257"/>
      <c r="L118" s="258" t="str">
        <f t="shared" ref="L118:L181" si="33">IF(K118="","",(K118/J118/52)*4)</f>
        <v/>
      </c>
      <c r="M118" s="259" t="str">
        <f t="shared" ref="M118:M181" si="34">IF(L118="","",ROUND(I118/L118,1))</f>
        <v/>
      </c>
      <c r="N118" s="260" t="str">
        <f t="shared" si="18"/>
        <v/>
      </c>
      <c r="O118" s="261" t="str">
        <f t="shared" ref="O118:O181" si="35">IF(N118="","",(N118/W$13/52)*4)</f>
        <v/>
      </c>
      <c r="P118" s="262" t="str">
        <f t="shared" ref="P118:P181" si="36">IF(H118="","",+H118*D118)</f>
        <v/>
      </c>
      <c r="Q118" s="263" t="str">
        <f t="shared" si="17"/>
        <v/>
      </c>
      <c r="R118" s="263" t="str">
        <f t="shared" si="17"/>
        <v/>
      </c>
      <c r="S118" s="263" t="str">
        <f t="shared" si="17"/>
        <v/>
      </c>
      <c r="T118" s="263" t="str">
        <f t="shared" si="17"/>
        <v/>
      </c>
      <c r="U118" s="263" t="str">
        <f t="shared" si="17"/>
        <v/>
      </c>
      <c r="V118" s="263" t="str">
        <f t="shared" si="17"/>
        <v/>
      </c>
      <c r="W118" s="263" t="str">
        <f t="shared" ref="W118:W181" si="37">IF(SUM(Q118:V118)=0,"",SUM(Q118:V118))</f>
        <v/>
      </c>
      <c r="X118" s="30"/>
      <c r="Y118" s="264"/>
      <c r="Z118" s="30"/>
      <c r="AA118" s="61"/>
      <c r="AB118" s="62"/>
      <c r="AC118" s="263" t="str">
        <f t="shared" ref="AC118:AC181" si="38">IF(AB118="","",(INT(($AB118/$AA118)+0.99)*$AA118)*Q$13)</f>
        <v/>
      </c>
      <c r="AD118" s="263" t="str">
        <f t="shared" ref="AD118:AD181" si="39">IF(AB118="","",(INT(($AB118/$AA118)+0.99)*$AA118)*R$13)</f>
        <v/>
      </c>
      <c r="AE118" s="263" t="str">
        <f t="shared" ref="AE118:AE181" si="40">IF(AB118="","",(INT(($AB118/$AA118)+0.99)*$AA118)*S$13)</f>
        <v/>
      </c>
      <c r="AF118" s="263" t="str">
        <f t="shared" ref="AF118:AF181" si="41">IF(AB118="","",(INT(($AB118/$AA118)+0.99)*$AA118)*T$13)</f>
        <v/>
      </c>
      <c r="AG118" s="263" t="str">
        <f t="shared" ref="AG118:AG181" si="42">IF(AB118="","",(INT(($AB118/$AA118)+0.99)*$AA118)*U$13)</f>
        <v/>
      </c>
      <c r="AH118" s="263" t="str">
        <f t="shared" ref="AH118:AH181" si="43">IF(AB118="","",(INT(($AB118/$AA118)+0.99)*$AA118)*V$13)</f>
        <v/>
      </c>
      <c r="AI118" s="263" t="str">
        <f t="shared" ref="AI118:AI181" si="44">IF(SUM(AC118:AH118)=0,"",SUM(AC118:AH118))</f>
        <v/>
      </c>
    </row>
    <row r="119" spans="1:35">
      <c r="A119" s="164">
        <v>102</v>
      </c>
      <c r="B119" s="60" t="str">
        <f>IF('Add Change'!D124="","",+'Add Change'!D124)</f>
        <v/>
      </c>
      <c r="C119" s="31" t="str">
        <f>IF('Add Change'!I124="","",+'Add Change'!I124)</f>
        <v/>
      </c>
      <c r="D119" s="253" t="str">
        <f>IF('Add Change'!W124="","",'Add Change'!W124)</f>
        <v/>
      </c>
      <c r="E119" s="31"/>
      <c r="F119" s="70"/>
      <c r="G119" s="253"/>
      <c r="H119" s="254" t="str">
        <f t="shared" si="19"/>
        <v/>
      </c>
      <c r="I119" s="255" t="str">
        <f t="shared" si="20"/>
        <v/>
      </c>
      <c r="J119" s="256"/>
      <c r="K119" s="257"/>
      <c r="L119" s="258" t="str">
        <f t="shared" si="33"/>
        <v/>
      </c>
      <c r="M119" s="259" t="str">
        <f t="shared" si="34"/>
        <v/>
      </c>
      <c r="N119" s="260" t="str">
        <f t="shared" si="18"/>
        <v/>
      </c>
      <c r="O119" s="261" t="str">
        <f t="shared" si="35"/>
        <v/>
      </c>
      <c r="P119" s="262" t="str">
        <f t="shared" si="36"/>
        <v/>
      </c>
      <c r="Q119" s="263" t="str">
        <f t="shared" ref="Q119:V161" si="45">IF($O119="","",($O119*Q$13/4)*52)</f>
        <v/>
      </c>
      <c r="R119" s="263" t="str">
        <f t="shared" si="45"/>
        <v/>
      </c>
      <c r="S119" s="263" t="str">
        <f t="shared" si="45"/>
        <v/>
      </c>
      <c r="T119" s="263" t="str">
        <f t="shared" si="45"/>
        <v/>
      </c>
      <c r="U119" s="263" t="str">
        <f t="shared" si="45"/>
        <v/>
      </c>
      <c r="V119" s="263" t="str">
        <f t="shared" si="45"/>
        <v/>
      </c>
      <c r="W119" s="263" t="str">
        <f t="shared" si="37"/>
        <v/>
      </c>
      <c r="X119" s="30"/>
      <c r="Y119" s="264"/>
      <c r="Z119" s="30"/>
      <c r="AA119" s="61"/>
      <c r="AB119" s="62"/>
      <c r="AC119" s="263" t="str">
        <f t="shared" si="38"/>
        <v/>
      </c>
      <c r="AD119" s="263" t="str">
        <f t="shared" si="39"/>
        <v/>
      </c>
      <c r="AE119" s="263" t="str">
        <f t="shared" si="40"/>
        <v/>
      </c>
      <c r="AF119" s="263" t="str">
        <f t="shared" si="41"/>
        <v/>
      </c>
      <c r="AG119" s="263" t="str">
        <f t="shared" si="42"/>
        <v/>
      </c>
      <c r="AH119" s="263" t="str">
        <f t="shared" si="43"/>
        <v/>
      </c>
      <c r="AI119" s="263" t="str">
        <f t="shared" si="44"/>
        <v/>
      </c>
    </row>
    <row r="120" spans="1:35">
      <c r="A120" s="164">
        <v>103</v>
      </c>
      <c r="B120" s="60" t="str">
        <f>IF('Add Change'!D125="","",+'Add Change'!D125)</f>
        <v/>
      </c>
      <c r="C120" s="31" t="str">
        <f>IF('Add Change'!I125="","",+'Add Change'!I125)</f>
        <v/>
      </c>
      <c r="D120" s="253" t="str">
        <f>IF('Add Change'!W125="","",'Add Change'!W125)</f>
        <v/>
      </c>
      <c r="E120" s="31"/>
      <c r="F120" s="70"/>
      <c r="G120" s="253"/>
      <c r="H120" s="254" t="str">
        <f t="shared" si="19"/>
        <v/>
      </c>
      <c r="I120" s="255" t="str">
        <f t="shared" si="20"/>
        <v/>
      </c>
      <c r="J120" s="256"/>
      <c r="K120" s="257"/>
      <c r="L120" s="258" t="str">
        <f t="shared" si="33"/>
        <v/>
      </c>
      <c r="M120" s="259" t="str">
        <f t="shared" si="34"/>
        <v/>
      </c>
      <c r="N120" s="260" t="str">
        <f t="shared" si="18"/>
        <v/>
      </c>
      <c r="O120" s="261" t="str">
        <f t="shared" si="35"/>
        <v/>
      </c>
      <c r="P120" s="262" t="str">
        <f t="shared" si="36"/>
        <v/>
      </c>
      <c r="Q120" s="263" t="str">
        <f t="shared" si="45"/>
        <v/>
      </c>
      <c r="R120" s="263" t="str">
        <f t="shared" si="45"/>
        <v/>
      </c>
      <c r="S120" s="263" t="str">
        <f t="shared" si="45"/>
        <v/>
      </c>
      <c r="T120" s="263" t="str">
        <f t="shared" si="45"/>
        <v/>
      </c>
      <c r="U120" s="263" t="str">
        <f t="shared" si="45"/>
        <v/>
      </c>
      <c r="V120" s="263" t="str">
        <f t="shared" si="45"/>
        <v/>
      </c>
      <c r="W120" s="263" t="str">
        <f t="shared" si="37"/>
        <v/>
      </c>
      <c r="X120" s="30"/>
      <c r="Y120" s="264"/>
      <c r="Z120" s="30"/>
      <c r="AA120" s="61"/>
      <c r="AB120" s="62"/>
      <c r="AC120" s="263" t="str">
        <f t="shared" si="38"/>
        <v/>
      </c>
      <c r="AD120" s="263" t="str">
        <f t="shared" si="39"/>
        <v/>
      </c>
      <c r="AE120" s="263" t="str">
        <f t="shared" si="40"/>
        <v/>
      </c>
      <c r="AF120" s="263" t="str">
        <f t="shared" si="41"/>
        <v/>
      </c>
      <c r="AG120" s="263" t="str">
        <f t="shared" si="42"/>
        <v/>
      </c>
      <c r="AH120" s="263" t="str">
        <f t="shared" si="43"/>
        <v/>
      </c>
      <c r="AI120" s="263" t="str">
        <f t="shared" si="44"/>
        <v/>
      </c>
    </row>
    <row r="121" spans="1:35">
      <c r="A121" s="164">
        <v>104</v>
      </c>
      <c r="B121" s="60" t="str">
        <f>IF('Add Change'!D126="","",+'Add Change'!D126)</f>
        <v/>
      </c>
      <c r="C121" s="31" t="str">
        <f>IF('Add Change'!I126="","",+'Add Change'!I126)</f>
        <v/>
      </c>
      <c r="D121" s="253" t="str">
        <f>IF('Add Change'!W126="","",'Add Change'!W126)</f>
        <v/>
      </c>
      <c r="E121" s="31"/>
      <c r="F121" s="70"/>
      <c r="G121" s="253"/>
      <c r="H121" s="254" t="str">
        <f t="shared" si="19"/>
        <v/>
      </c>
      <c r="I121" s="255" t="str">
        <f t="shared" si="20"/>
        <v/>
      </c>
      <c r="J121" s="256"/>
      <c r="K121" s="257"/>
      <c r="L121" s="258" t="str">
        <f t="shared" si="33"/>
        <v/>
      </c>
      <c r="M121" s="259" t="str">
        <f t="shared" si="34"/>
        <v/>
      </c>
      <c r="N121" s="260" t="str">
        <f t="shared" si="18"/>
        <v/>
      </c>
      <c r="O121" s="261" t="str">
        <f t="shared" si="35"/>
        <v/>
      </c>
      <c r="P121" s="262" t="str">
        <f t="shared" si="36"/>
        <v/>
      </c>
      <c r="Q121" s="263" t="str">
        <f t="shared" si="45"/>
        <v/>
      </c>
      <c r="R121" s="263" t="str">
        <f t="shared" si="45"/>
        <v/>
      </c>
      <c r="S121" s="263" t="str">
        <f t="shared" si="45"/>
        <v/>
      </c>
      <c r="T121" s="263" t="str">
        <f t="shared" si="45"/>
        <v/>
      </c>
      <c r="U121" s="263" t="str">
        <f t="shared" si="45"/>
        <v/>
      </c>
      <c r="V121" s="263" t="str">
        <f t="shared" si="45"/>
        <v/>
      </c>
      <c r="W121" s="263" t="str">
        <f t="shared" si="37"/>
        <v/>
      </c>
      <c r="X121" s="30"/>
      <c r="Y121" s="264"/>
      <c r="Z121" s="30"/>
      <c r="AA121" s="61"/>
      <c r="AB121" s="62"/>
      <c r="AC121" s="263" t="str">
        <f t="shared" si="38"/>
        <v/>
      </c>
      <c r="AD121" s="263" t="str">
        <f t="shared" si="39"/>
        <v/>
      </c>
      <c r="AE121" s="263" t="str">
        <f t="shared" si="40"/>
        <v/>
      </c>
      <c r="AF121" s="263" t="str">
        <f t="shared" si="41"/>
        <v/>
      </c>
      <c r="AG121" s="263" t="str">
        <f t="shared" si="42"/>
        <v/>
      </c>
      <c r="AH121" s="263" t="str">
        <f t="shared" si="43"/>
        <v/>
      </c>
      <c r="AI121" s="263" t="str">
        <f t="shared" si="44"/>
        <v/>
      </c>
    </row>
    <row r="122" spans="1:35">
      <c r="A122" s="164">
        <v>105</v>
      </c>
      <c r="B122" s="60" t="str">
        <f>IF('Add Change'!D127="","",+'Add Change'!D127)</f>
        <v/>
      </c>
      <c r="C122" s="31" t="str">
        <f>IF('Add Change'!I127="","",+'Add Change'!I127)</f>
        <v/>
      </c>
      <c r="D122" s="253" t="str">
        <f>IF('Add Change'!W127="","",'Add Change'!W127)</f>
        <v/>
      </c>
      <c r="E122" s="31"/>
      <c r="F122" s="70"/>
      <c r="G122" s="253"/>
      <c r="H122" s="254" t="str">
        <f t="shared" si="19"/>
        <v/>
      </c>
      <c r="I122" s="255" t="str">
        <f t="shared" si="20"/>
        <v/>
      </c>
      <c r="J122" s="256"/>
      <c r="K122" s="257"/>
      <c r="L122" s="258" t="str">
        <f t="shared" si="33"/>
        <v/>
      </c>
      <c r="M122" s="259" t="str">
        <f t="shared" si="34"/>
        <v/>
      </c>
      <c r="N122" s="260" t="str">
        <f t="shared" si="18"/>
        <v/>
      </c>
      <c r="O122" s="261" t="str">
        <f t="shared" si="35"/>
        <v/>
      </c>
      <c r="P122" s="262" t="str">
        <f t="shared" si="36"/>
        <v/>
      </c>
      <c r="Q122" s="263" t="str">
        <f t="shared" si="45"/>
        <v/>
      </c>
      <c r="R122" s="263" t="str">
        <f t="shared" si="45"/>
        <v/>
      </c>
      <c r="S122" s="263" t="str">
        <f t="shared" si="45"/>
        <v/>
      </c>
      <c r="T122" s="263" t="str">
        <f t="shared" si="45"/>
        <v/>
      </c>
      <c r="U122" s="263" t="str">
        <f t="shared" si="45"/>
        <v/>
      </c>
      <c r="V122" s="263" t="str">
        <f t="shared" si="45"/>
        <v/>
      </c>
      <c r="W122" s="263" t="str">
        <f t="shared" si="37"/>
        <v/>
      </c>
      <c r="X122" s="30"/>
      <c r="Y122" s="264"/>
      <c r="Z122" s="30"/>
      <c r="AA122" s="61"/>
      <c r="AB122" s="62"/>
      <c r="AC122" s="263" t="str">
        <f t="shared" si="38"/>
        <v/>
      </c>
      <c r="AD122" s="263" t="str">
        <f t="shared" si="39"/>
        <v/>
      </c>
      <c r="AE122" s="263" t="str">
        <f t="shared" si="40"/>
        <v/>
      </c>
      <c r="AF122" s="263" t="str">
        <f t="shared" si="41"/>
        <v/>
      </c>
      <c r="AG122" s="263" t="str">
        <f t="shared" si="42"/>
        <v/>
      </c>
      <c r="AH122" s="263" t="str">
        <f t="shared" si="43"/>
        <v/>
      </c>
      <c r="AI122" s="263" t="str">
        <f t="shared" si="44"/>
        <v/>
      </c>
    </row>
    <row r="123" spans="1:35">
      <c r="A123" s="164">
        <v>106</v>
      </c>
      <c r="B123" s="60" t="str">
        <f>IF('Add Change'!D128="","",+'Add Change'!D128)</f>
        <v/>
      </c>
      <c r="C123" s="31" t="str">
        <f>IF('Add Change'!I128="","",+'Add Change'!I128)</f>
        <v/>
      </c>
      <c r="D123" s="253" t="str">
        <f>IF('Add Change'!W128="","",'Add Change'!W128)</f>
        <v/>
      </c>
      <c r="E123" s="31"/>
      <c r="F123" s="70"/>
      <c r="G123" s="253"/>
      <c r="H123" s="254" t="str">
        <f t="shared" si="19"/>
        <v/>
      </c>
      <c r="I123" s="255" t="str">
        <f t="shared" si="20"/>
        <v/>
      </c>
      <c r="J123" s="256"/>
      <c r="K123" s="257"/>
      <c r="L123" s="258" t="str">
        <f t="shared" si="33"/>
        <v/>
      </c>
      <c r="M123" s="259" t="str">
        <f t="shared" si="34"/>
        <v/>
      </c>
      <c r="N123" s="260" t="str">
        <f t="shared" si="18"/>
        <v/>
      </c>
      <c r="O123" s="261" t="str">
        <f t="shared" si="35"/>
        <v/>
      </c>
      <c r="P123" s="262" t="str">
        <f t="shared" si="36"/>
        <v/>
      </c>
      <c r="Q123" s="263" t="str">
        <f t="shared" si="45"/>
        <v/>
      </c>
      <c r="R123" s="263" t="str">
        <f t="shared" si="45"/>
        <v/>
      </c>
      <c r="S123" s="263" t="str">
        <f t="shared" si="45"/>
        <v/>
      </c>
      <c r="T123" s="263" t="str">
        <f t="shared" si="45"/>
        <v/>
      </c>
      <c r="U123" s="263" t="str">
        <f t="shared" si="45"/>
        <v/>
      </c>
      <c r="V123" s="263" t="str">
        <f t="shared" si="45"/>
        <v/>
      </c>
      <c r="W123" s="263" t="str">
        <f t="shared" si="37"/>
        <v/>
      </c>
      <c r="X123" s="30"/>
      <c r="Y123" s="264"/>
      <c r="Z123" s="30"/>
      <c r="AA123" s="61"/>
      <c r="AB123" s="62"/>
      <c r="AC123" s="263" t="str">
        <f t="shared" si="38"/>
        <v/>
      </c>
      <c r="AD123" s="263" t="str">
        <f t="shared" si="39"/>
        <v/>
      </c>
      <c r="AE123" s="263" t="str">
        <f t="shared" si="40"/>
        <v/>
      </c>
      <c r="AF123" s="263" t="str">
        <f t="shared" si="41"/>
        <v/>
      </c>
      <c r="AG123" s="263" t="str">
        <f t="shared" si="42"/>
        <v/>
      </c>
      <c r="AH123" s="263" t="str">
        <f t="shared" si="43"/>
        <v/>
      </c>
      <c r="AI123" s="263" t="str">
        <f t="shared" si="44"/>
        <v/>
      </c>
    </row>
    <row r="124" spans="1:35">
      <c r="A124" s="164">
        <v>107</v>
      </c>
      <c r="B124" s="60" t="str">
        <f>IF('Add Change'!D129="","",+'Add Change'!D129)</f>
        <v/>
      </c>
      <c r="C124" s="31" t="str">
        <f>IF('Add Change'!I129="","",+'Add Change'!I129)</f>
        <v/>
      </c>
      <c r="D124" s="253" t="str">
        <f>IF('Add Change'!W129="","",'Add Change'!W129)</f>
        <v/>
      </c>
      <c r="E124" s="31"/>
      <c r="F124" s="70"/>
      <c r="G124" s="253"/>
      <c r="H124" s="254" t="str">
        <f t="shared" si="19"/>
        <v/>
      </c>
      <c r="I124" s="255" t="str">
        <f t="shared" si="20"/>
        <v/>
      </c>
      <c r="J124" s="256"/>
      <c r="K124" s="257"/>
      <c r="L124" s="258" t="str">
        <f t="shared" si="33"/>
        <v/>
      </c>
      <c r="M124" s="259" t="str">
        <f t="shared" si="34"/>
        <v/>
      </c>
      <c r="N124" s="260" t="str">
        <f t="shared" si="18"/>
        <v/>
      </c>
      <c r="O124" s="261" t="str">
        <f t="shared" si="35"/>
        <v/>
      </c>
      <c r="P124" s="262" t="str">
        <f t="shared" si="36"/>
        <v/>
      </c>
      <c r="Q124" s="263" t="str">
        <f t="shared" si="45"/>
        <v/>
      </c>
      <c r="R124" s="263" t="str">
        <f t="shared" si="45"/>
        <v/>
      </c>
      <c r="S124" s="263" t="str">
        <f t="shared" si="45"/>
        <v/>
      </c>
      <c r="T124" s="263" t="str">
        <f t="shared" si="45"/>
        <v/>
      </c>
      <c r="U124" s="263" t="str">
        <f t="shared" si="45"/>
        <v/>
      </c>
      <c r="V124" s="263" t="str">
        <f t="shared" si="45"/>
        <v/>
      </c>
      <c r="W124" s="263" t="str">
        <f t="shared" si="37"/>
        <v/>
      </c>
      <c r="X124" s="30"/>
      <c r="Y124" s="264"/>
      <c r="Z124" s="30"/>
      <c r="AA124" s="61"/>
      <c r="AB124" s="62"/>
      <c r="AC124" s="263" t="str">
        <f t="shared" si="38"/>
        <v/>
      </c>
      <c r="AD124" s="263" t="str">
        <f t="shared" si="39"/>
        <v/>
      </c>
      <c r="AE124" s="263" t="str">
        <f t="shared" si="40"/>
        <v/>
      </c>
      <c r="AF124" s="263" t="str">
        <f t="shared" si="41"/>
        <v/>
      </c>
      <c r="AG124" s="263" t="str">
        <f t="shared" si="42"/>
        <v/>
      </c>
      <c r="AH124" s="263" t="str">
        <f t="shared" si="43"/>
        <v/>
      </c>
      <c r="AI124" s="263" t="str">
        <f t="shared" si="44"/>
        <v/>
      </c>
    </row>
    <row r="125" spans="1:35">
      <c r="A125" s="164">
        <v>108</v>
      </c>
      <c r="B125" s="60" t="str">
        <f>IF('Add Change'!D130="","",+'Add Change'!D130)</f>
        <v/>
      </c>
      <c r="C125" s="31" t="str">
        <f>IF('Add Change'!I130="","",+'Add Change'!I130)</f>
        <v/>
      </c>
      <c r="D125" s="253" t="str">
        <f>IF('Add Change'!W130="","",'Add Change'!W130)</f>
        <v/>
      </c>
      <c r="E125" s="31"/>
      <c r="F125" s="70"/>
      <c r="G125" s="253"/>
      <c r="H125" s="254" t="str">
        <f t="shared" si="19"/>
        <v/>
      </c>
      <c r="I125" s="255" t="str">
        <f t="shared" si="20"/>
        <v/>
      </c>
      <c r="J125" s="256"/>
      <c r="K125" s="257"/>
      <c r="L125" s="258" t="str">
        <f t="shared" si="33"/>
        <v/>
      </c>
      <c r="M125" s="259" t="str">
        <f t="shared" si="34"/>
        <v/>
      </c>
      <c r="N125" s="260" t="str">
        <f t="shared" si="18"/>
        <v/>
      </c>
      <c r="O125" s="261" t="str">
        <f t="shared" si="35"/>
        <v/>
      </c>
      <c r="P125" s="262" t="str">
        <f t="shared" si="36"/>
        <v/>
      </c>
      <c r="Q125" s="263" t="str">
        <f t="shared" si="45"/>
        <v/>
      </c>
      <c r="R125" s="263" t="str">
        <f t="shared" si="45"/>
        <v/>
      </c>
      <c r="S125" s="263" t="str">
        <f t="shared" si="45"/>
        <v/>
      </c>
      <c r="T125" s="263" t="str">
        <f t="shared" si="45"/>
        <v/>
      </c>
      <c r="U125" s="263" t="str">
        <f t="shared" si="45"/>
        <v/>
      </c>
      <c r="V125" s="263" t="str">
        <f t="shared" si="45"/>
        <v/>
      </c>
      <c r="W125" s="263" t="str">
        <f t="shared" si="37"/>
        <v/>
      </c>
      <c r="X125" s="30"/>
      <c r="Y125" s="264"/>
      <c r="Z125" s="30"/>
      <c r="AA125" s="61"/>
      <c r="AB125" s="62"/>
      <c r="AC125" s="263" t="str">
        <f t="shared" si="38"/>
        <v/>
      </c>
      <c r="AD125" s="263" t="str">
        <f t="shared" si="39"/>
        <v/>
      </c>
      <c r="AE125" s="263" t="str">
        <f t="shared" si="40"/>
        <v/>
      </c>
      <c r="AF125" s="263" t="str">
        <f t="shared" si="41"/>
        <v/>
      </c>
      <c r="AG125" s="263" t="str">
        <f t="shared" si="42"/>
        <v/>
      </c>
      <c r="AH125" s="263" t="str">
        <f t="shared" si="43"/>
        <v/>
      </c>
      <c r="AI125" s="263" t="str">
        <f t="shared" si="44"/>
        <v/>
      </c>
    </row>
    <row r="126" spans="1:35">
      <c r="A126" s="164">
        <v>109</v>
      </c>
      <c r="B126" s="60" t="str">
        <f>IF('Add Change'!D131="","",+'Add Change'!D131)</f>
        <v/>
      </c>
      <c r="C126" s="31" t="str">
        <f>IF('Add Change'!I131="","",+'Add Change'!I131)</f>
        <v/>
      </c>
      <c r="D126" s="253" t="str">
        <f>IF('Add Change'!W131="","",'Add Change'!W131)</f>
        <v/>
      </c>
      <c r="E126" s="31"/>
      <c r="F126" s="70"/>
      <c r="G126" s="253"/>
      <c r="H126" s="254" t="str">
        <f t="shared" si="19"/>
        <v/>
      </c>
      <c r="I126" s="255" t="str">
        <f t="shared" si="20"/>
        <v/>
      </c>
      <c r="J126" s="256"/>
      <c r="K126" s="257"/>
      <c r="L126" s="258" t="str">
        <f t="shared" si="33"/>
        <v/>
      </c>
      <c r="M126" s="259" t="str">
        <f t="shared" si="34"/>
        <v/>
      </c>
      <c r="N126" s="260" t="str">
        <f t="shared" si="18"/>
        <v/>
      </c>
      <c r="O126" s="261" t="str">
        <f t="shared" si="35"/>
        <v/>
      </c>
      <c r="P126" s="262" t="str">
        <f t="shared" si="36"/>
        <v/>
      </c>
      <c r="Q126" s="263" t="str">
        <f t="shared" si="45"/>
        <v/>
      </c>
      <c r="R126" s="263" t="str">
        <f t="shared" si="45"/>
        <v/>
      </c>
      <c r="S126" s="263" t="str">
        <f t="shared" si="45"/>
        <v/>
      </c>
      <c r="T126" s="263" t="str">
        <f t="shared" si="45"/>
        <v/>
      </c>
      <c r="U126" s="263" t="str">
        <f t="shared" si="45"/>
        <v/>
      </c>
      <c r="V126" s="263" t="str">
        <f t="shared" si="45"/>
        <v/>
      </c>
      <c r="W126" s="263" t="str">
        <f t="shared" si="37"/>
        <v/>
      </c>
      <c r="X126" s="30"/>
      <c r="Y126" s="264"/>
      <c r="Z126" s="30"/>
      <c r="AA126" s="61"/>
      <c r="AB126" s="62"/>
      <c r="AC126" s="263" t="str">
        <f t="shared" si="38"/>
        <v/>
      </c>
      <c r="AD126" s="263" t="str">
        <f t="shared" si="39"/>
        <v/>
      </c>
      <c r="AE126" s="263" t="str">
        <f t="shared" si="40"/>
        <v/>
      </c>
      <c r="AF126" s="263" t="str">
        <f t="shared" si="41"/>
        <v/>
      </c>
      <c r="AG126" s="263" t="str">
        <f t="shared" si="42"/>
        <v/>
      </c>
      <c r="AH126" s="263" t="str">
        <f t="shared" si="43"/>
        <v/>
      </c>
      <c r="AI126" s="263" t="str">
        <f t="shared" si="44"/>
        <v/>
      </c>
    </row>
    <row r="127" spans="1:35">
      <c r="A127" s="164">
        <v>110</v>
      </c>
      <c r="B127" s="60" t="str">
        <f>IF('Add Change'!D132="","",+'Add Change'!D132)</f>
        <v/>
      </c>
      <c r="C127" s="31" t="str">
        <f>IF('Add Change'!I132="","",+'Add Change'!I132)</f>
        <v/>
      </c>
      <c r="D127" s="253" t="str">
        <f>IF('Add Change'!W132="","",'Add Change'!W132)</f>
        <v/>
      </c>
      <c r="E127" s="31"/>
      <c r="F127" s="70"/>
      <c r="G127" s="253"/>
      <c r="H127" s="254" t="str">
        <f t="shared" si="19"/>
        <v/>
      </c>
      <c r="I127" s="255" t="str">
        <f t="shared" si="20"/>
        <v/>
      </c>
      <c r="J127" s="256"/>
      <c r="K127" s="257"/>
      <c r="L127" s="258" t="str">
        <f t="shared" si="33"/>
        <v/>
      </c>
      <c r="M127" s="259" t="str">
        <f t="shared" si="34"/>
        <v/>
      </c>
      <c r="N127" s="260" t="str">
        <f t="shared" si="18"/>
        <v/>
      </c>
      <c r="O127" s="261" t="str">
        <f t="shared" si="35"/>
        <v/>
      </c>
      <c r="P127" s="262" t="str">
        <f t="shared" si="36"/>
        <v/>
      </c>
      <c r="Q127" s="263" t="str">
        <f t="shared" si="45"/>
        <v/>
      </c>
      <c r="R127" s="263" t="str">
        <f t="shared" si="45"/>
        <v/>
      </c>
      <c r="S127" s="263" t="str">
        <f t="shared" si="45"/>
        <v/>
      </c>
      <c r="T127" s="263" t="str">
        <f t="shared" si="45"/>
        <v/>
      </c>
      <c r="U127" s="263" t="str">
        <f t="shared" si="45"/>
        <v/>
      </c>
      <c r="V127" s="263" t="str">
        <f t="shared" si="45"/>
        <v/>
      </c>
      <c r="W127" s="263" t="str">
        <f t="shared" si="37"/>
        <v/>
      </c>
      <c r="X127" s="30"/>
      <c r="Y127" s="264"/>
      <c r="Z127" s="30"/>
      <c r="AA127" s="61"/>
      <c r="AB127" s="62"/>
      <c r="AC127" s="263" t="str">
        <f t="shared" si="38"/>
        <v/>
      </c>
      <c r="AD127" s="263" t="str">
        <f t="shared" si="39"/>
        <v/>
      </c>
      <c r="AE127" s="263" t="str">
        <f t="shared" si="40"/>
        <v/>
      </c>
      <c r="AF127" s="263" t="str">
        <f t="shared" si="41"/>
        <v/>
      </c>
      <c r="AG127" s="263" t="str">
        <f t="shared" si="42"/>
        <v/>
      </c>
      <c r="AH127" s="263" t="str">
        <f t="shared" si="43"/>
        <v/>
      </c>
      <c r="AI127" s="263" t="str">
        <f t="shared" si="44"/>
        <v/>
      </c>
    </row>
    <row r="128" spans="1:35">
      <c r="A128" s="164">
        <v>111</v>
      </c>
      <c r="B128" s="60" t="str">
        <f>IF('Add Change'!D133="","",+'Add Change'!D133)</f>
        <v/>
      </c>
      <c r="C128" s="31" t="str">
        <f>IF('Add Change'!I133="","",+'Add Change'!I133)</f>
        <v/>
      </c>
      <c r="D128" s="253" t="str">
        <f>IF('Add Change'!W133="","",'Add Change'!W133)</f>
        <v/>
      </c>
      <c r="E128" s="31"/>
      <c r="F128" s="70"/>
      <c r="G128" s="253"/>
      <c r="H128" s="254" t="str">
        <f t="shared" si="19"/>
        <v/>
      </c>
      <c r="I128" s="255" t="str">
        <f t="shared" si="20"/>
        <v/>
      </c>
      <c r="J128" s="256"/>
      <c r="K128" s="257"/>
      <c r="L128" s="258" t="str">
        <f t="shared" si="33"/>
        <v/>
      </c>
      <c r="M128" s="259" t="str">
        <f t="shared" si="34"/>
        <v/>
      </c>
      <c r="N128" s="260" t="str">
        <f t="shared" si="18"/>
        <v/>
      </c>
      <c r="O128" s="261" t="str">
        <f t="shared" si="35"/>
        <v/>
      </c>
      <c r="P128" s="262" t="str">
        <f t="shared" si="36"/>
        <v/>
      </c>
      <c r="Q128" s="263" t="str">
        <f t="shared" si="45"/>
        <v/>
      </c>
      <c r="R128" s="263" t="str">
        <f t="shared" si="45"/>
        <v/>
      </c>
      <c r="S128" s="263" t="str">
        <f t="shared" si="45"/>
        <v/>
      </c>
      <c r="T128" s="263" t="str">
        <f t="shared" si="45"/>
        <v/>
      </c>
      <c r="U128" s="263" t="str">
        <f t="shared" si="45"/>
        <v/>
      </c>
      <c r="V128" s="263" t="str">
        <f t="shared" si="45"/>
        <v/>
      </c>
      <c r="W128" s="263" t="str">
        <f t="shared" si="37"/>
        <v/>
      </c>
      <c r="X128" s="30"/>
      <c r="Y128" s="264"/>
      <c r="Z128" s="30"/>
      <c r="AA128" s="61"/>
      <c r="AB128" s="62"/>
      <c r="AC128" s="263" t="str">
        <f t="shared" si="38"/>
        <v/>
      </c>
      <c r="AD128" s="263" t="str">
        <f t="shared" si="39"/>
        <v/>
      </c>
      <c r="AE128" s="263" t="str">
        <f t="shared" si="40"/>
        <v/>
      </c>
      <c r="AF128" s="263" t="str">
        <f t="shared" si="41"/>
        <v/>
      </c>
      <c r="AG128" s="263" t="str">
        <f t="shared" si="42"/>
        <v/>
      </c>
      <c r="AH128" s="263" t="str">
        <f t="shared" si="43"/>
        <v/>
      </c>
      <c r="AI128" s="263" t="str">
        <f t="shared" si="44"/>
        <v/>
      </c>
    </row>
    <row r="129" spans="1:35">
      <c r="A129" s="164">
        <v>112</v>
      </c>
      <c r="B129" s="60" t="str">
        <f>IF('Add Change'!D134="","",+'Add Change'!D134)</f>
        <v/>
      </c>
      <c r="C129" s="31" t="str">
        <f>IF('Add Change'!I134="","",+'Add Change'!I134)</f>
        <v/>
      </c>
      <c r="D129" s="253" t="str">
        <f>IF('Add Change'!W134="","",'Add Change'!W134)</f>
        <v/>
      </c>
      <c r="E129" s="31"/>
      <c r="F129" s="70"/>
      <c r="G129" s="253"/>
      <c r="H129" s="254" t="str">
        <f t="shared" si="19"/>
        <v/>
      </c>
      <c r="I129" s="255" t="str">
        <f t="shared" si="20"/>
        <v/>
      </c>
      <c r="J129" s="256"/>
      <c r="K129" s="257"/>
      <c r="L129" s="258" t="str">
        <f t="shared" si="33"/>
        <v/>
      </c>
      <c r="M129" s="259" t="str">
        <f t="shared" si="34"/>
        <v/>
      </c>
      <c r="N129" s="260" t="str">
        <f t="shared" si="18"/>
        <v/>
      </c>
      <c r="O129" s="261" t="str">
        <f t="shared" si="35"/>
        <v/>
      </c>
      <c r="P129" s="262" t="str">
        <f t="shared" si="36"/>
        <v/>
      </c>
      <c r="Q129" s="263" t="str">
        <f t="shared" si="45"/>
        <v/>
      </c>
      <c r="R129" s="263" t="str">
        <f t="shared" si="45"/>
        <v/>
      </c>
      <c r="S129" s="263" t="str">
        <f t="shared" si="45"/>
        <v/>
      </c>
      <c r="T129" s="263" t="str">
        <f t="shared" si="45"/>
        <v/>
      </c>
      <c r="U129" s="263" t="str">
        <f t="shared" si="45"/>
        <v/>
      </c>
      <c r="V129" s="263" t="str">
        <f t="shared" si="45"/>
        <v/>
      </c>
      <c r="W129" s="263" t="str">
        <f t="shared" si="37"/>
        <v/>
      </c>
      <c r="X129" s="30"/>
      <c r="Y129" s="264"/>
      <c r="Z129" s="30"/>
      <c r="AA129" s="61"/>
      <c r="AB129" s="62"/>
      <c r="AC129" s="263" t="str">
        <f t="shared" si="38"/>
        <v/>
      </c>
      <c r="AD129" s="263" t="str">
        <f t="shared" si="39"/>
        <v/>
      </c>
      <c r="AE129" s="263" t="str">
        <f t="shared" si="40"/>
        <v/>
      </c>
      <c r="AF129" s="263" t="str">
        <f t="shared" si="41"/>
        <v/>
      </c>
      <c r="AG129" s="263" t="str">
        <f t="shared" si="42"/>
        <v/>
      </c>
      <c r="AH129" s="263" t="str">
        <f t="shared" si="43"/>
        <v/>
      </c>
      <c r="AI129" s="263" t="str">
        <f t="shared" si="44"/>
        <v/>
      </c>
    </row>
    <row r="130" spans="1:35">
      <c r="A130" s="164">
        <v>113</v>
      </c>
      <c r="B130" s="60" t="str">
        <f>IF('Add Change'!D135="","",+'Add Change'!D135)</f>
        <v/>
      </c>
      <c r="C130" s="31" t="str">
        <f>IF('Add Change'!I135="","",+'Add Change'!I135)</f>
        <v/>
      </c>
      <c r="D130" s="253" t="str">
        <f>IF('Add Change'!W135="","",'Add Change'!W135)</f>
        <v/>
      </c>
      <c r="E130" s="31"/>
      <c r="F130" s="70"/>
      <c r="G130" s="253"/>
      <c r="H130" s="254" t="str">
        <f t="shared" si="19"/>
        <v/>
      </c>
      <c r="I130" s="255" t="str">
        <f t="shared" si="20"/>
        <v/>
      </c>
      <c r="J130" s="256"/>
      <c r="K130" s="257"/>
      <c r="L130" s="258" t="str">
        <f t="shared" si="33"/>
        <v/>
      </c>
      <c r="M130" s="259" t="str">
        <f t="shared" si="34"/>
        <v/>
      </c>
      <c r="N130" s="260" t="str">
        <f t="shared" si="18"/>
        <v/>
      </c>
      <c r="O130" s="261" t="str">
        <f t="shared" si="35"/>
        <v/>
      </c>
      <c r="P130" s="262" t="str">
        <f t="shared" si="36"/>
        <v/>
      </c>
      <c r="Q130" s="263" t="str">
        <f t="shared" si="45"/>
        <v/>
      </c>
      <c r="R130" s="263" t="str">
        <f t="shared" si="45"/>
        <v/>
      </c>
      <c r="S130" s="263" t="str">
        <f t="shared" si="45"/>
        <v/>
      </c>
      <c r="T130" s="263" t="str">
        <f t="shared" si="45"/>
        <v/>
      </c>
      <c r="U130" s="263" t="str">
        <f t="shared" si="45"/>
        <v/>
      </c>
      <c r="V130" s="263" t="str">
        <f t="shared" si="45"/>
        <v/>
      </c>
      <c r="W130" s="263" t="str">
        <f t="shared" si="37"/>
        <v/>
      </c>
      <c r="X130" s="30"/>
      <c r="Y130" s="264"/>
      <c r="Z130" s="30"/>
      <c r="AA130" s="61"/>
      <c r="AB130" s="62"/>
      <c r="AC130" s="263" t="str">
        <f t="shared" si="38"/>
        <v/>
      </c>
      <c r="AD130" s="263" t="str">
        <f t="shared" si="39"/>
        <v/>
      </c>
      <c r="AE130" s="263" t="str">
        <f t="shared" si="40"/>
        <v/>
      </c>
      <c r="AF130" s="263" t="str">
        <f t="shared" si="41"/>
        <v/>
      </c>
      <c r="AG130" s="263" t="str">
        <f t="shared" si="42"/>
        <v/>
      </c>
      <c r="AH130" s="263" t="str">
        <f t="shared" si="43"/>
        <v/>
      </c>
      <c r="AI130" s="263" t="str">
        <f t="shared" si="44"/>
        <v/>
      </c>
    </row>
    <row r="131" spans="1:35">
      <c r="A131" s="164">
        <v>114</v>
      </c>
      <c r="B131" s="60" t="str">
        <f>IF('Add Change'!D136="","",+'Add Change'!D136)</f>
        <v/>
      </c>
      <c r="C131" s="31" t="str">
        <f>IF('Add Change'!I136="","",+'Add Change'!I136)</f>
        <v/>
      </c>
      <c r="D131" s="253" t="str">
        <f>IF('Add Change'!W136="","",'Add Change'!W136)</f>
        <v/>
      </c>
      <c r="E131" s="31"/>
      <c r="F131" s="70"/>
      <c r="G131" s="253"/>
      <c r="H131" s="254" t="str">
        <f t="shared" si="19"/>
        <v/>
      </c>
      <c r="I131" s="255" t="str">
        <f t="shared" si="20"/>
        <v/>
      </c>
      <c r="J131" s="256"/>
      <c r="K131" s="257"/>
      <c r="L131" s="258" t="str">
        <f t="shared" si="33"/>
        <v/>
      </c>
      <c r="M131" s="259" t="str">
        <f t="shared" si="34"/>
        <v/>
      </c>
      <c r="N131" s="260" t="str">
        <f t="shared" si="18"/>
        <v/>
      </c>
      <c r="O131" s="261" t="str">
        <f t="shared" si="35"/>
        <v/>
      </c>
      <c r="P131" s="262" t="str">
        <f t="shared" si="36"/>
        <v/>
      </c>
      <c r="Q131" s="263" t="str">
        <f t="shared" si="45"/>
        <v/>
      </c>
      <c r="R131" s="263" t="str">
        <f t="shared" si="45"/>
        <v/>
      </c>
      <c r="S131" s="263" t="str">
        <f t="shared" si="45"/>
        <v/>
      </c>
      <c r="T131" s="263" t="str">
        <f t="shared" si="45"/>
        <v/>
      </c>
      <c r="U131" s="263" t="str">
        <f t="shared" si="45"/>
        <v/>
      </c>
      <c r="V131" s="263" t="str">
        <f t="shared" si="45"/>
        <v/>
      </c>
      <c r="W131" s="263" t="str">
        <f t="shared" si="37"/>
        <v/>
      </c>
      <c r="X131" s="30"/>
      <c r="Y131" s="264"/>
      <c r="Z131" s="30"/>
      <c r="AA131" s="61"/>
      <c r="AB131" s="62"/>
      <c r="AC131" s="263" t="str">
        <f t="shared" si="38"/>
        <v/>
      </c>
      <c r="AD131" s="263" t="str">
        <f t="shared" si="39"/>
        <v/>
      </c>
      <c r="AE131" s="263" t="str">
        <f t="shared" si="40"/>
        <v/>
      </c>
      <c r="AF131" s="263" t="str">
        <f t="shared" si="41"/>
        <v/>
      </c>
      <c r="AG131" s="263" t="str">
        <f t="shared" si="42"/>
        <v/>
      </c>
      <c r="AH131" s="263" t="str">
        <f t="shared" si="43"/>
        <v/>
      </c>
      <c r="AI131" s="263" t="str">
        <f t="shared" si="44"/>
        <v/>
      </c>
    </row>
    <row r="132" spans="1:35">
      <c r="A132" s="164">
        <v>115</v>
      </c>
      <c r="B132" s="60" t="str">
        <f>IF('Add Change'!D137="","",+'Add Change'!D137)</f>
        <v/>
      </c>
      <c r="C132" s="31" t="str">
        <f>IF('Add Change'!I137="","",+'Add Change'!I137)</f>
        <v/>
      </c>
      <c r="D132" s="253" t="str">
        <f>IF('Add Change'!W137="","",'Add Change'!W137)</f>
        <v/>
      </c>
      <c r="E132" s="31"/>
      <c r="F132" s="70"/>
      <c r="G132" s="253"/>
      <c r="H132" s="254" t="str">
        <f t="shared" si="19"/>
        <v/>
      </c>
      <c r="I132" s="255" t="str">
        <f t="shared" si="20"/>
        <v/>
      </c>
      <c r="J132" s="256"/>
      <c r="K132" s="257"/>
      <c r="L132" s="258" t="str">
        <f t="shared" si="33"/>
        <v/>
      </c>
      <c r="M132" s="259" t="str">
        <f t="shared" si="34"/>
        <v/>
      </c>
      <c r="N132" s="260" t="str">
        <f t="shared" si="18"/>
        <v/>
      </c>
      <c r="O132" s="261" t="str">
        <f t="shared" si="35"/>
        <v/>
      </c>
      <c r="P132" s="262" t="str">
        <f t="shared" si="36"/>
        <v/>
      </c>
      <c r="Q132" s="263" t="str">
        <f t="shared" si="45"/>
        <v/>
      </c>
      <c r="R132" s="263" t="str">
        <f t="shared" si="45"/>
        <v/>
      </c>
      <c r="S132" s="263" t="str">
        <f t="shared" si="45"/>
        <v/>
      </c>
      <c r="T132" s="263" t="str">
        <f t="shared" si="45"/>
        <v/>
      </c>
      <c r="U132" s="263" t="str">
        <f t="shared" si="45"/>
        <v/>
      </c>
      <c r="V132" s="263" t="str">
        <f t="shared" si="45"/>
        <v/>
      </c>
      <c r="W132" s="263" t="str">
        <f t="shared" si="37"/>
        <v/>
      </c>
      <c r="X132" s="30"/>
      <c r="Y132" s="264"/>
      <c r="Z132" s="30"/>
      <c r="AA132" s="61"/>
      <c r="AB132" s="62"/>
      <c r="AC132" s="263" t="str">
        <f t="shared" si="38"/>
        <v/>
      </c>
      <c r="AD132" s="263" t="str">
        <f t="shared" si="39"/>
        <v/>
      </c>
      <c r="AE132" s="263" t="str">
        <f t="shared" si="40"/>
        <v/>
      </c>
      <c r="AF132" s="263" t="str">
        <f t="shared" si="41"/>
        <v/>
      </c>
      <c r="AG132" s="263" t="str">
        <f t="shared" si="42"/>
        <v/>
      </c>
      <c r="AH132" s="263" t="str">
        <f t="shared" si="43"/>
        <v/>
      </c>
      <c r="AI132" s="263" t="str">
        <f t="shared" si="44"/>
        <v/>
      </c>
    </row>
    <row r="133" spans="1:35">
      <c r="A133" s="164">
        <v>116</v>
      </c>
      <c r="B133" s="60" t="str">
        <f>IF('Add Change'!D138="","",+'Add Change'!D138)</f>
        <v/>
      </c>
      <c r="C133" s="31" t="str">
        <f>IF('Add Change'!I138="","",+'Add Change'!I138)</f>
        <v/>
      </c>
      <c r="D133" s="253" t="str">
        <f>IF('Add Change'!W138="","",'Add Change'!W138)</f>
        <v/>
      </c>
      <c r="E133" s="31"/>
      <c r="F133" s="70"/>
      <c r="G133" s="253"/>
      <c r="H133" s="254" t="str">
        <f t="shared" si="19"/>
        <v/>
      </c>
      <c r="I133" s="255" t="str">
        <f t="shared" si="20"/>
        <v/>
      </c>
      <c r="J133" s="256"/>
      <c r="K133" s="257"/>
      <c r="L133" s="258" t="str">
        <f t="shared" si="33"/>
        <v/>
      </c>
      <c r="M133" s="259" t="str">
        <f t="shared" si="34"/>
        <v/>
      </c>
      <c r="N133" s="260" t="str">
        <f t="shared" si="18"/>
        <v/>
      </c>
      <c r="O133" s="261" t="str">
        <f t="shared" si="35"/>
        <v/>
      </c>
      <c r="P133" s="262" t="str">
        <f t="shared" si="36"/>
        <v/>
      </c>
      <c r="Q133" s="263" t="str">
        <f t="shared" si="45"/>
        <v/>
      </c>
      <c r="R133" s="263" t="str">
        <f t="shared" si="45"/>
        <v/>
      </c>
      <c r="S133" s="263" t="str">
        <f t="shared" si="45"/>
        <v/>
      </c>
      <c r="T133" s="263" t="str">
        <f t="shared" si="45"/>
        <v/>
      </c>
      <c r="U133" s="263" t="str">
        <f t="shared" si="45"/>
        <v/>
      </c>
      <c r="V133" s="263" t="str">
        <f t="shared" si="45"/>
        <v/>
      </c>
      <c r="W133" s="263" t="str">
        <f t="shared" si="37"/>
        <v/>
      </c>
      <c r="X133" s="30"/>
      <c r="Y133" s="264"/>
      <c r="Z133" s="30"/>
      <c r="AA133" s="61"/>
      <c r="AB133" s="62"/>
      <c r="AC133" s="263" t="str">
        <f t="shared" si="38"/>
        <v/>
      </c>
      <c r="AD133" s="263" t="str">
        <f t="shared" si="39"/>
        <v/>
      </c>
      <c r="AE133" s="263" t="str">
        <f t="shared" si="40"/>
        <v/>
      </c>
      <c r="AF133" s="263" t="str">
        <f t="shared" si="41"/>
        <v/>
      </c>
      <c r="AG133" s="263" t="str">
        <f t="shared" si="42"/>
        <v/>
      </c>
      <c r="AH133" s="263" t="str">
        <f t="shared" si="43"/>
        <v/>
      </c>
      <c r="AI133" s="263" t="str">
        <f t="shared" si="44"/>
        <v/>
      </c>
    </row>
    <row r="134" spans="1:35">
      <c r="A134" s="164">
        <v>117</v>
      </c>
      <c r="B134" s="60" t="str">
        <f>IF('Add Change'!D139="","",+'Add Change'!D139)</f>
        <v/>
      </c>
      <c r="C134" s="31" t="str">
        <f>IF('Add Change'!I139="","",+'Add Change'!I139)</f>
        <v/>
      </c>
      <c r="D134" s="253" t="str">
        <f>IF('Add Change'!W139="","",'Add Change'!W139)</f>
        <v/>
      </c>
      <c r="E134" s="31"/>
      <c r="F134" s="70"/>
      <c r="G134" s="253"/>
      <c r="H134" s="254" t="str">
        <f t="shared" si="19"/>
        <v/>
      </c>
      <c r="I134" s="255" t="str">
        <f t="shared" si="20"/>
        <v/>
      </c>
      <c r="J134" s="256"/>
      <c r="K134" s="257"/>
      <c r="L134" s="258" t="str">
        <f t="shared" si="33"/>
        <v/>
      </c>
      <c r="M134" s="259" t="str">
        <f t="shared" si="34"/>
        <v/>
      </c>
      <c r="N134" s="260" t="str">
        <f t="shared" si="18"/>
        <v/>
      </c>
      <c r="O134" s="261" t="str">
        <f t="shared" si="35"/>
        <v/>
      </c>
      <c r="P134" s="262" t="str">
        <f t="shared" si="36"/>
        <v/>
      </c>
      <c r="Q134" s="263" t="str">
        <f t="shared" si="45"/>
        <v/>
      </c>
      <c r="R134" s="263" t="str">
        <f t="shared" si="45"/>
        <v/>
      </c>
      <c r="S134" s="263" t="str">
        <f t="shared" si="45"/>
        <v/>
      </c>
      <c r="T134" s="263" t="str">
        <f t="shared" si="45"/>
        <v/>
      </c>
      <c r="U134" s="263" t="str">
        <f t="shared" si="45"/>
        <v/>
      </c>
      <c r="V134" s="263" t="str">
        <f t="shared" si="45"/>
        <v/>
      </c>
      <c r="W134" s="263" t="str">
        <f t="shared" si="37"/>
        <v/>
      </c>
      <c r="X134" s="30"/>
      <c r="Y134" s="264"/>
      <c r="Z134" s="30"/>
      <c r="AA134" s="61"/>
      <c r="AB134" s="62"/>
      <c r="AC134" s="263" t="str">
        <f t="shared" si="38"/>
        <v/>
      </c>
      <c r="AD134" s="263" t="str">
        <f t="shared" si="39"/>
        <v/>
      </c>
      <c r="AE134" s="263" t="str">
        <f t="shared" si="40"/>
        <v/>
      </c>
      <c r="AF134" s="263" t="str">
        <f t="shared" si="41"/>
        <v/>
      </c>
      <c r="AG134" s="263" t="str">
        <f t="shared" si="42"/>
        <v/>
      </c>
      <c r="AH134" s="263" t="str">
        <f t="shared" si="43"/>
        <v/>
      </c>
      <c r="AI134" s="263" t="str">
        <f t="shared" si="44"/>
        <v/>
      </c>
    </row>
    <row r="135" spans="1:35">
      <c r="A135" s="164">
        <v>118</v>
      </c>
      <c r="B135" s="60" t="str">
        <f>IF('Add Change'!D140="","",+'Add Change'!D140)</f>
        <v/>
      </c>
      <c r="C135" s="31" t="str">
        <f>IF('Add Change'!I140="","",+'Add Change'!I140)</f>
        <v/>
      </c>
      <c r="D135" s="253" t="str">
        <f>IF('Add Change'!W140="","",'Add Change'!W140)</f>
        <v/>
      </c>
      <c r="E135" s="31"/>
      <c r="F135" s="70"/>
      <c r="G135" s="253"/>
      <c r="H135" s="254" t="str">
        <f t="shared" si="19"/>
        <v/>
      </c>
      <c r="I135" s="255" t="str">
        <f t="shared" si="20"/>
        <v/>
      </c>
      <c r="J135" s="256"/>
      <c r="K135" s="257"/>
      <c r="L135" s="258" t="str">
        <f t="shared" si="33"/>
        <v/>
      </c>
      <c r="M135" s="259" t="str">
        <f t="shared" si="34"/>
        <v/>
      </c>
      <c r="N135" s="260" t="str">
        <f t="shared" si="18"/>
        <v/>
      </c>
      <c r="O135" s="261" t="str">
        <f t="shared" si="35"/>
        <v/>
      </c>
      <c r="P135" s="262" t="str">
        <f t="shared" si="36"/>
        <v/>
      </c>
      <c r="Q135" s="263" t="str">
        <f t="shared" si="45"/>
        <v/>
      </c>
      <c r="R135" s="263" t="str">
        <f t="shared" si="45"/>
        <v/>
      </c>
      <c r="S135" s="263" t="str">
        <f t="shared" si="45"/>
        <v/>
      </c>
      <c r="T135" s="263" t="str">
        <f t="shared" si="45"/>
        <v/>
      </c>
      <c r="U135" s="263" t="str">
        <f t="shared" si="45"/>
        <v/>
      </c>
      <c r="V135" s="263" t="str">
        <f t="shared" si="45"/>
        <v/>
      </c>
      <c r="W135" s="263" t="str">
        <f t="shared" si="37"/>
        <v/>
      </c>
      <c r="X135" s="30"/>
      <c r="Y135" s="264"/>
      <c r="Z135" s="30"/>
      <c r="AA135" s="61"/>
      <c r="AB135" s="62"/>
      <c r="AC135" s="263" t="str">
        <f t="shared" si="38"/>
        <v/>
      </c>
      <c r="AD135" s="263" t="str">
        <f t="shared" si="39"/>
        <v/>
      </c>
      <c r="AE135" s="263" t="str">
        <f t="shared" si="40"/>
        <v/>
      </c>
      <c r="AF135" s="263" t="str">
        <f t="shared" si="41"/>
        <v/>
      </c>
      <c r="AG135" s="263" t="str">
        <f t="shared" si="42"/>
        <v/>
      </c>
      <c r="AH135" s="263" t="str">
        <f t="shared" si="43"/>
        <v/>
      </c>
      <c r="AI135" s="263" t="str">
        <f t="shared" si="44"/>
        <v/>
      </c>
    </row>
    <row r="136" spans="1:35">
      <c r="A136" s="164">
        <v>119</v>
      </c>
      <c r="B136" s="60" t="str">
        <f>IF('Add Change'!D141="","",+'Add Change'!D141)</f>
        <v/>
      </c>
      <c r="C136" s="31" t="str">
        <f>IF('Add Change'!I141="","",+'Add Change'!I141)</f>
        <v/>
      </c>
      <c r="D136" s="253" t="str">
        <f>IF('Add Change'!W141="","",'Add Change'!W141)</f>
        <v/>
      </c>
      <c r="E136" s="31"/>
      <c r="F136" s="70"/>
      <c r="G136" s="253"/>
      <c r="H136" s="254" t="str">
        <f t="shared" si="19"/>
        <v/>
      </c>
      <c r="I136" s="255" t="str">
        <f t="shared" si="20"/>
        <v/>
      </c>
      <c r="J136" s="256"/>
      <c r="K136" s="257"/>
      <c r="L136" s="258" t="str">
        <f t="shared" si="33"/>
        <v/>
      </c>
      <c r="M136" s="259" t="str">
        <f t="shared" si="34"/>
        <v/>
      </c>
      <c r="N136" s="260" t="str">
        <f t="shared" si="18"/>
        <v/>
      </c>
      <c r="O136" s="261" t="str">
        <f t="shared" si="35"/>
        <v/>
      </c>
      <c r="P136" s="262" t="str">
        <f t="shared" si="36"/>
        <v/>
      </c>
      <c r="Q136" s="263" t="str">
        <f t="shared" si="45"/>
        <v/>
      </c>
      <c r="R136" s="263" t="str">
        <f t="shared" si="45"/>
        <v/>
      </c>
      <c r="S136" s="263" t="str">
        <f t="shared" si="45"/>
        <v/>
      </c>
      <c r="T136" s="263" t="str">
        <f t="shared" si="45"/>
        <v/>
      </c>
      <c r="U136" s="263" t="str">
        <f t="shared" si="45"/>
        <v/>
      </c>
      <c r="V136" s="263" t="str">
        <f t="shared" si="45"/>
        <v/>
      </c>
      <c r="W136" s="263" t="str">
        <f t="shared" si="37"/>
        <v/>
      </c>
      <c r="X136" s="30"/>
      <c r="Y136" s="264"/>
      <c r="Z136" s="30"/>
      <c r="AA136" s="61"/>
      <c r="AB136" s="62"/>
      <c r="AC136" s="263" t="str">
        <f t="shared" si="38"/>
        <v/>
      </c>
      <c r="AD136" s="263" t="str">
        <f t="shared" si="39"/>
        <v/>
      </c>
      <c r="AE136" s="263" t="str">
        <f t="shared" si="40"/>
        <v/>
      </c>
      <c r="AF136" s="263" t="str">
        <f t="shared" si="41"/>
        <v/>
      </c>
      <c r="AG136" s="263" t="str">
        <f t="shared" si="42"/>
        <v/>
      </c>
      <c r="AH136" s="263" t="str">
        <f t="shared" si="43"/>
        <v/>
      </c>
      <c r="AI136" s="263" t="str">
        <f t="shared" si="44"/>
        <v/>
      </c>
    </row>
    <row r="137" spans="1:35">
      <c r="A137" s="164">
        <v>120</v>
      </c>
      <c r="B137" s="60" t="str">
        <f>IF('Add Change'!D142="","",+'Add Change'!D142)</f>
        <v/>
      </c>
      <c r="C137" s="31" t="str">
        <f>IF('Add Change'!I142="","",+'Add Change'!I142)</f>
        <v/>
      </c>
      <c r="D137" s="253" t="str">
        <f>IF('Add Change'!W142="","",'Add Change'!W142)</f>
        <v/>
      </c>
      <c r="E137" s="31"/>
      <c r="F137" s="70"/>
      <c r="G137" s="253"/>
      <c r="H137" s="254" t="str">
        <f t="shared" si="19"/>
        <v/>
      </c>
      <c r="I137" s="255" t="str">
        <f t="shared" si="20"/>
        <v/>
      </c>
      <c r="J137" s="256"/>
      <c r="K137" s="257"/>
      <c r="L137" s="258" t="str">
        <f t="shared" si="33"/>
        <v/>
      </c>
      <c r="M137" s="259" t="str">
        <f t="shared" si="34"/>
        <v/>
      </c>
      <c r="N137" s="260" t="str">
        <f t="shared" si="18"/>
        <v/>
      </c>
      <c r="O137" s="261" t="str">
        <f t="shared" si="35"/>
        <v/>
      </c>
      <c r="P137" s="262" t="str">
        <f t="shared" si="36"/>
        <v/>
      </c>
      <c r="Q137" s="263" t="str">
        <f t="shared" si="45"/>
        <v/>
      </c>
      <c r="R137" s="263" t="str">
        <f t="shared" si="45"/>
        <v/>
      </c>
      <c r="S137" s="263" t="str">
        <f t="shared" si="45"/>
        <v/>
      </c>
      <c r="T137" s="263" t="str">
        <f t="shared" si="45"/>
        <v/>
      </c>
      <c r="U137" s="263" t="str">
        <f t="shared" si="45"/>
        <v/>
      </c>
      <c r="V137" s="263" t="str">
        <f t="shared" si="45"/>
        <v/>
      </c>
      <c r="W137" s="263" t="str">
        <f t="shared" si="37"/>
        <v/>
      </c>
      <c r="X137" s="30"/>
      <c r="Y137" s="264"/>
      <c r="Z137" s="30"/>
      <c r="AA137" s="61"/>
      <c r="AB137" s="62"/>
      <c r="AC137" s="263" t="str">
        <f t="shared" si="38"/>
        <v/>
      </c>
      <c r="AD137" s="263" t="str">
        <f t="shared" si="39"/>
        <v/>
      </c>
      <c r="AE137" s="263" t="str">
        <f t="shared" si="40"/>
        <v/>
      </c>
      <c r="AF137" s="263" t="str">
        <f t="shared" si="41"/>
        <v/>
      </c>
      <c r="AG137" s="263" t="str">
        <f t="shared" si="42"/>
        <v/>
      </c>
      <c r="AH137" s="263" t="str">
        <f t="shared" si="43"/>
        <v/>
      </c>
      <c r="AI137" s="263" t="str">
        <f t="shared" si="44"/>
        <v/>
      </c>
    </row>
    <row r="138" spans="1:35">
      <c r="A138" s="164">
        <v>121</v>
      </c>
      <c r="B138" s="60" t="str">
        <f>IF('Add Change'!D143="","",+'Add Change'!D143)</f>
        <v/>
      </c>
      <c r="C138" s="31" t="str">
        <f>IF('Add Change'!I143="","",+'Add Change'!I143)</f>
        <v/>
      </c>
      <c r="D138" s="253" t="str">
        <f>IF('Add Change'!W143="","",'Add Change'!W143)</f>
        <v/>
      </c>
      <c r="E138" s="31"/>
      <c r="F138" s="70"/>
      <c r="G138" s="253"/>
      <c r="H138" s="254" t="str">
        <f t="shared" si="19"/>
        <v/>
      </c>
      <c r="I138" s="255" t="str">
        <f t="shared" si="20"/>
        <v/>
      </c>
      <c r="J138" s="256"/>
      <c r="K138" s="257"/>
      <c r="L138" s="258" t="str">
        <f t="shared" si="33"/>
        <v/>
      </c>
      <c r="M138" s="259" t="str">
        <f t="shared" si="34"/>
        <v/>
      </c>
      <c r="N138" s="260" t="str">
        <f t="shared" si="18"/>
        <v/>
      </c>
      <c r="O138" s="261" t="str">
        <f t="shared" si="35"/>
        <v/>
      </c>
      <c r="P138" s="262" t="str">
        <f t="shared" si="36"/>
        <v/>
      </c>
      <c r="Q138" s="263" t="str">
        <f t="shared" si="45"/>
        <v/>
      </c>
      <c r="R138" s="263" t="str">
        <f t="shared" si="45"/>
        <v/>
      </c>
      <c r="S138" s="263" t="str">
        <f t="shared" si="45"/>
        <v/>
      </c>
      <c r="T138" s="263" t="str">
        <f t="shared" si="45"/>
        <v/>
      </c>
      <c r="U138" s="263" t="str">
        <f t="shared" si="45"/>
        <v/>
      </c>
      <c r="V138" s="263" t="str">
        <f t="shared" si="45"/>
        <v/>
      </c>
      <c r="W138" s="263" t="str">
        <f t="shared" si="37"/>
        <v/>
      </c>
      <c r="X138" s="30"/>
      <c r="Y138" s="264"/>
      <c r="Z138" s="30"/>
      <c r="AA138" s="61"/>
      <c r="AB138" s="62"/>
      <c r="AC138" s="263" t="str">
        <f t="shared" si="38"/>
        <v/>
      </c>
      <c r="AD138" s="263" t="str">
        <f t="shared" si="39"/>
        <v/>
      </c>
      <c r="AE138" s="263" t="str">
        <f t="shared" si="40"/>
        <v/>
      </c>
      <c r="AF138" s="263" t="str">
        <f t="shared" si="41"/>
        <v/>
      </c>
      <c r="AG138" s="263" t="str">
        <f t="shared" si="42"/>
        <v/>
      </c>
      <c r="AH138" s="263" t="str">
        <f t="shared" si="43"/>
        <v/>
      </c>
      <c r="AI138" s="263" t="str">
        <f t="shared" si="44"/>
        <v/>
      </c>
    </row>
    <row r="139" spans="1:35">
      <c r="A139" s="164">
        <v>122</v>
      </c>
      <c r="B139" s="60" t="str">
        <f>IF('Add Change'!D144="","",+'Add Change'!D144)</f>
        <v/>
      </c>
      <c r="C139" s="31" t="str">
        <f>IF('Add Change'!I144="","",+'Add Change'!I144)</f>
        <v/>
      </c>
      <c r="D139" s="253" t="str">
        <f>IF('Add Change'!W144="","",'Add Change'!W144)</f>
        <v/>
      </c>
      <c r="E139" s="31"/>
      <c r="F139" s="70"/>
      <c r="G139" s="253"/>
      <c r="H139" s="254" t="str">
        <f t="shared" si="19"/>
        <v/>
      </c>
      <c r="I139" s="255" t="str">
        <f t="shared" si="20"/>
        <v/>
      </c>
      <c r="J139" s="256"/>
      <c r="K139" s="257"/>
      <c r="L139" s="258" t="str">
        <f t="shared" si="33"/>
        <v/>
      </c>
      <c r="M139" s="259" t="str">
        <f t="shared" si="34"/>
        <v/>
      </c>
      <c r="N139" s="260" t="str">
        <f t="shared" si="18"/>
        <v/>
      </c>
      <c r="O139" s="261" t="str">
        <f t="shared" si="35"/>
        <v/>
      </c>
      <c r="P139" s="262" t="str">
        <f t="shared" si="36"/>
        <v/>
      </c>
      <c r="Q139" s="263" t="str">
        <f t="shared" si="45"/>
        <v/>
      </c>
      <c r="R139" s="263" t="str">
        <f t="shared" si="45"/>
        <v/>
      </c>
      <c r="S139" s="263" t="str">
        <f t="shared" si="45"/>
        <v/>
      </c>
      <c r="T139" s="263" t="str">
        <f t="shared" si="45"/>
        <v/>
      </c>
      <c r="U139" s="263" t="str">
        <f t="shared" si="45"/>
        <v/>
      </c>
      <c r="V139" s="263" t="str">
        <f t="shared" si="45"/>
        <v/>
      </c>
      <c r="W139" s="263" t="str">
        <f t="shared" si="37"/>
        <v/>
      </c>
      <c r="X139" s="30"/>
      <c r="Y139" s="264"/>
      <c r="Z139" s="30"/>
      <c r="AA139" s="61"/>
      <c r="AB139" s="62"/>
      <c r="AC139" s="263" t="str">
        <f t="shared" si="38"/>
        <v/>
      </c>
      <c r="AD139" s="263" t="str">
        <f t="shared" si="39"/>
        <v/>
      </c>
      <c r="AE139" s="263" t="str">
        <f t="shared" si="40"/>
        <v/>
      </c>
      <c r="AF139" s="263" t="str">
        <f t="shared" si="41"/>
        <v/>
      </c>
      <c r="AG139" s="263" t="str">
        <f t="shared" si="42"/>
        <v/>
      </c>
      <c r="AH139" s="263" t="str">
        <f t="shared" si="43"/>
        <v/>
      </c>
      <c r="AI139" s="263" t="str">
        <f t="shared" si="44"/>
        <v/>
      </c>
    </row>
    <row r="140" spans="1:35">
      <c r="A140" s="164">
        <v>123</v>
      </c>
      <c r="B140" s="60" t="str">
        <f>IF('Add Change'!D145="","",+'Add Change'!D145)</f>
        <v/>
      </c>
      <c r="C140" s="31" t="str">
        <f>IF('Add Change'!I145="","",+'Add Change'!I145)</f>
        <v/>
      </c>
      <c r="D140" s="253" t="str">
        <f>IF('Add Change'!W145="","",'Add Change'!W145)</f>
        <v/>
      </c>
      <c r="E140" s="31"/>
      <c r="F140" s="70"/>
      <c r="G140" s="253"/>
      <c r="H140" s="254" t="str">
        <f t="shared" si="19"/>
        <v/>
      </c>
      <c r="I140" s="255" t="str">
        <f t="shared" si="20"/>
        <v/>
      </c>
      <c r="J140" s="256"/>
      <c r="K140" s="257"/>
      <c r="L140" s="258" t="str">
        <f t="shared" si="33"/>
        <v/>
      </c>
      <c r="M140" s="259" t="str">
        <f t="shared" si="34"/>
        <v/>
      </c>
      <c r="N140" s="260" t="str">
        <f t="shared" si="18"/>
        <v/>
      </c>
      <c r="O140" s="261" t="str">
        <f t="shared" si="35"/>
        <v/>
      </c>
      <c r="P140" s="262" t="str">
        <f t="shared" si="36"/>
        <v/>
      </c>
      <c r="Q140" s="263" t="str">
        <f t="shared" si="45"/>
        <v/>
      </c>
      <c r="R140" s="263" t="str">
        <f t="shared" si="45"/>
        <v/>
      </c>
      <c r="S140" s="263" t="str">
        <f t="shared" si="45"/>
        <v/>
      </c>
      <c r="T140" s="263" t="str">
        <f t="shared" si="45"/>
        <v/>
      </c>
      <c r="U140" s="263" t="str">
        <f t="shared" si="45"/>
        <v/>
      </c>
      <c r="V140" s="263" t="str">
        <f t="shared" si="45"/>
        <v/>
      </c>
      <c r="W140" s="263" t="str">
        <f t="shared" si="37"/>
        <v/>
      </c>
      <c r="X140" s="30"/>
      <c r="Y140" s="264"/>
      <c r="Z140" s="30"/>
      <c r="AA140" s="61"/>
      <c r="AB140" s="62"/>
      <c r="AC140" s="263" t="str">
        <f t="shared" si="38"/>
        <v/>
      </c>
      <c r="AD140" s="263" t="str">
        <f t="shared" si="39"/>
        <v/>
      </c>
      <c r="AE140" s="263" t="str">
        <f t="shared" si="40"/>
        <v/>
      </c>
      <c r="AF140" s="263" t="str">
        <f t="shared" si="41"/>
        <v/>
      </c>
      <c r="AG140" s="263" t="str">
        <f t="shared" si="42"/>
        <v/>
      </c>
      <c r="AH140" s="263" t="str">
        <f t="shared" si="43"/>
        <v/>
      </c>
      <c r="AI140" s="263" t="str">
        <f t="shared" si="44"/>
        <v/>
      </c>
    </row>
    <row r="141" spans="1:35">
      <c r="A141" s="164">
        <v>124</v>
      </c>
      <c r="B141" s="60" t="str">
        <f>IF('Add Change'!D146="","",+'Add Change'!D146)</f>
        <v/>
      </c>
      <c r="C141" s="31" t="str">
        <f>IF('Add Change'!I146="","",+'Add Change'!I146)</f>
        <v/>
      </c>
      <c r="D141" s="253" t="str">
        <f>IF('Add Change'!W146="","",'Add Change'!W146)</f>
        <v/>
      </c>
      <c r="E141" s="31"/>
      <c r="F141" s="70"/>
      <c r="G141" s="253"/>
      <c r="H141" s="254" t="str">
        <f t="shared" si="19"/>
        <v/>
      </c>
      <c r="I141" s="255" t="str">
        <f t="shared" si="20"/>
        <v/>
      </c>
      <c r="J141" s="256"/>
      <c r="K141" s="257"/>
      <c r="L141" s="258" t="str">
        <f t="shared" si="33"/>
        <v/>
      </c>
      <c r="M141" s="259" t="str">
        <f t="shared" si="34"/>
        <v/>
      </c>
      <c r="N141" s="260" t="str">
        <f t="shared" si="18"/>
        <v/>
      </c>
      <c r="O141" s="261" t="str">
        <f t="shared" si="35"/>
        <v/>
      </c>
      <c r="P141" s="262" t="str">
        <f t="shared" si="36"/>
        <v/>
      </c>
      <c r="Q141" s="263" t="str">
        <f t="shared" si="45"/>
        <v/>
      </c>
      <c r="R141" s="263" t="str">
        <f t="shared" si="45"/>
        <v/>
      </c>
      <c r="S141" s="263" t="str">
        <f t="shared" si="45"/>
        <v/>
      </c>
      <c r="T141" s="263" t="str">
        <f t="shared" si="45"/>
        <v/>
      </c>
      <c r="U141" s="263" t="str">
        <f t="shared" si="45"/>
        <v/>
      </c>
      <c r="V141" s="263" t="str">
        <f t="shared" si="45"/>
        <v/>
      </c>
      <c r="W141" s="263" t="str">
        <f t="shared" si="37"/>
        <v/>
      </c>
      <c r="X141" s="30"/>
      <c r="Y141" s="264"/>
      <c r="Z141" s="30"/>
      <c r="AA141" s="61"/>
      <c r="AB141" s="62"/>
      <c r="AC141" s="263" t="str">
        <f t="shared" si="38"/>
        <v/>
      </c>
      <c r="AD141" s="263" t="str">
        <f t="shared" si="39"/>
        <v/>
      </c>
      <c r="AE141" s="263" t="str">
        <f t="shared" si="40"/>
        <v/>
      </c>
      <c r="AF141" s="263" t="str">
        <f t="shared" si="41"/>
        <v/>
      </c>
      <c r="AG141" s="263" t="str">
        <f t="shared" si="42"/>
        <v/>
      </c>
      <c r="AH141" s="263" t="str">
        <f t="shared" si="43"/>
        <v/>
      </c>
      <c r="AI141" s="263" t="str">
        <f t="shared" si="44"/>
        <v/>
      </c>
    </row>
    <row r="142" spans="1:35">
      <c r="A142" s="164">
        <v>125</v>
      </c>
      <c r="B142" s="60" t="str">
        <f>IF('Add Change'!D147="","",+'Add Change'!D147)</f>
        <v/>
      </c>
      <c r="C142" s="31" t="str">
        <f>IF('Add Change'!I147="","",+'Add Change'!I147)</f>
        <v/>
      </c>
      <c r="D142" s="253" t="str">
        <f>IF('Add Change'!W147="","",'Add Change'!W147)</f>
        <v/>
      </c>
      <c r="E142" s="31"/>
      <c r="F142" s="70"/>
      <c r="G142" s="253"/>
      <c r="H142" s="254" t="str">
        <f t="shared" si="19"/>
        <v/>
      </c>
      <c r="I142" s="255" t="str">
        <f t="shared" si="20"/>
        <v/>
      </c>
      <c r="J142" s="256"/>
      <c r="K142" s="257"/>
      <c r="L142" s="258" t="str">
        <f t="shared" si="33"/>
        <v/>
      </c>
      <c r="M142" s="259" t="str">
        <f t="shared" si="34"/>
        <v/>
      </c>
      <c r="N142" s="260" t="str">
        <f t="shared" si="18"/>
        <v/>
      </c>
      <c r="O142" s="261" t="str">
        <f t="shared" si="35"/>
        <v/>
      </c>
      <c r="P142" s="262" t="str">
        <f t="shared" si="36"/>
        <v/>
      </c>
      <c r="Q142" s="263" t="str">
        <f t="shared" si="45"/>
        <v/>
      </c>
      <c r="R142" s="263" t="str">
        <f t="shared" si="45"/>
        <v/>
      </c>
      <c r="S142" s="263" t="str">
        <f t="shared" si="45"/>
        <v/>
      </c>
      <c r="T142" s="263" t="str">
        <f t="shared" si="45"/>
        <v/>
      </c>
      <c r="U142" s="263" t="str">
        <f t="shared" si="45"/>
        <v/>
      </c>
      <c r="V142" s="263" t="str">
        <f t="shared" si="45"/>
        <v/>
      </c>
      <c r="W142" s="263" t="str">
        <f t="shared" si="37"/>
        <v/>
      </c>
      <c r="X142" s="30"/>
      <c r="Y142" s="264"/>
      <c r="Z142" s="30"/>
      <c r="AA142" s="61"/>
      <c r="AB142" s="62"/>
      <c r="AC142" s="263" t="str">
        <f t="shared" si="38"/>
        <v/>
      </c>
      <c r="AD142" s="263" t="str">
        <f t="shared" si="39"/>
        <v/>
      </c>
      <c r="AE142" s="263" t="str">
        <f t="shared" si="40"/>
        <v/>
      </c>
      <c r="AF142" s="263" t="str">
        <f t="shared" si="41"/>
        <v/>
      </c>
      <c r="AG142" s="263" t="str">
        <f t="shared" si="42"/>
        <v/>
      </c>
      <c r="AH142" s="263" t="str">
        <f t="shared" si="43"/>
        <v/>
      </c>
      <c r="AI142" s="263" t="str">
        <f t="shared" si="44"/>
        <v/>
      </c>
    </row>
    <row r="143" spans="1:35">
      <c r="A143" s="164">
        <v>126</v>
      </c>
      <c r="B143" s="60" t="str">
        <f>IF('Add Change'!D148="","",+'Add Change'!D148)</f>
        <v/>
      </c>
      <c r="C143" s="31" t="str">
        <f>IF('Add Change'!I148="","",+'Add Change'!I148)</f>
        <v/>
      </c>
      <c r="D143" s="253" t="str">
        <f>IF('Add Change'!W148="","",'Add Change'!W148)</f>
        <v/>
      </c>
      <c r="E143" s="31"/>
      <c r="F143" s="70"/>
      <c r="G143" s="253"/>
      <c r="H143" s="254" t="str">
        <f t="shared" si="19"/>
        <v/>
      </c>
      <c r="I143" s="255" t="str">
        <f t="shared" si="20"/>
        <v/>
      </c>
      <c r="J143" s="256"/>
      <c r="K143" s="257"/>
      <c r="L143" s="258" t="str">
        <f t="shared" si="33"/>
        <v/>
      </c>
      <c r="M143" s="259" t="str">
        <f t="shared" si="34"/>
        <v/>
      </c>
      <c r="N143" s="260" t="str">
        <f t="shared" si="18"/>
        <v/>
      </c>
      <c r="O143" s="261" t="str">
        <f t="shared" si="35"/>
        <v/>
      </c>
      <c r="P143" s="262" t="str">
        <f t="shared" si="36"/>
        <v/>
      </c>
      <c r="Q143" s="263" t="str">
        <f t="shared" si="45"/>
        <v/>
      </c>
      <c r="R143" s="263" t="str">
        <f t="shared" si="45"/>
        <v/>
      </c>
      <c r="S143" s="263" t="str">
        <f t="shared" si="45"/>
        <v/>
      </c>
      <c r="T143" s="263" t="str">
        <f t="shared" si="45"/>
        <v/>
      </c>
      <c r="U143" s="263" t="str">
        <f t="shared" si="45"/>
        <v/>
      </c>
      <c r="V143" s="263" t="str">
        <f t="shared" si="45"/>
        <v/>
      </c>
      <c r="W143" s="263" t="str">
        <f t="shared" si="37"/>
        <v/>
      </c>
      <c r="X143" s="30"/>
      <c r="Y143" s="264"/>
      <c r="Z143" s="30"/>
      <c r="AA143" s="61"/>
      <c r="AB143" s="62"/>
      <c r="AC143" s="263" t="str">
        <f t="shared" si="38"/>
        <v/>
      </c>
      <c r="AD143" s="263" t="str">
        <f t="shared" si="39"/>
        <v/>
      </c>
      <c r="AE143" s="263" t="str">
        <f t="shared" si="40"/>
        <v/>
      </c>
      <c r="AF143" s="263" t="str">
        <f t="shared" si="41"/>
        <v/>
      </c>
      <c r="AG143" s="263" t="str">
        <f t="shared" si="42"/>
        <v/>
      </c>
      <c r="AH143" s="263" t="str">
        <f t="shared" si="43"/>
        <v/>
      </c>
      <c r="AI143" s="263" t="str">
        <f t="shared" si="44"/>
        <v/>
      </c>
    </row>
    <row r="144" spans="1:35">
      <c r="A144" s="164">
        <v>127</v>
      </c>
      <c r="B144" s="60" t="str">
        <f>IF('Add Change'!D149="","",+'Add Change'!D149)</f>
        <v/>
      </c>
      <c r="C144" s="31" t="str">
        <f>IF('Add Change'!I149="","",+'Add Change'!I149)</f>
        <v/>
      </c>
      <c r="D144" s="253" t="str">
        <f>IF('Add Change'!W149="","",'Add Change'!W149)</f>
        <v/>
      </c>
      <c r="E144" s="31"/>
      <c r="F144" s="70"/>
      <c r="G144" s="253"/>
      <c r="H144" s="254" t="str">
        <f t="shared" si="19"/>
        <v/>
      </c>
      <c r="I144" s="255" t="str">
        <f t="shared" si="20"/>
        <v/>
      </c>
      <c r="J144" s="256"/>
      <c r="K144" s="257"/>
      <c r="L144" s="258" t="str">
        <f t="shared" si="33"/>
        <v/>
      </c>
      <c r="M144" s="259" t="str">
        <f t="shared" si="34"/>
        <v/>
      </c>
      <c r="N144" s="260" t="str">
        <f t="shared" si="18"/>
        <v/>
      </c>
      <c r="O144" s="261" t="str">
        <f t="shared" si="35"/>
        <v/>
      </c>
      <c r="P144" s="262" t="str">
        <f t="shared" si="36"/>
        <v/>
      </c>
      <c r="Q144" s="263" t="str">
        <f t="shared" si="45"/>
        <v/>
      </c>
      <c r="R144" s="263" t="str">
        <f t="shared" si="45"/>
        <v/>
      </c>
      <c r="S144" s="263" t="str">
        <f t="shared" si="45"/>
        <v/>
      </c>
      <c r="T144" s="263" t="str">
        <f t="shared" si="45"/>
        <v/>
      </c>
      <c r="U144" s="263" t="str">
        <f t="shared" si="45"/>
        <v/>
      </c>
      <c r="V144" s="263" t="str">
        <f t="shared" si="45"/>
        <v/>
      </c>
      <c r="W144" s="263" t="str">
        <f t="shared" si="37"/>
        <v/>
      </c>
      <c r="X144" s="30"/>
      <c r="Y144" s="264"/>
      <c r="Z144" s="30"/>
      <c r="AA144" s="61"/>
      <c r="AB144" s="62"/>
      <c r="AC144" s="263" t="str">
        <f t="shared" si="38"/>
        <v/>
      </c>
      <c r="AD144" s="263" t="str">
        <f t="shared" si="39"/>
        <v/>
      </c>
      <c r="AE144" s="263" t="str">
        <f t="shared" si="40"/>
        <v/>
      </c>
      <c r="AF144" s="263" t="str">
        <f t="shared" si="41"/>
        <v/>
      </c>
      <c r="AG144" s="263" t="str">
        <f t="shared" si="42"/>
        <v/>
      </c>
      <c r="AH144" s="263" t="str">
        <f t="shared" si="43"/>
        <v/>
      </c>
      <c r="AI144" s="263" t="str">
        <f t="shared" si="44"/>
        <v/>
      </c>
    </row>
    <row r="145" spans="1:35">
      <c r="A145" s="164">
        <v>128</v>
      </c>
      <c r="B145" s="60" t="str">
        <f>IF('Add Change'!D150="","",+'Add Change'!D150)</f>
        <v/>
      </c>
      <c r="C145" s="31" t="str">
        <f>IF('Add Change'!I150="","",+'Add Change'!I150)</f>
        <v/>
      </c>
      <c r="D145" s="253" t="str">
        <f>IF('Add Change'!W150="","",'Add Change'!W150)</f>
        <v/>
      </c>
      <c r="E145" s="31"/>
      <c r="F145" s="70"/>
      <c r="G145" s="253"/>
      <c r="H145" s="254" t="str">
        <f t="shared" si="19"/>
        <v/>
      </c>
      <c r="I145" s="255" t="str">
        <f t="shared" si="20"/>
        <v/>
      </c>
      <c r="J145" s="256"/>
      <c r="K145" s="257"/>
      <c r="L145" s="258" t="str">
        <f t="shared" si="33"/>
        <v/>
      </c>
      <c r="M145" s="259" t="str">
        <f t="shared" si="34"/>
        <v/>
      </c>
      <c r="N145" s="260" t="str">
        <f t="shared" si="18"/>
        <v/>
      </c>
      <c r="O145" s="261" t="str">
        <f t="shared" si="35"/>
        <v/>
      </c>
      <c r="P145" s="262" t="str">
        <f t="shared" si="36"/>
        <v/>
      </c>
      <c r="Q145" s="263" t="str">
        <f t="shared" si="45"/>
        <v/>
      </c>
      <c r="R145" s="263" t="str">
        <f t="shared" si="45"/>
        <v/>
      </c>
      <c r="S145" s="263" t="str">
        <f t="shared" si="45"/>
        <v/>
      </c>
      <c r="T145" s="263" t="str">
        <f t="shared" si="45"/>
        <v/>
      </c>
      <c r="U145" s="263" t="str">
        <f t="shared" si="45"/>
        <v/>
      </c>
      <c r="V145" s="263" t="str">
        <f t="shared" si="45"/>
        <v/>
      </c>
      <c r="W145" s="263" t="str">
        <f t="shared" si="37"/>
        <v/>
      </c>
      <c r="X145" s="30"/>
      <c r="Y145" s="264"/>
      <c r="Z145" s="30"/>
      <c r="AA145" s="61"/>
      <c r="AB145" s="62"/>
      <c r="AC145" s="263" t="str">
        <f t="shared" si="38"/>
        <v/>
      </c>
      <c r="AD145" s="263" t="str">
        <f t="shared" si="39"/>
        <v/>
      </c>
      <c r="AE145" s="263" t="str">
        <f t="shared" si="40"/>
        <v/>
      </c>
      <c r="AF145" s="263" t="str">
        <f t="shared" si="41"/>
        <v/>
      </c>
      <c r="AG145" s="263" t="str">
        <f t="shared" si="42"/>
        <v/>
      </c>
      <c r="AH145" s="263" t="str">
        <f t="shared" si="43"/>
        <v/>
      </c>
      <c r="AI145" s="263" t="str">
        <f t="shared" si="44"/>
        <v/>
      </c>
    </row>
    <row r="146" spans="1:35">
      <c r="A146" s="164">
        <v>129</v>
      </c>
      <c r="B146" s="60" t="str">
        <f>IF('Add Change'!D151="","",+'Add Change'!D151)</f>
        <v/>
      </c>
      <c r="C146" s="31" t="str">
        <f>IF('Add Change'!I151="","",+'Add Change'!I151)</f>
        <v/>
      </c>
      <c r="D146" s="253" t="str">
        <f>IF('Add Change'!W151="","",'Add Change'!W151)</f>
        <v/>
      </c>
      <c r="E146" s="31"/>
      <c r="F146" s="70"/>
      <c r="G146" s="253"/>
      <c r="H146" s="254" t="str">
        <f t="shared" si="19"/>
        <v/>
      </c>
      <c r="I146" s="255" t="str">
        <f t="shared" si="20"/>
        <v/>
      </c>
      <c r="J146" s="256"/>
      <c r="K146" s="257"/>
      <c r="L146" s="258" t="str">
        <f t="shared" si="33"/>
        <v/>
      </c>
      <c r="M146" s="259" t="str">
        <f t="shared" si="34"/>
        <v/>
      </c>
      <c r="N146" s="260" t="str">
        <f t="shared" ref="N146:N209" si="46">IF($M146="","",($M146*$L146*$W$13/4)*52)</f>
        <v/>
      </c>
      <c r="O146" s="261" t="str">
        <f t="shared" si="35"/>
        <v/>
      </c>
      <c r="P146" s="262" t="str">
        <f t="shared" si="36"/>
        <v/>
      </c>
      <c r="Q146" s="263" t="str">
        <f t="shared" si="45"/>
        <v/>
      </c>
      <c r="R146" s="263" t="str">
        <f t="shared" si="45"/>
        <v/>
      </c>
      <c r="S146" s="263" t="str">
        <f t="shared" si="45"/>
        <v/>
      </c>
      <c r="T146" s="263" t="str">
        <f t="shared" si="45"/>
        <v/>
      </c>
      <c r="U146" s="263" t="str">
        <f t="shared" si="45"/>
        <v/>
      </c>
      <c r="V146" s="263" t="str">
        <f t="shared" si="45"/>
        <v/>
      </c>
      <c r="W146" s="263" t="str">
        <f t="shared" si="37"/>
        <v/>
      </c>
      <c r="X146" s="30"/>
      <c r="Y146" s="264"/>
      <c r="Z146" s="30"/>
      <c r="AA146" s="61"/>
      <c r="AB146" s="62"/>
      <c r="AC146" s="263" t="str">
        <f t="shared" si="38"/>
        <v/>
      </c>
      <c r="AD146" s="263" t="str">
        <f t="shared" si="39"/>
        <v/>
      </c>
      <c r="AE146" s="263" t="str">
        <f t="shared" si="40"/>
        <v/>
      </c>
      <c r="AF146" s="263" t="str">
        <f t="shared" si="41"/>
        <v/>
      </c>
      <c r="AG146" s="263" t="str">
        <f t="shared" si="42"/>
        <v/>
      </c>
      <c r="AH146" s="263" t="str">
        <f t="shared" si="43"/>
        <v/>
      </c>
      <c r="AI146" s="263" t="str">
        <f t="shared" si="44"/>
        <v/>
      </c>
    </row>
    <row r="147" spans="1:35">
      <c r="A147" s="164">
        <v>130</v>
      </c>
      <c r="B147" s="60" t="str">
        <f>IF('Add Change'!D152="","",+'Add Change'!D152)</f>
        <v/>
      </c>
      <c r="C147" s="31" t="str">
        <f>IF('Add Change'!I152="","",+'Add Change'!I152)</f>
        <v/>
      </c>
      <c r="D147" s="253" t="str">
        <f>IF('Add Change'!W152="","",'Add Change'!W152)</f>
        <v/>
      </c>
      <c r="E147" s="31"/>
      <c r="F147" s="70"/>
      <c r="G147" s="253"/>
      <c r="H147" s="254" t="str">
        <f t="shared" ref="H147:H210" si="47">IF($AK$3=1,"",IF($AK$3=2,"Enter Forecast",IF($AK$3=3,IF(LEN(I147)=9,"",(I147*$W$13/4)*52),"Error")))</f>
        <v/>
      </c>
      <c r="I147" s="255" t="str">
        <f t="shared" ref="I147:I210" si="48">IF($AK$3=1,"",IF($AK$3=2,IF(LEN(H147)=14,"",((H147/$W$13)/52)*4),IF($AK$3=3,"Avg Units","Error")))</f>
        <v/>
      </c>
      <c r="J147" s="256"/>
      <c r="K147" s="257"/>
      <c r="L147" s="258" t="str">
        <f t="shared" si="33"/>
        <v/>
      </c>
      <c r="M147" s="259" t="str">
        <f t="shared" si="34"/>
        <v/>
      </c>
      <c r="N147" s="260" t="str">
        <f t="shared" si="46"/>
        <v/>
      </c>
      <c r="O147" s="261" t="str">
        <f t="shared" si="35"/>
        <v/>
      </c>
      <c r="P147" s="262" t="str">
        <f t="shared" si="36"/>
        <v/>
      </c>
      <c r="Q147" s="263" t="str">
        <f t="shared" si="45"/>
        <v/>
      </c>
      <c r="R147" s="263" t="str">
        <f t="shared" si="45"/>
        <v/>
      </c>
      <c r="S147" s="263" t="str">
        <f t="shared" si="45"/>
        <v/>
      </c>
      <c r="T147" s="263" t="str">
        <f t="shared" si="45"/>
        <v/>
      </c>
      <c r="U147" s="263" t="str">
        <f t="shared" si="45"/>
        <v/>
      </c>
      <c r="V147" s="263" t="str">
        <f t="shared" si="45"/>
        <v/>
      </c>
      <c r="W147" s="263" t="str">
        <f t="shared" si="37"/>
        <v/>
      </c>
      <c r="X147" s="30"/>
      <c r="Y147" s="264"/>
      <c r="Z147" s="30"/>
      <c r="AA147" s="61"/>
      <c r="AB147" s="62"/>
      <c r="AC147" s="263" t="str">
        <f t="shared" si="38"/>
        <v/>
      </c>
      <c r="AD147" s="263" t="str">
        <f t="shared" si="39"/>
        <v/>
      </c>
      <c r="AE147" s="263" t="str">
        <f t="shared" si="40"/>
        <v/>
      </c>
      <c r="AF147" s="263" t="str">
        <f t="shared" si="41"/>
        <v/>
      </c>
      <c r="AG147" s="263" t="str">
        <f t="shared" si="42"/>
        <v/>
      </c>
      <c r="AH147" s="263" t="str">
        <f t="shared" si="43"/>
        <v/>
      </c>
      <c r="AI147" s="263" t="str">
        <f t="shared" si="44"/>
        <v/>
      </c>
    </row>
    <row r="148" spans="1:35">
      <c r="A148" s="164">
        <v>131</v>
      </c>
      <c r="B148" s="60" t="str">
        <f>IF('Add Change'!D153="","",+'Add Change'!D153)</f>
        <v/>
      </c>
      <c r="C148" s="31" t="str">
        <f>IF('Add Change'!I153="","",+'Add Change'!I153)</f>
        <v/>
      </c>
      <c r="D148" s="253" t="str">
        <f>IF('Add Change'!W153="","",'Add Change'!W153)</f>
        <v/>
      </c>
      <c r="E148" s="31"/>
      <c r="F148" s="70"/>
      <c r="G148" s="253"/>
      <c r="H148" s="254" t="str">
        <f t="shared" si="47"/>
        <v/>
      </c>
      <c r="I148" s="255" t="str">
        <f t="shared" si="48"/>
        <v/>
      </c>
      <c r="J148" s="256"/>
      <c r="K148" s="257"/>
      <c r="L148" s="258" t="str">
        <f t="shared" si="33"/>
        <v/>
      </c>
      <c r="M148" s="259" t="str">
        <f t="shared" si="34"/>
        <v/>
      </c>
      <c r="N148" s="260" t="str">
        <f t="shared" si="46"/>
        <v/>
      </c>
      <c r="O148" s="261" t="str">
        <f t="shared" si="35"/>
        <v/>
      </c>
      <c r="P148" s="262" t="str">
        <f t="shared" si="36"/>
        <v/>
      </c>
      <c r="Q148" s="263" t="str">
        <f t="shared" si="45"/>
        <v/>
      </c>
      <c r="R148" s="263" t="str">
        <f t="shared" si="45"/>
        <v/>
      </c>
      <c r="S148" s="263" t="str">
        <f t="shared" si="45"/>
        <v/>
      </c>
      <c r="T148" s="263" t="str">
        <f t="shared" si="45"/>
        <v/>
      </c>
      <c r="U148" s="263" t="str">
        <f t="shared" si="45"/>
        <v/>
      </c>
      <c r="V148" s="263" t="str">
        <f t="shared" si="45"/>
        <v/>
      </c>
      <c r="W148" s="263" t="str">
        <f t="shared" si="37"/>
        <v/>
      </c>
      <c r="X148" s="30"/>
      <c r="Y148" s="264"/>
      <c r="Z148" s="30"/>
      <c r="AA148" s="61"/>
      <c r="AB148" s="62"/>
      <c r="AC148" s="263" t="str">
        <f t="shared" si="38"/>
        <v/>
      </c>
      <c r="AD148" s="263" t="str">
        <f t="shared" si="39"/>
        <v/>
      </c>
      <c r="AE148" s="263" t="str">
        <f t="shared" si="40"/>
        <v/>
      </c>
      <c r="AF148" s="263" t="str">
        <f t="shared" si="41"/>
        <v/>
      </c>
      <c r="AG148" s="263" t="str">
        <f t="shared" si="42"/>
        <v/>
      </c>
      <c r="AH148" s="263" t="str">
        <f t="shared" si="43"/>
        <v/>
      </c>
      <c r="AI148" s="263" t="str">
        <f t="shared" si="44"/>
        <v/>
      </c>
    </row>
    <row r="149" spans="1:35">
      <c r="A149" s="164">
        <v>132</v>
      </c>
      <c r="B149" s="60" t="str">
        <f>IF('Add Change'!D154="","",+'Add Change'!D154)</f>
        <v/>
      </c>
      <c r="C149" s="31" t="str">
        <f>IF('Add Change'!I154="","",+'Add Change'!I154)</f>
        <v/>
      </c>
      <c r="D149" s="253" t="str">
        <f>IF('Add Change'!W154="","",'Add Change'!W154)</f>
        <v/>
      </c>
      <c r="E149" s="31"/>
      <c r="F149" s="70"/>
      <c r="G149" s="253"/>
      <c r="H149" s="254" t="str">
        <f t="shared" si="47"/>
        <v/>
      </c>
      <c r="I149" s="255" t="str">
        <f t="shared" si="48"/>
        <v/>
      </c>
      <c r="J149" s="256"/>
      <c r="K149" s="257"/>
      <c r="L149" s="258" t="str">
        <f t="shared" si="33"/>
        <v/>
      </c>
      <c r="M149" s="259" t="str">
        <f t="shared" si="34"/>
        <v/>
      </c>
      <c r="N149" s="260" t="str">
        <f t="shared" si="46"/>
        <v/>
      </c>
      <c r="O149" s="261" t="str">
        <f t="shared" si="35"/>
        <v/>
      </c>
      <c r="P149" s="262" t="str">
        <f t="shared" si="36"/>
        <v/>
      </c>
      <c r="Q149" s="263" t="str">
        <f t="shared" si="45"/>
        <v/>
      </c>
      <c r="R149" s="263" t="str">
        <f t="shared" si="45"/>
        <v/>
      </c>
      <c r="S149" s="263" t="str">
        <f t="shared" si="45"/>
        <v/>
      </c>
      <c r="T149" s="263" t="str">
        <f t="shared" si="45"/>
        <v/>
      </c>
      <c r="U149" s="263" t="str">
        <f t="shared" si="45"/>
        <v/>
      </c>
      <c r="V149" s="263" t="str">
        <f t="shared" si="45"/>
        <v/>
      </c>
      <c r="W149" s="263" t="str">
        <f t="shared" si="37"/>
        <v/>
      </c>
      <c r="X149" s="30"/>
      <c r="Y149" s="264"/>
      <c r="Z149" s="30"/>
      <c r="AA149" s="61"/>
      <c r="AB149" s="62"/>
      <c r="AC149" s="263" t="str">
        <f t="shared" si="38"/>
        <v/>
      </c>
      <c r="AD149" s="263" t="str">
        <f t="shared" si="39"/>
        <v/>
      </c>
      <c r="AE149" s="263" t="str">
        <f t="shared" si="40"/>
        <v/>
      </c>
      <c r="AF149" s="263" t="str">
        <f t="shared" si="41"/>
        <v/>
      </c>
      <c r="AG149" s="263" t="str">
        <f t="shared" si="42"/>
        <v/>
      </c>
      <c r="AH149" s="263" t="str">
        <f t="shared" si="43"/>
        <v/>
      </c>
      <c r="AI149" s="263" t="str">
        <f t="shared" si="44"/>
        <v/>
      </c>
    </row>
    <row r="150" spans="1:35">
      <c r="A150" s="164">
        <v>133</v>
      </c>
      <c r="B150" s="60" t="str">
        <f>IF('Add Change'!D155="","",+'Add Change'!D155)</f>
        <v/>
      </c>
      <c r="C150" s="31" t="str">
        <f>IF('Add Change'!I155="","",+'Add Change'!I155)</f>
        <v/>
      </c>
      <c r="D150" s="253" t="str">
        <f>IF('Add Change'!W155="","",'Add Change'!W155)</f>
        <v/>
      </c>
      <c r="E150" s="31"/>
      <c r="F150" s="70"/>
      <c r="G150" s="253"/>
      <c r="H150" s="254" t="str">
        <f t="shared" si="47"/>
        <v/>
      </c>
      <c r="I150" s="255" t="str">
        <f t="shared" si="48"/>
        <v/>
      </c>
      <c r="J150" s="256"/>
      <c r="K150" s="257"/>
      <c r="L150" s="258" t="str">
        <f t="shared" si="33"/>
        <v/>
      </c>
      <c r="M150" s="259" t="str">
        <f t="shared" si="34"/>
        <v/>
      </c>
      <c r="N150" s="260" t="str">
        <f t="shared" si="46"/>
        <v/>
      </c>
      <c r="O150" s="261" t="str">
        <f t="shared" si="35"/>
        <v/>
      </c>
      <c r="P150" s="262" t="str">
        <f t="shared" si="36"/>
        <v/>
      </c>
      <c r="Q150" s="263" t="str">
        <f t="shared" si="45"/>
        <v/>
      </c>
      <c r="R150" s="263" t="str">
        <f t="shared" si="45"/>
        <v/>
      </c>
      <c r="S150" s="263" t="str">
        <f t="shared" si="45"/>
        <v/>
      </c>
      <c r="T150" s="263" t="str">
        <f t="shared" si="45"/>
        <v/>
      </c>
      <c r="U150" s="263" t="str">
        <f t="shared" si="45"/>
        <v/>
      </c>
      <c r="V150" s="263" t="str">
        <f t="shared" si="45"/>
        <v/>
      </c>
      <c r="W150" s="263" t="str">
        <f t="shared" si="37"/>
        <v/>
      </c>
      <c r="X150" s="30"/>
      <c r="Y150" s="264"/>
      <c r="Z150" s="30"/>
      <c r="AA150" s="61"/>
      <c r="AB150" s="62"/>
      <c r="AC150" s="263" t="str">
        <f t="shared" si="38"/>
        <v/>
      </c>
      <c r="AD150" s="263" t="str">
        <f t="shared" si="39"/>
        <v/>
      </c>
      <c r="AE150" s="263" t="str">
        <f t="shared" si="40"/>
        <v/>
      </c>
      <c r="AF150" s="263" t="str">
        <f t="shared" si="41"/>
        <v/>
      </c>
      <c r="AG150" s="263" t="str">
        <f t="shared" si="42"/>
        <v/>
      </c>
      <c r="AH150" s="263" t="str">
        <f t="shared" si="43"/>
        <v/>
      </c>
      <c r="AI150" s="263" t="str">
        <f t="shared" si="44"/>
        <v/>
      </c>
    </row>
    <row r="151" spans="1:35">
      <c r="A151" s="164">
        <v>134</v>
      </c>
      <c r="B151" s="60" t="str">
        <f>IF('Add Change'!D156="","",+'Add Change'!D156)</f>
        <v/>
      </c>
      <c r="C151" s="31" t="str">
        <f>IF('Add Change'!I156="","",+'Add Change'!I156)</f>
        <v/>
      </c>
      <c r="D151" s="253" t="str">
        <f>IF('Add Change'!W156="","",'Add Change'!W156)</f>
        <v/>
      </c>
      <c r="E151" s="31"/>
      <c r="F151" s="70"/>
      <c r="G151" s="253"/>
      <c r="H151" s="254" t="str">
        <f t="shared" si="47"/>
        <v/>
      </c>
      <c r="I151" s="255" t="str">
        <f t="shared" si="48"/>
        <v/>
      </c>
      <c r="J151" s="256"/>
      <c r="K151" s="257"/>
      <c r="L151" s="258" t="str">
        <f t="shared" si="33"/>
        <v/>
      </c>
      <c r="M151" s="259" t="str">
        <f t="shared" si="34"/>
        <v/>
      </c>
      <c r="N151" s="260" t="str">
        <f t="shared" si="46"/>
        <v/>
      </c>
      <c r="O151" s="261" t="str">
        <f t="shared" si="35"/>
        <v/>
      </c>
      <c r="P151" s="262" t="str">
        <f t="shared" si="36"/>
        <v/>
      </c>
      <c r="Q151" s="263" t="str">
        <f t="shared" si="45"/>
        <v/>
      </c>
      <c r="R151" s="263" t="str">
        <f t="shared" si="45"/>
        <v/>
      </c>
      <c r="S151" s="263" t="str">
        <f t="shared" si="45"/>
        <v/>
      </c>
      <c r="T151" s="263" t="str">
        <f t="shared" si="45"/>
        <v/>
      </c>
      <c r="U151" s="263" t="str">
        <f t="shared" si="45"/>
        <v/>
      </c>
      <c r="V151" s="263" t="str">
        <f t="shared" si="45"/>
        <v/>
      </c>
      <c r="W151" s="263" t="str">
        <f t="shared" si="37"/>
        <v/>
      </c>
      <c r="X151" s="30"/>
      <c r="Y151" s="264"/>
      <c r="Z151" s="30"/>
      <c r="AA151" s="61"/>
      <c r="AB151" s="62"/>
      <c r="AC151" s="263" t="str">
        <f t="shared" si="38"/>
        <v/>
      </c>
      <c r="AD151" s="263" t="str">
        <f t="shared" si="39"/>
        <v/>
      </c>
      <c r="AE151" s="263" t="str">
        <f t="shared" si="40"/>
        <v/>
      </c>
      <c r="AF151" s="263" t="str">
        <f t="shared" si="41"/>
        <v/>
      </c>
      <c r="AG151" s="263" t="str">
        <f t="shared" si="42"/>
        <v/>
      </c>
      <c r="AH151" s="263" t="str">
        <f t="shared" si="43"/>
        <v/>
      </c>
      <c r="AI151" s="263" t="str">
        <f t="shared" si="44"/>
        <v/>
      </c>
    </row>
    <row r="152" spans="1:35">
      <c r="A152" s="164">
        <v>135</v>
      </c>
      <c r="B152" s="60" t="str">
        <f>IF('Add Change'!D157="","",+'Add Change'!D157)</f>
        <v/>
      </c>
      <c r="C152" s="31" t="str">
        <f>IF('Add Change'!I157="","",+'Add Change'!I157)</f>
        <v/>
      </c>
      <c r="D152" s="253" t="str">
        <f>IF('Add Change'!W157="","",'Add Change'!W157)</f>
        <v/>
      </c>
      <c r="E152" s="31"/>
      <c r="F152" s="70"/>
      <c r="G152" s="253"/>
      <c r="H152" s="254" t="str">
        <f t="shared" si="47"/>
        <v/>
      </c>
      <c r="I152" s="255" t="str">
        <f t="shared" si="48"/>
        <v/>
      </c>
      <c r="J152" s="256"/>
      <c r="K152" s="257"/>
      <c r="L152" s="258" t="str">
        <f t="shared" si="33"/>
        <v/>
      </c>
      <c r="M152" s="259" t="str">
        <f t="shared" si="34"/>
        <v/>
      </c>
      <c r="N152" s="260" t="str">
        <f t="shared" si="46"/>
        <v/>
      </c>
      <c r="O152" s="261" t="str">
        <f t="shared" si="35"/>
        <v/>
      </c>
      <c r="P152" s="262" t="str">
        <f t="shared" si="36"/>
        <v/>
      </c>
      <c r="Q152" s="263" t="str">
        <f t="shared" si="45"/>
        <v/>
      </c>
      <c r="R152" s="263" t="str">
        <f t="shared" si="45"/>
        <v/>
      </c>
      <c r="S152" s="263" t="str">
        <f t="shared" si="45"/>
        <v/>
      </c>
      <c r="T152" s="263" t="str">
        <f t="shared" si="45"/>
        <v/>
      </c>
      <c r="U152" s="263" t="str">
        <f t="shared" si="45"/>
        <v/>
      </c>
      <c r="V152" s="263" t="str">
        <f t="shared" si="45"/>
        <v/>
      </c>
      <c r="W152" s="263" t="str">
        <f t="shared" si="37"/>
        <v/>
      </c>
      <c r="X152" s="30"/>
      <c r="Y152" s="264"/>
      <c r="Z152" s="30"/>
      <c r="AA152" s="61"/>
      <c r="AB152" s="62"/>
      <c r="AC152" s="263" t="str">
        <f t="shared" si="38"/>
        <v/>
      </c>
      <c r="AD152" s="263" t="str">
        <f t="shared" si="39"/>
        <v/>
      </c>
      <c r="AE152" s="263" t="str">
        <f t="shared" si="40"/>
        <v/>
      </c>
      <c r="AF152" s="263" t="str">
        <f t="shared" si="41"/>
        <v/>
      </c>
      <c r="AG152" s="263" t="str">
        <f t="shared" si="42"/>
        <v/>
      </c>
      <c r="AH152" s="263" t="str">
        <f t="shared" si="43"/>
        <v/>
      </c>
      <c r="AI152" s="263" t="str">
        <f t="shared" si="44"/>
        <v/>
      </c>
    </row>
    <row r="153" spans="1:35">
      <c r="A153" s="164">
        <v>136</v>
      </c>
      <c r="B153" s="60" t="str">
        <f>IF('Add Change'!D158="","",+'Add Change'!D158)</f>
        <v/>
      </c>
      <c r="C153" s="31" t="str">
        <f>IF('Add Change'!I158="","",+'Add Change'!I158)</f>
        <v/>
      </c>
      <c r="D153" s="253" t="str">
        <f>IF('Add Change'!W158="","",'Add Change'!W158)</f>
        <v/>
      </c>
      <c r="E153" s="31"/>
      <c r="F153" s="70"/>
      <c r="G153" s="253"/>
      <c r="H153" s="254" t="str">
        <f t="shared" si="47"/>
        <v/>
      </c>
      <c r="I153" s="255" t="str">
        <f t="shared" si="48"/>
        <v/>
      </c>
      <c r="J153" s="256"/>
      <c r="K153" s="257"/>
      <c r="L153" s="258" t="str">
        <f t="shared" si="33"/>
        <v/>
      </c>
      <c r="M153" s="259" t="str">
        <f t="shared" si="34"/>
        <v/>
      </c>
      <c r="N153" s="260" t="str">
        <f t="shared" si="46"/>
        <v/>
      </c>
      <c r="O153" s="261" t="str">
        <f t="shared" si="35"/>
        <v/>
      </c>
      <c r="P153" s="262" t="str">
        <f t="shared" si="36"/>
        <v/>
      </c>
      <c r="Q153" s="263" t="str">
        <f t="shared" si="45"/>
        <v/>
      </c>
      <c r="R153" s="263" t="str">
        <f t="shared" si="45"/>
        <v/>
      </c>
      <c r="S153" s="263" t="str">
        <f t="shared" si="45"/>
        <v/>
      </c>
      <c r="T153" s="263" t="str">
        <f t="shared" si="45"/>
        <v/>
      </c>
      <c r="U153" s="263" t="str">
        <f t="shared" si="45"/>
        <v/>
      </c>
      <c r="V153" s="263" t="str">
        <f t="shared" si="45"/>
        <v/>
      </c>
      <c r="W153" s="263" t="str">
        <f t="shared" si="37"/>
        <v/>
      </c>
      <c r="X153" s="30"/>
      <c r="Y153" s="264"/>
      <c r="Z153" s="30"/>
      <c r="AA153" s="61"/>
      <c r="AB153" s="62"/>
      <c r="AC153" s="263" t="str">
        <f t="shared" si="38"/>
        <v/>
      </c>
      <c r="AD153" s="263" t="str">
        <f t="shared" si="39"/>
        <v/>
      </c>
      <c r="AE153" s="263" t="str">
        <f t="shared" si="40"/>
        <v/>
      </c>
      <c r="AF153" s="263" t="str">
        <f t="shared" si="41"/>
        <v/>
      </c>
      <c r="AG153" s="263" t="str">
        <f t="shared" si="42"/>
        <v/>
      </c>
      <c r="AH153" s="263" t="str">
        <f t="shared" si="43"/>
        <v/>
      </c>
      <c r="AI153" s="263" t="str">
        <f t="shared" si="44"/>
        <v/>
      </c>
    </row>
    <row r="154" spans="1:35">
      <c r="A154" s="164">
        <v>137</v>
      </c>
      <c r="B154" s="60" t="str">
        <f>IF('Add Change'!D159="","",+'Add Change'!D159)</f>
        <v/>
      </c>
      <c r="C154" s="31" t="str">
        <f>IF('Add Change'!I159="","",+'Add Change'!I159)</f>
        <v/>
      </c>
      <c r="D154" s="253" t="str">
        <f>IF('Add Change'!W159="","",'Add Change'!W159)</f>
        <v/>
      </c>
      <c r="E154" s="31"/>
      <c r="F154" s="70"/>
      <c r="G154" s="253"/>
      <c r="H154" s="254" t="str">
        <f t="shared" si="47"/>
        <v/>
      </c>
      <c r="I154" s="255" t="str">
        <f t="shared" si="48"/>
        <v/>
      </c>
      <c r="J154" s="256"/>
      <c r="K154" s="257"/>
      <c r="L154" s="258" t="str">
        <f t="shared" si="33"/>
        <v/>
      </c>
      <c r="M154" s="259" t="str">
        <f t="shared" si="34"/>
        <v/>
      </c>
      <c r="N154" s="260" t="str">
        <f t="shared" si="46"/>
        <v/>
      </c>
      <c r="O154" s="261" t="str">
        <f t="shared" si="35"/>
        <v/>
      </c>
      <c r="P154" s="262" t="str">
        <f t="shared" si="36"/>
        <v/>
      </c>
      <c r="Q154" s="263" t="str">
        <f t="shared" si="45"/>
        <v/>
      </c>
      <c r="R154" s="263" t="str">
        <f t="shared" si="45"/>
        <v/>
      </c>
      <c r="S154" s="263" t="str">
        <f t="shared" si="45"/>
        <v/>
      </c>
      <c r="T154" s="263" t="str">
        <f t="shared" si="45"/>
        <v/>
      </c>
      <c r="U154" s="263" t="str">
        <f t="shared" si="45"/>
        <v/>
      </c>
      <c r="V154" s="263" t="str">
        <f t="shared" si="45"/>
        <v/>
      </c>
      <c r="W154" s="263" t="str">
        <f t="shared" si="37"/>
        <v/>
      </c>
      <c r="X154" s="30"/>
      <c r="Y154" s="264"/>
      <c r="Z154" s="30"/>
      <c r="AA154" s="61"/>
      <c r="AB154" s="62"/>
      <c r="AC154" s="263" t="str">
        <f t="shared" si="38"/>
        <v/>
      </c>
      <c r="AD154" s="263" t="str">
        <f t="shared" si="39"/>
        <v/>
      </c>
      <c r="AE154" s="263" t="str">
        <f t="shared" si="40"/>
        <v/>
      </c>
      <c r="AF154" s="263" t="str">
        <f t="shared" si="41"/>
        <v/>
      </c>
      <c r="AG154" s="263" t="str">
        <f t="shared" si="42"/>
        <v/>
      </c>
      <c r="AH154" s="263" t="str">
        <f t="shared" si="43"/>
        <v/>
      </c>
      <c r="AI154" s="263" t="str">
        <f t="shared" si="44"/>
        <v/>
      </c>
    </row>
    <row r="155" spans="1:35">
      <c r="A155" s="164">
        <v>138</v>
      </c>
      <c r="B155" s="60" t="str">
        <f>IF('Add Change'!D160="","",+'Add Change'!D160)</f>
        <v/>
      </c>
      <c r="C155" s="31" t="str">
        <f>IF('Add Change'!I160="","",+'Add Change'!I160)</f>
        <v/>
      </c>
      <c r="D155" s="253" t="str">
        <f>IF('Add Change'!W160="","",'Add Change'!W160)</f>
        <v/>
      </c>
      <c r="E155" s="31"/>
      <c r="F155" s="70"/>
      <c r="G155" s="253"/>
      <c r="H155" s="254" t="str">
        <f t="shared" si="47"/>
        <v/>
      </c>
      <c r="I155" s="255" t="str">
        <f t="shared" si="48"/>
        <v/>
      </c>
      <c r="J155" s="256"/>
      <c r="K155" s="257"/>
      <c r="L155" s="258" t="str">
        <f t="shared" si="33"/>
        <v/>
      </c>
      <c r="M155" s="259" t="str">
        <f t="shared" si="34"/>
        <v/>
      </c>
      <c r="N155" s="260" t="str">
        <f t="shared" si="46"/>
        <v/>
      </c>
      <c r="O155" s="261" t="str">
        <f t="shared" si="35"/>
        <v/>
      </c>
      <c r="P155" s="262" t="str">
        <f t="shared" si="36"/>
        <v/>
      </c>
      <c r="Q155" s="263" t="str">
        <f t="shared" si="45"/>
        <v/>
      </c>
      <c r="R155" s="263" t="str">
        <f t="shared" si="45"/>
        <v/>
      </c>
      <c r="S155" s="263" t="str">
        <f t="shared" si="45"/>
        <v/>
      </c>
      <c r="T155" s="263" t="str">
        <f t="shared" si="45"/>
        <v/>
      </c>
      <c r="U155" s="263" t="str">
        <f t="shared" si="45"/>
        <v/>
      </c>
      <c r="V155" s="263" t="str">
        <f t="shared" si="45"/>
        <v/>
      </c>
      <c r="W155" s="263" t="str">
        <f t="shared" si="37"/>
        <v/>
      </c>
      <c r="X155" s="30"/>
      <c r="Y155" s="264"/>
      <c r="Z155" s="30"/>
      <c r="AA155" s="61"/>
      <c r="AB155" s="62"/>
      <c r="AC155" s="263" t="str">
        <f t="shared" si="38"/>
        <v/>
      </c>
      <c r="AD155" s="263" t="str">
        <f t="shared" si="39"/>
        <v/>
      </c>
      <c r="AE155" s="263" t="str">
        <f t="shared" si="40"/>
        <v/>
      </c>
      <c r="AF155" s="263" t="str">
        <f t="shared" si="41"/>
        <v/>
      </c>
      <c r="AG155" s="263" t="str">
        <f t="shared" si="42"/>
        <v/>
      </c>
      <c r="AH155" s="263" t="str">
        <f t="shared" si="43"/>
        <v/>
      </c>
      <c r="AI155" s="263" t="str">
        <f t="shared" si="44"/>
        <v/>
      </c>
    </row>
    <row r="156" spans="1:35">
      <c r="A156" s="164">
        <v>139</v>
      </c>
      <c r="B156" s="60" t="str">
        <f>IF('Add Change'!D161="","",+'Add Change'!D161)</f>
        <v/>
      </c>
      <c r="C156" s="31" t="str">
        <f>IF('Add Change'!I161="","",+'Add Change'!I161)</f>
        <v/>
      </c>
      <c r="D156" s="253" t="str">
        <f>IF('Add Change'!W161="","",'Add Change'!W161)</f>
        <v/>
      </c>
      <c r="E156" s="31"/>
      <c r="F156" s="70"/>
      <c r="G156" s="253"/>
      <c r="H156" s="254" t="str">
        <f t="shared" si="47"/>
        <v/>
      </c>
      <c r="I156" s="255" t="str">
        <f t="shared" si="48"/>
        <v/>
      </c>
      <c r="J156" s="256"/>
      <c r="K156" s="257"/>
      <c r="L156" s="258" t="str">
        <f t="shared" si="33"/>
        <v/>
      </c>
      <c r="M156" s="259" t="str">
        <f t="shared" si="34"/>
        <v/>
      </c>
      <c r="N156" s="260" t="str">
        <f t="shared" si="46"/>
        <v/>
      </c>
      <c r="O156" s="261" t="str">
        <f t="shared" si="35"/>
        <v/>
      </c>
      <c r="P156" s="262" t="str">
        <f t="shared" si="36"/>
        <v/>
      </c>
      <c r="Q156" s="263" t="str">
        <f t="shared" si="45"/>
        <v/>
      </c>
      <c r="R156" s="263" t="str">
        <f t="shared" si="45"/>
        <v/>
      </c>
      <c r="S156" s="263" t="str">
        <f t="shared" si="45"/>
        <v/>
      </c>
      <c r="T156" s="263" t="str">
        <f t="shared" si="45"/>
        <v/>
      </c>
      <c r="U156" s="263" t="str">
        <f t="shared" si="45"/>
        <v/>
      </c>
      <c r="V156" s="263" t="str">
        <f t="shared" si="45"/>
        <v/>
      </c>
      <c r="W156" s="263" t="str">
        <f t="shared" si="37"/>
        <v/>
      </c>
      <c r="X156" s="30"/>
      <c r="Y156" s="264"/>
      <c r="Z156" s="30"/>
      <c r="AA156" s="61"/>
      <c r="AB156" s="62"/>
      <c r="AC156" s="263" t="str">
        <f t="shared" si="38"/>
        <v/>
      </c>
      <c r="AD156" s="263" t="str">
        <f t="shared" si="39"/>
        <v/>
      </c>
      <c r="AE156" s="263" t="str">
        <f t="shared" si="40"/>
        <v/>
      </c>
      <c r="AF156" s="263" t="str">
        <f t="shared" si="41"/>
        <v/>
      </c>
      <c r="AG156" s="263" t="str">
        <f t="shared" si="42"/>
        <v/>
      </c>
      <c r="AH156" s="263" t="str">
        <f t="shared" si="43"/>
        <v/>
      </c>
      <c r="AI156" s="263" t="str">
        <f t="shared" si="44"/>
        <v/>
      </c>
    </row>
    <row r="157" spans="1:35">
      <c r="A157" s="164">
        <v>140</v>
      </c>
      <c r="B157" s="60" t="str">
        <f>IF('Add Change'!D162="","",+'Add Change'!D162)</f>
        <v/>
      </c>
      <c r="C157" s="31" t="str">
        <f>IF('Add Change'!I162="","",+'Add Change'!I162)</f>
        <v/>
      </c>
      <c r="D157" s="253" t="str">
        <f>IF('Add Change'!W162="","",'Add Change'!W162)</f>
        <v/>
      </c>
      <c r="E157" s="31"/>
      <c r="F157" s="70"/>
      <c r="G157" s="253"/>
      <c r="H157" s="254" t="str">
        <f t="shared" si="47"/>
        <v/>
      </c>
      <c r="I157" s="255" t="str">
        <f t="shared" si="48"/>
        <v/>
      </c>
      <c r="J157" s="256"/>
      <c r="K157" s="257"/>
      <c r="L157" s="258" t="str">
        <f t="shared" si="33"/>
        <v/>
      </c>
      <c r="M157" s="259" t="str">
        <f t="shared" si="34"/>
        <v/>
      </c>
      <c r="N157" s="260" t="str">
        <f t="shared" si="46"/>
        <v/>
      </c>
      <c r="O157" s="261" t="str">
        <f t="shared" si="35"/>
        <v/>
      </c>
      <c r="P157" s="262" t="str">
        <f t="shared" si="36"/>
        <v/>
      </c>
      <c r="Q157" s="263" t="str">
        <f t="shared" si="45"/>
        <v/>
      </c>
      <c r="R157" s="263" t="str">
        <f t="shared" si="45"/>
        <v/>
      </c>
      <c r="S157" s="263" t="str">
        <f t="shared" si="45"/>
        <v/>
      </c>
      <c r="T157" s="263" t="str">
        <f t="shared" si="45"/>
        <v/>
      </c>
      <c r="U157" s="263" t="str">
        <f t="shared" si="45"/>
        <v/>
      </c>
      <c r="V157" s="263" t="str">
        <f t="shared" si="45"/>
        <v/>
      </c>
      <c r="W157" s="263" t="str">
        <f t="shared" si="37"/>
        <v/>
      </c>
      <c r="X157" s="30"/>
      <c r="Y157" s="264"/>
      <c r="Z157" s="30"/>
      <c r="AA157" s="61"/>
      <c r="AB157" s="62"/>
      <c r="AC157" s="263" t="str">
        <f t="shared" si="38"/>
        <v/>
      </c>
      <c r="AD157" s="263" t="str">
        <f t="shared" si="39"/>
        <v/>
      </c>
      <c r="AE157" s="263" t="str">
        <f t="shared" si="40"/>
        <v/>
      </c>
      <c r="AF157" s="263" t="str">
        <f t="shared" si="41"/>
        <v/>
      </c>
      <c r="AG157" s="263" t="str">
        <f t="shared" si="42"/>
        <v/>
      </c>
      <c r="AH157" s="263" t="str">
        <f t="shared" si="43"/>
        <v/>
      </c>
      <c r="AI157" s="263" t="str">
        <f t="shared" si="44"/>
        <v/>
      </c>
    </row>
    <row r="158" spans="1:35">
      <c r="A158" s="164">
        <v>141</v>
      </c>
      <c r="B158" s="60" t="str">
        <f>IF('Add Change'!D163="","",+'Add Change'!D163)</f>
        <v/>
      </c>
      <c r="C158" s="31" t="str">
        <f>IF('Add Change'!I163="","",+'Add Change'!I163)</f>
        <v/>
      </c>
      <c r="D158" s="253" t="str">
        <f>IF('Add Change'!W163="","",'Add Change'!W163)</f>
        <v/>
      </c>
      <c r="E158" s="31"/>
      <c r="F158" s="70"/>
      <c r="G158" s="253"/>
      <c r="H158" s="254" t="str">
        <f t="shared" si="47"/>
        <v/>
      </c>
      <c r="I158" s="255" t="str">
        <f t="shared" si="48"/>
        <v/>
      </c>
      <c r="J158" s="256"/>
      <c r="K158" s="257"/>
      <c r="L158" s="258" t="str">
        <f t="shared" si="33"/>
        <v/>
      </c>
      <c r="M158" s="259" t="str">
        <f t="shared" si="34"/>
        <v/>
      </c>
      <c r="N158" s="260" t="str">
        <f t="shared" si="46"/>
        <v/>
      </c>
      <c r="O158" s="261" t="str">
        <f t="shared" si="35"/>
        <v/>
      </c>
      <c r="P158" s="262" t="str">
        <f t="shared" si="36"/>
        <v/>
      </c>
      <c r="Q158" s="263" t="str">
        <f t="shared" si="45"/>
        <v/>
      </c>
      <c r="R158" s="263" t="str">
        <f t="shared" si="45"/>
        <v/>
      </c>
      <c r="S158" s="263" t="str">
        <f t="shared" si="45"/>
        <v/>
      </c>
      <c r="T158" s="263" t="str">
        <f t="shared" si="45"/>
        <v/>
      </c>
      <c r="U158" s="263" t="str">
        <f t="shared" si="45"/>
        <v/>
      </c>
      <c r="V158" s="263" t="str">
        <f t="shared" si="45"/>
        <v/>
      </c>
      <c r="W158" s="263" t="str">
        <f t="shared" si="37"/>
        <v/>
      </c>
      <c r="X158" s="30"/>
      <c r="Y158" s="264"/>
      <c r="Z158" s="30"/>
      <c r="AA158" s="61"/>
      <c r="AB158" s="62"/>
      <c r="AC158" s="263" t="str">
        <f t="shared" si="38"/>
        <v/>
      </c>
      <c r="AD158" s="263" t="str">
        <f t="shared" si="39"/>
        <v/>
      </c>
      <c r="AE158" s="263" t="str">
        <f t="shared" si="40"/>
        <v/>
      </c>
      <c r="AF158" s="263" t="str">
        <f t="shared" si="41"/>
        <v/>
      </c>
      <c r="AG158" s="263" t="str">
        <f t="shared" si="42"/>
        <v/>
      </c>
      <c r="AH158" s="263" t="str">
        <f t="shared" si="43"/>
        <v/>
      </c>
      <c r="AI158" s="263" t="str">
        <f t="shared" si="44"/>
        <v/>
      </c>
    </row>
    <row r="159" spans="1:35">
      <c r="A159" s="164">
        <v>142</v>
      </c>
      <c r="B159" s="60" t="str">
        <f>IF('Add Change'!D164="","",+'Add Change'!D164)</f>
        <v/>
      </c>
      <c r="C159" s="31" t="str">
        <f>IF('Add Change'!I164="","",+'Add Change'!I164)</f>
        <v/>
      </c>
      <c r="D159" s="253" t="str">
        <f>IF('Add Change'!W164="","",'Add Change'!W164)</f>
        <v/>
      </c>
      <c r="E159" s="31"/>
      <c r="F159" s="70"/>
      <c r="G159" s="253"/>
      <c r="H159" s="254" t="str">
        <f t="shared" si="47"/>
        <v/>
      </c>
      <c r="I159" s="255" t="str">
        <f t="shared" si="48"/>
        <v/>
      </c>
      <c r="J159" s="256"/>
      <c r="K159" s="257"/>
      <c r="L159" s="258" t="str">
        <f t="shared" si="33"/>
        <v/>
      </c>
      <c r="M159" s="259" t="str">
        <f t="shared" si="34"/>
        <v/>
      </c>
      <c r="N159" s="260" t="str">
        <f t="shared" si="46"/>
        <v/>
      </c>
      <c r="O159" s="261" t="str">
        <f t="shared" si="35"/>
        <v/>
      </c>
      <c r="P159" s="262" t="str">
        <f t="shared" si="36"/>
        <v/>
      </c>
      <c r="Q159" s="263" t="str">
        <f t="shared" si="45"/>
        <v/>
      </c>
      <c r="R159" s="263" t="str">
        <f t="shared" si="45"/>
        <v/>
      </c>
      <c r="S159" s="263" t="str">
        <f t="shared" si="45"/>
        <v/>
      </c>
      <c r="T159" s="263" t="str">
        <f t="shared" si="45"/>
        <v/>
      </c>
      <c r="U159" s="263" t="str">
        <f t="shared" si="45"/>
        <v/>
      </c>
      <c r="V159" s="263" t="str">
        <f t="shared" si="45"/>
        <v/>
      </c>
      <c r="W159" s="263" t="str">
        <f t="shared" si="37"/>
        <v/>
      </c>
      <c r="X159" s="30"/>
      <c r="Y159" s="264"/>
      <c r="Z159" s="30"/>
      <c r="AA159" s="61"/>
      <c r="AB159" s="62"/>
      <c r="AC159" s="263" t="str">
        <f t="shared" si="38"/>
        <v/>
      </c>
      <c r="AD159" s="263" t="str">
        <f t="shared" si="39"/>
        <v/>
      </c>
      <c r="AE159" s="263" t="str">
        <f t="shared" si="40"/>
        <v/>
      </c>
      <c r="AF159" s="263" t="str">
        <f t="shared" si="41"/>
        <v/>
      </c>
      <c r="AG159" s="263" t="str">
        <f t="shared" si="42"/>
        <v/>
      </c>
      <c r="AH159" s="263" t="str">
        <f t="shared" si="43"/>
        <v/>
      </c>
      <c r="AI159" s="263" t="str">
        <f t="shared" si="44"/>
        <v/>
      </c>
    </row>
    <row r="160" spans="1:35">
      <c r="A160" s="164">
        <v>143</v>
      </c>
      <c r="B160" s="60" t="str">
        <f>IF('Add Change'!D165="","",+'Add Change'!D165)</f>
        <v/>
      </c>
      <c r="C160" s="31" t="str">
        <f>IF('Add Change'!I165="","",+'Add Change'!I165)</f>
        <v/>
      </c>
      <c r="D160" s="253" t="str">
        <f>IF('Add Change'!W165="","",'Add Change'!W165)</f>
        <v/>
      </c>
      <c r="E160" s="31"/>
      <c r="F160" s="70"/>
      <c r="G160" s="253"/>
      <c r="H160" s="254" t="str">
        <f t="shared" si="47"/>
        <v/>
      </c>
      <c r="I160" s="255" t="str">
        <f t="shared" si="48"/>
        <v/>
      </c>
      <c r="J160" s="256"/>
      <c r="K160" s="257"/>
      <c r="L160" s="258" t="str">
        <f t="shared" si="33"/>
        <v/>
      </c>
      <c r="M160" s="259" t="str">
        <f t="shared" si="34"/>
        <v/>
      </c>
      <c r="N160" s="260" t="str">
        <f t="shared" si="46"/>
        <v/>
      </c>
      <c r="O160" s="261" t="str">
        <f t="shared" si="35"/>
        <v/>
      </c>
      <c r="P160" s="262" t="str">
        <f t="shared" si="36"/>
        <v/>
      </c>
      <c r="Q160" s="263" t="str">
        <f t="shared" si="45"/>
        <v/>
      </c>
      <c r="R160" s="263" t="str">
        <f t="shared" si="45"/>
        <v/>
      </c>
      <c r="S160" s="263" t="str">
        <f t="shared" si="45"/>
        <v/>
      </c>
      <c r="T160" s="263" t="str">
        <f t="shared" si="45"/>
        <v/>
      </c>
      <c r="U160" s="263" t="str">
        <f t="shared" si="45"/>
        <v/>
      </c>
      <c r="V160" s="263" t="str">
        <f t="shared" si="45"/>
        <v/>
      </c>
      <c r="W160" s="263" t="str">
        <f t="shared" si="37"/>
        <v/>
      </c>
      <c r="X160" s="30"/>
      <c r="Y160" s="264"/>
      <c r="Z160" s="30"/>
      <c r="AA160" s="61"/>
      <c r="AB160" s="62"/>
      <c r="AC160" s="263" t="str">
        <f t="shared" si="38"/>
        <v/>
      </c>
      <c r="AD160" s="263" t="str">
        <f t="shared" si="39"/>
        <v/>
      </c>
      <c r="AE160" s="263" t="str">
        <f t="shared" si="40"/>
        <v/>
      </c>
      <c r="AF160" s="263" t="str">
        <f t="shared" si="41"/>
        <v/>
      </c>
      <c r="AG160" s="263" t="str">
        <f t="shared" si="42"/>
        <v/>
      </c>
      <c r="AH160" s="263" t="str">
        <f t="shared" si="43"/>
        <v/>
      </c>
      <c r="AI160" s="263" t="str">
        <f t="shared" si="44"/>
        <v/>
      </c>
    </row>
    <row r="161" spans="1:35">
      <c r="A161" s="164">
        <v>144</v>
      </c>
      <c r="B161" s="60" t="str">
        <f>IF('Add Change'!D166="","",+'Add Change'!D166)</f>
        <v/>
      </c>
      <c r="C161" s="31" t="str">
        <f>IF('Add Change'!I166="","",+'Add Change'!I166)</f>
        <v/>
      </c>
      <c r="D161" s="253" t="str">
        <f>IF('Add Change'!W166="","",'Add Change'!W166)</f>
        <v/>
      </c>
      <c r="E161" s="31"/>
      <c r="F161" s="70"/>
      <c r="G161" s="253"/>
      <c r="H161" s="254" t="str">
        <f t="shared" si="47"/>
        <v/>
      </c>
      <c r="I161" s="255" t="str">
        <f t="shared" si="48"/>
        <v/>
      </c>
      <c r="J161" s="256"/>
      <c r="K161" s="257"/>
      <c r="L161" s="258" t="str">
        <f t="shared" si="33"/>
        <v/>
      </c>
      <c r="M161" s="259" t="str">
        <f t="shared" si="34"/>
        <v/>
      </c>
      <c r="N161" s="260" t="str">
        <f t="shared" si="46"/>
        <v/>
      </c>
      <c r="O161" s="261" t="str">
        <f t="shared" si="35"/>
        <v/>
      </c>
      <c r="P161" s="262" t="str">
        <f t="shared" si="36"/>
        <v/>
      </c>
      <c r="Q161" s="263" t="str">
        <f t="shared" si="45"/>
        <v/>
      </c>
      <c r="R161" s="263" t="str">
        <f t="shared" si="45"/>
        <v/>
      </c>
      <c r="S161" s="263" t="str">
        <f t="shared" si="45"/>
        <v/>
      </c>
      <c r="T161" s="263" t="str">
        <f t="shared" ref="Q161:V203" si="49">IF($O161="","",($O161*T$13/4)*52)</f>
        <v/>
      </c>
      <c r="U161" s="263" t="str">
        <f t="shared" si="49"/>
        <v/>
      </c>
      <c r="V161" s="263" t="str">
        <f t="shared" si="49"/>
        <v/>
      </c>
      <c r="W161" s="263" t="str">
        <f t="shared" si="37"/>
        <v/>
      </c>
      <c r="X161" s="30"/>
      <c r="Y161" s="264"/>
      <c r="Z161" s="30"/>
      <c r="AA161" s="61"/>
      <c r="AB161" s="62"/>
      <c r="AC161" s="263" t="str">
        <f t="shared" si="38"/>
        <v/>
      </c>
      <c r="AD161" s="263" t="str">
        <f t="shared" si="39"/>
        <v/>
      </c>
      <c r="AE161" s="263" t="str">
        <f t="shared" si="40"/>
        <v/>
      </c>
      <c r="AF161" s="263" t="str">
        <f t="shared" si="41"/>
        <v/>
      </c>
      <c r="AG161" s="263" t="str">
        <f t="shared" si="42"/>
        <v/>
      </c>
      <c r="AH161" s="263" t="str">
        <f t="shared" si="43"/>
        <v/>
      </c>
      <c r="AI161" s="263" t="str">
        <f t="shared" si="44"/>
        <v/>
      </c>
    </row>
    <row r="162" spans="1:35">
      <c r="A162" s="164">
        <v>145</v>
      </c>
      <c r="B162" s="60" t="str">
        <f>IF('Add Change'!D167="","",+'Add Change'!D167)</f>
        <v/>
      </c>
      <c r="C162" s="31" t="str">
        <f>IF('Add Change'!I167="","",+'Add Change'!I167)</f>
        <v/>
      </c>
      <c r="D162" s="253" t="str">
        <f>IF('Add Change'!W167="","",'Add Change'!W167)</f>
        <v/>
      </c>
      <c r="E162" s="31"/>
      <c r="F162" s="70"/>
      <c r="G162" s="253"/>
      <c r="H162" s="254" t="str">
        <f t="shared" si="47"/>
        <v/>
      </c>
      <c r="I162" s="255" t="str">
        <f t="shared" si="48"/>
        <v/>
      </c>
      <c r="J162" s="256"/>
      <c r="K162" s="257"/>
      <c r="L162" s="258" t="str">
        <f t="shared" si="33"/>
        <v/>
      </c>
      <c r="M162" s="259" t="str">
        <f t="shared" si="34"/>
        <v/>
      </c>
      <c r="N162" s="260" t="str">
        <f t="shared" si="46"/>
        <v/>
      </c>
      <c r="O162" s="261" t="str">
        <f t="shared" si="35"/>
        <v/>
      </c>
      <c r="P162" s="262" t="str">
        <f t="shared" si="36"/>
        <v/>
      </c>
      <c r="Q162" s="263" t="str">
        <f t="shared" si="49"/>
        <v/>
      </c>
      <c r="R162" s="263" t="str">
        <f t="shared" si="49"/>
        <v/>
      </c>
      <c r="S162" s="263" t="str">
        <f t="shared" si="49"/>
        <v/>
      </c>
      <c r="T162" s="263" t="str">
        <f t="shared" si="49"/>
        <v/>
      </c>
      <c r="U162" s="263" t="str">
        <f t="shared" si="49"/>
        <v/>
      </c>
      <c r="V162" s="263" t="str">
        <f t="shared" si="49"/>
        <v/>
      </c>
      <c r="W162" s="263" t="str">
        <f t="shared" si="37"/>
        <v/>
      </c>
      <c r="X162" s="30"/>
      <c r="Y162" s="264"/>
      <c r="Z162" s="30"/>
      <c r="AA162" s="61"/>
      <c r="AB162" s="62"/>
      <c r="AC162" s="263" t="str">
        <f t="shared" si="38"/>
        <v/>
      </c>
      <c r="AD162" s="263" t="str">
        <f t="shared" si="39"/>
        <v/>
      </c>
      <c r="AE162" s="263" t="str">
        <f t="shared" si="40"/>
        <v/>
      </c>
      <c r="AF162" s="263" t="str">
        <f t="shared" si="41"/>
        <v/>
      </c>
      <c r="AG162" s="263" t="str">
        <f t="shared" si="42"/>
        <v/>
      </c>
      <c r="AH162" s="263" t="str">
        <f t="shared" si="43"/>
        <v/>
      </c>
      <c r="AI162" s="263" t="str">
        <f t="shared" si="44"/>
        <v/>
      </c>
    </row>
    <row r="163" spans="1:35">
      <c r="A163" s="164">
        <v>146</v>
      </c>
      <c r="B163" s="60" t="str">
        <f>IF('Add Change'!D168="","",+'Add Change'!D168)</f>
        <v/>
      </c>
      <c r="C163" s="31" t="str">
        <f>IF('Add Change'!I168="","",+'Add Change'!I168)</f>
        <v/>
      </c>
      <c r="D163" s="253" t="str">
        <f>IF('Add Change'!W168="","",'Add Change'!W168)</f>
        <v/>
      </c>
      <c r="E163" s="31"/>
      <c r="F163" s="70"/>
      <c r="G163" s="253"/>
      <c r="H163" s="254" t="str">
        <f t="shared" si="47"/>
        <v/>
      </c>
      <c r="I163" s="255" t="str">
        <f t="shared" si="48"/>
        <v/>
      </c>
      <c r="J163" s="256"/>
      <c r="K163" s="257"/>
      <c r="L163" s="258" t="str">
        <f t="shared" si="33"/>
        <v/>
      </c>
      <c r="M163" s="259" t="str">
        <f t="shared" si="34"/>
        <v/>
      </c>
      <c r="N163" s="260" t="str">
        <f t="shared" si="46"/>
        <v/>
      </c>
      <c r="O163" s="261" t="str">
        <f t="shared" si="35"/>
        <v/>
      </c>
      <c r="P163" s="262" t="str">
        <f t="shared" si="36"/>
        <v/>
      </c>
      <c r="Q163" s="263" t="str">
        <f t="shared" si="49"/>
        <v/>
      </c>
      <c r="R163" s="263" t="str">
        <f t="shared" si="49"/>
        <v/>
      </c>
      <c r="S163" s="263" t="str">
        <f t="shared" si="49"/>
        <v/>
      </c>
      <c r="T163" s="263" t="str">
        <f t="shared" si="49"/>
        <v/>
      </c>
      <c r="U163" s="263" t="str">
        <f t="shared" si="49"/>
        <v/>
      </c>
      <c r="V163" s="263" t="str">
        <f t="shared" si="49"/>
        <v/>
      </c>
      <c r="W163" s="263" t="str">
        <f t="shared" si="37"/>
        <v/>
      </c>
      <c r="X163" s="30"/>
      <c r="Y163" s="264"/>
      <c r="Z163" s="30"/>
      <c r="AA163" s="61"/>
      <c r="AB163" s="62"/>
      <c r="AC163" s="263" t="str">
        <f t="shared" si="38"/>
        <v/>
      </c>
      <c r="AD163" s="263" t="str">
        <f t="shared" si="39"/>
        <v/>
      </c>
      <c r="AE163" s="263" t="str">
        <f t="shared" si="40"/>
        <v/>
      </c>
      <c r="AF163" s="263" t="str">
        <f t="shared" si="41"/>
        <v/>
      </c>
      <c r="AG163" s="263" t="str">
        <f t="shared" si="42"/>
        <v/>
      </c>
      <c r="AH163" s="263" t="str">
        <f t="shared" si="43"/>
        <v/>
      </c>
      <c r="AI163" s="263" t="str">
        <f t="shared" si="44"/>
        <v/>
      </c>
    </row>
    <row r="164" spans="1:35">
      <c r="A164" s="164">
        <v>147</v>
      </c>
      <c r="B164" s="60" t="str">
        <f>IF('Add Change'!D169="","",+'Add Change'!D169)</f>
        <v/>
      </c>
      <c r="C164" s="31" t="str">
        <f>IF('Add Change'!I169="","",+'Add Change'!I169)</f>
        <v/>
      </c>
      <c r="D164" s="253" t="str">
        <f>IF('Add Change'!W169="","",'Add Change'!W169)</f>
        <v/>
      </c>
      <c r="E164" s="31"/>
      <c r="F164" s="70"/>
      <c r="G164" s="253"/>
      <c r="H164" s="254" t="str">
        <f t="shared" si="47"/>
        <v/>
      </c>
      <c r="I164" s="255" t="str">
        <f t="shared" si="48"/>
        <v/>
      </c>
      <c r="J164" s="256"/>
      <c r="K164" s="257"/>
      <c r="L164" s="258" t="str">
        <f t="shared" si="33"/>
        <v/>
      </c>
      <c r="M164" s="259" t="str">
        <f t="shared" si="34"/>
        <v/>
      </c>
      <c r="N164" s="260" t="str">
        <f t="shared" si="46"/>
        <v/>
      </c>
      <c r="O164" s="261" t="str">
        <f t="shared" si="35"/>
        <v/>
      </c>
      <c r="P164" s="262" t="str">
        <f t="shared" si="36"/>
        <v/>
      </c>
      <c r="Q164" s="263" t="str">
        <f t="shared" si="49"/>
        <v/>
      </c>
      <c r="R164" s="263" t="str">
        <f t="shared" si="49"/>
        <v/>
      </c>
      <c r="S164" s="263" t="str">
        <f t="shared" si="49"/>
        <v/>
      </c>
      <c r="T164" s="263" t="str">
        <f t="shared" si="49"/>
        <v/>
      </c>
      <c r="U164" s="263" t="str">
        <f t="shared" si="49"/>
        <v/>
      </c>
      <c r="V164" s="263" t="str">
        <f t="shared" si="49"/>
        <v/>
      </c>
      <c r="W164" s="263" t="str">
        <f t="shared" si="37"/>
        <v/>
      </c>
      <c r="X164" s="30"/>
      <c r="Y164" s="264"/>
      <c r="Z164" s="30"/>
      <c r="AA164" s="61"/>
      <c r="AB164" s="62"/>
      <c r="AC164" s="263" t="str">
        <f t="shared" si="38"/>
        <v/>
      </c>
      <c r="AD164" s="263" t="str">
        <f t="shared" si="39"/>
        <v/>
      </c>
      <c r="AE164" s="263" t="str">
        <f t="shared" si="40"/>
        <v/>
      </c>
      <c r="AF164" s="263" t="str">
        <f t="shared" si="41"/>
        <v/>
      </c>
      <c r="AG164" s="263" t="str">
        <f t="shared" si="42"/>
        <v/>
      </c>
      <c r="AH164" s="263" t="str">
        <f t="shared" si="43"/>
        <v/>
      </c>
      <c r="AI164" s="263" t="str">
        <f t="shared" si="44"/>
        <v/>
      </c>
    </row>
    <row r="165" spans="1:35">
      <c r="A165" s="164">
        <v>148</v>
      </c>
      <c r="B165" s="60" t="str">
        <f>IF('Add Change'!D170="","",+'Add Change'!D170)</f>
        <v/>
      </c>
      <c r="C165" s="31" t="str">
        <f>IF('Add Change'!I170="","",+'Add Change'!I170)</f>
        <v/>
      </c>
      <c r="D165" s="253" t="str">
        <f>IF('Add Change'!W170="","",'Add Change'!W170)</f>
        <v/>
      </c>
      <c r="E165" s="31"/>
      <c r="F165" s="70"/>
      <c r="G165" s="253"/>
      <c r="H165" s="254" t="str">
        <f t="shared" si="47"/>
        <v/>
      </c>
      <c r="I165" s="255" t="str">
        <f t="shared" si="48"/>
        <v/>
      </c>
      <c r="J165" s="256"/>
      <c r="K165" s="257"/>
      <c r="L165" s="258" t="str">
        <f t="shared" si="33"/>
        <v/>
      </c>
      <c r="M165" s="259" t="str">
        <f t="shared" si="34"/>
        <v/>
      </c>
      <c r="N165" s="260" t="str">
        <f t="shared" si="46"/>
        <v/>
      </c>
      <c r="O165" s="261" t="str">
        <f t="shared" si="35"/>
        <v/>
      </c>
      <c r="P165" s="262" t="str">
        <f t="shared" si="36"/>
        <v/>
      </c>
      <c r="Q165" s="263" t="str">
        <f t="shared" si="49"/>
        <v/>
      </c>
      <c r="R165" s="263" t="str">
        <f t="shared" si="49"/>
        <v/>
      </c>
      <c r="S165" s="263" t="str">
        <f t="shared" si="49"/>
        <v/>
      </c>
      <c r="T165" s="263" t="str">
        <f t="shared" si="49"/>
        <v/>
      </c>
      <c r="U165" s="263" t="str">
        <f t="shared" si="49"/>
        <v/>
      </c>
      <c r="V165" s="263" t="str">
        <f t="shared" si="49"/>
        <v/>
      </c>
      <c r="W165" s="263" t="str">
        <f t="shared" si="37"/>
        <v/>
      </c>
      <c r="X165" s="30"/>
      <c r="Y165" s="264"/>
      <c r="Z165" s="30"/>
      <c r="AA165" s="61"/>
      <c r="AB165" s="62"/>
      <c r="AC165" s="263" t="str">
        <f t="shared" si="38"/>
        <v/>
      </c>
      <c r="AD165" s="263" t="str">
        <f t="shared" si="39"/>
        <v/>
      </c>
      <c r="AE165" s="263" t="str">
        <f t="shared" si="40"/>
        <v/>
      </c>
      <c r="AF165" s="263" t="str">
        <f t="shared" si="41"/>
        <v/>
      </c>
      <c r="AG165" s="263" t="str">
        <f t="shared" si="42"/>
        <v/>
      </c>
      <c r="AH165" s="263" t="str">
        <f t="shared" si="43"/>
        <v/>
      </c>
      <c r="AI165" s="263" t="str">
        <f t="shared" si="44"/>
        <v/>
      </c>
    </row>
    <row r="166" spans="1:35">
      <c r="A166" s="164">
        <v>149</v>
      </c>
      <c r="B166" s="60" t="str">
        <f>IF('Add Change'!D171="","",+'Add Change'!D171)</f>
        <v/>
      </c>
      <c r="C166" s="31" t="str">
        <f>IF('Add Change'!I171="","",+'Add Change'!I171)</f>
        <v/>
      </c>
      <c r="D166" s="253" t="str">
        <f>IF('Add Change'!W171="","",'Add Change'!W171)</f>
        <v/>
      </c>
      <c r="E166" s="31"/>
      <c r="F166" s="70"/>
      <c r="G166" s="253"/>
      <c r="H166" s="254" t="str">
        <f t="shared" si="47"/>
        <v/>
      </c>
      <c r="I166" s="255" t="str">
        <f t="shared" si="48"/>
        <v/>
      </c>
      <c r="J166" s="256"/>
      <c r="K166" s="257"/>
      <c r="L166" s="258" t="str">
        <f t="shared" si="33"/>
        <v/>
      </c>
      <c r="M166" s="259" t="str">
        <f t="shared" si="34"/>
        <v/>
      </c>
      <c r="N166" s="260" t="str">
        <f t="shared" si="46"/>
        <v/>
      </c>
      <c r="O166" s="261" t="str">
        <f t="shared" si="35"/>
        <v/>
      </c>
      <c r="P166" s="262" t="str">
        <f t="shared" si="36"/>
        <v/>
      </c>
      <c r="Q166" s="263" t="str">
        <f t="shared" si="49"/>
        <v/>
      </c>
      <c r="R166" s="263" t="str">
        <f t="shared" si="49"/>
        <v/>
      </c>
      <c r="S166" s="263" t="str">
        <f t="shared" si="49"/>
        <v/>
      </c>
      <c r="T166" s="263" t="str">
        <f t="shared" si="49"/>
        <v/>
      </c>
      <c r="U166" s="263" t="str">
        <f t="shared" si="49"/>
        <v/>
      </c>
      <c r="V166" s="263" t="str">
        <f t="shared" si="49"/>
        <v/>
      </c>
      <c r="W166" s="263" t="str">
        <f t="shared" si="37"/>
        <v/>
      </c>
      <c r="X166" s="30"/>
      <c r="Y166" s="264"/>
      <c r="Z166" s="30"/>
      <c r="AA166" s="61"/>
      <c r="AB166" s="62"/>
      <c r="AC166" s="263" t="str">
        <f t="shared" si="38"/>
        <v/>
      </c>
      <c r="AD166" s="263" t="str">
        <f t="shared" si="39"/>
        <v/>
      </c>
      <c r="AE166" s="263" t="str">
        <f t="shared" si="40"/>
        <v/>
      </c>
      <c r="AF166" s="263" t="str">
        <f t="shared" si="41"/>
        <v/>
      </c>
      <c r="AG166" s="263" t="str">
        <f t="shared" si="42"/>
        <v/>
      </c>
      <c r="AH166" s="263" t="str">
        <f t="shared" si="43"/>
        <v/>
      </c>
      <c r="AI166" s="263" t="str">
        <f t="shared" si="44"/>
        <v/>
      </c>
    </row>
    <row r="167" spans="1:35">
      <c r="A167" s="164">
        <v>150</v>
      </c>
      <c r="B167" s="60" t="str">
        <f>IF('Add Change'!D172="","",+'Add Change'!D172)</f>
        <v/>
      </c>
      <c r="C167" s="31" t="str">
        <f>IF('Add Change'!I172="","",+'Add Change'!I172)</f>
        <v/>
      </c>
      <c r="D167" s="253" t="str">
        <f>IF('Add Change'!W172="","",'Add Change'!W172)</f>
        <v/>
      </c>
      <c r="E167" s="31"/>
      <c r="F167" s="70"/>
      <c r="G167" s="253"/>
      <c r="H167" s="254" t="str">
        <f t="shared" si="47"/>
        <v/>
      </c>
      <c r="I167" s="255" t="str">
        <f t="shared" si="48"/>
        <v/>
      </c>
      <c r="J167" s="256"/>
      <c r="K167" s="257"/>
      <c r="L167" s="258" t="str">
        <f t="shared" si="33"/>
        <v/>
      </c>
      <c r="M167" s="259" t="str">
        <f t="shared" si="34"/>
        <v/>
      </c>
      <c r="N167" s="260" t="str">
        <f t="shared" si="46"/>
        <v/>
      </c>
      <c r="O167" s="261" t="str">
        <f t="shared" si="35"/>
        <v/>
      </c>
      <c r="P167" s="262" t="str">
        <f t="shared" si="36"/>
        <v/>
      </c>
      <c r="Q167" s="263" t="str">
        <f t="shared" si="49"/>
        <v/>
      </c>
      <c r="R167" s="263" t="str">
        <f t="shared" si="49"/>
        <v/>
      </c>
      <c r="S167" s="263" t="str">
        <f t="shared" si="49"/>
        <v/>
      </c>
      <c r="T167" s="263" t="str">
        <f t="shared" si="49"/>
        <v/>
      </c>
      <c r="U167" s="263" t="str">
        <f t="shared" si="49"/>
        <v/>
      </c>
      <c r="V167" s="263" t="str">
        <f t="shared" si="49"/>
        <v/>
      </c>
      <c r="W167" s="263" t="str">
        <f t="shared" si="37"/>
        <v/>
      </c>
      <c r="X167" s="30"/>
      <c r="Y167" s="264"/>
      <c r="Z167" s="30"/>
      <c r="AA167" s="61"/>
      <c r="AB167" s="62"/>
      <c r="AC167" s="263" t="str">
        <f t="shared" si="38"/>
        <v/>
      </c>
      <c r="AD167" s="263" t="str">
        <f t="shared" si="39"/>
        <v/>
      </c>
      <c r="AE167" s="263" t="str">
        <f t="shared" si="40"/>
        <v/>
      </c>
      <c r="AF167" s="263" t="str">
        <f t="shared" si="41"/>
        <v/>
      </c>
      <c r="AG167" s="263" t="str">
        <f t="shared" si="42"/>
        <v/>
      </c>
      <c r="AH167" s="263" t="str">
        <f t="shared" si="43"/>
        <v/>
      </c>
      <c r="AI167" s="263" t="str">
        <f t="shared" si="44"/>
        <v/>
      </c>
    </row>
    <row r="168" spans="1:35">
      <c r="A168" s="164">
        <v>151</v>
      </c>
      <c r="B168" s="60" t="str">
        <f>IF('Add Change'!D173="","",+'Add Change'!D173)</f>
        <v/>
      </c>
      <c r="C168" s="31" t="str">
        <f>IF('Add Change'!I173="","",+'Add Change'!I173)</f>
        <v/>
      </c>
      <c r="D168" s="253" t="str">
        <f>IF('Add Change'!W173="","",'Add Change'!W173)</f>
        <v/>
      </c>
      <c r="E168" s="31"/>
      <c r="F168" s="70"/>
      <c r="G168" s="253"/>
      <c r="H168" s="254" t="str">
        <f t="shared" si="47"/>
        <v/>
      </c>
      <c r="I168" s="255" t="str">
        <f t="shared" si="48"/>
        <v/>
      </c>
      <c r="J168" s="256"/>
      <c r="K168" s="257"/>
      <c r="L168" s="258" t="str">
        <f t="shared" si="33"/>
        <v/>
      </c>
      <c r="M168" s="259" t="str">
        <f t="shared" si="34"/>
        <v/>
      </c>
      <c r="N168" s="260" t="str">
        <f t="shared" si="46"/>
        <v/>
      </c>
      <c r="O168" s="261" t="str">
        <f t="shared" si="35"/>
        <v/>
      </c>
      <c r="P168" s="262" t="str">
        <f t="shared" si="36"/>
        <v/>
      </c>
      <c r="Q168" s="263" t="str">
        <f t="shared" si="49"/>
        <v/>
      </c>
      <c r="R168" s="263" t="str">
        <f t="shared" si="49"/>
        <v/>
      </c>
      <c r="S168" s="263" t="str">
        <f t="shared" si="49"/>
        <v/>
      </c>
      <c r="T168" s="263" t="str">
        <f t="shared" si="49"/>
        <v/>
      </c>
      <c r="U168" s="263" t="str">
        <f t="shared" si="49"/>
        <v/>
      </c>
      <c r="V168" s="263" t="str">
        <f t="shared" si="49"/>
        <v/>
      </c>
      <c r="W168" s="263" t="str">
        <f t="shared" si="37"/>
        <v/>
      </c>
      <c r="X168" s="30"/>
      <c r="Y168" s="264"/>
      <c r="Z168" s="30"/>
      <c r="AA168" s="61"/>
      <c r="AB168" s="62"/>
      <c r="AC168" s="263" t="str">
        <f t="shared" si="38"/>
        <v/>
      </c>
      <c r="AD168" s="263" t="str">
        <f t="shared" si="39"/>
        <v/>
      </c>
      <c r="AE168" s="263" t="str">
        <f t="shared" si="40"/>
        <v/>
      </c>
      <c r="AF168" s="263" t="str">
        <f t="shared" si="41"/>
        <v/>
      </c>
      <c r="AG168" s="263" t="str">
        <f t="shared" si="42"/>
        <v/>
      </c>
      <c r="AH168" s="263" t="str">
        <f t="shared" si="43"/>
        <v/>
      </c>
      <c r="AI168" s="263" t="str">
        <f t="shared" si="44"/>
        <v/>
      </c>
    </row>
    <row r="169" spans="1:35">
      <c r="A169" s="164">
        <v>152</v>
      </c>
      <c r="B169" s="60" t="str">
        <f>IF('Add Change'!D174="","",+'Add Change'!D174)</f>
        <v/>
      </c>
      <c r="C169" s="31" t="str">
        <f>IF('Add Change'!I174="","",+'Add Change'!I174)</f>
        <v/>
      </c>
      <c r="D169" s="253" t="str">
        <f>IF('Add Change'!W174="","",'Add Change'!W174)</f>
        <v/>
      </c>
      <c r="E169" s="31"/>
      <c r="F169" s="70"/>
      <c r="G169" s="253"/>
      <c r="H169" s="254" t="str">
        <f t="shared" si="47"/>
        <v/>
      </c>
      <c r="I169" s="255" t="str">
        <f t="shared" si="48"/>
        <v/>
      </c>
      <c r="J169" s="256"/>
      <c r="K169" s="257"/>
      <c r="L169" s="258" t="str">
        <f t="shared" si="33"/>
        <v/>
      </c>
      <c r="M169" s="259" t="str">
        <f t="shared" si="34"/>
        <v/>
      </c>
      <c r="N169" s="260" t="str">
        <f t="shared" si="46"/>
        <v/>
      </c>
      <c r="O169" s="261" t="str">
        <f t="shared" si="35"/>
        <v/>
      </c>
      <c r="P169" s="262" t="str">
        <f t="shared" si="36"/>
        <v/>
      </c>
      <c r="Q169" s="263" t="str">
        <f t="shared" si="49"/>
        <v/>
      </c>
      <c r="R169" s="263" t="str">
        <f t="shared" si="49"/>
        <v/>
      </c>
      <c r="S169" s="263" t="str">
        <f t="shared" si="49"/>
        <v/>
      </c>
      <c r="T169" s="263" t="str">
        <f t="shared" si="49"/>
        <v/>
      </c>
      <c r="U169" s="263" t="str">
        <f t="shared" si="49"/>
        <v/>
      </c>
      <c r="V169" s="263" t="str">
        <f t="shared" si="49"/>
        <v/>
      </c>
      <c r="W169" s="263" t="str">
        <f t="shared" si="37"/>
        <v/>
      </c>
      <c r="X169" s="30"/>
      <c r="Y169" s="264"/>
      <c r="Z169" s="30"/>
      <c r="AA169" s="61"/>
      <c r="AB169" s="62"/>
      <c r="AC169" s="263" t="str">
        <f t="shared" si="38"/>
        <v/>
      </c>
      <c r="AD169" s="263" t="str">
        <f t="shared" si="39"/>
        <v/>
      </c>
      <c r="AE169" s="263" t="str">
        <f t="shared" si="40"/>
        <v/>
      </c>
      <c r="AF169" s="263" t="str">
        <f t="shared" si="41"/>
        <v/>
      </c>
      <c r="AG169" s="263" t="str">
        <f t="shared" si="42"/>
        <v/>
      </c>
      <c r="AH169" s="263" t="str">
        <f t="shared" si="43"/>
        <v/>
      </c>
      <c r="AI169" s="263" t="str">
        <f t="shared" si="44"/>
        <v/>
      </c>
    </row>
    <row r="170" spans="1:35">
      <c r="A170" s="164">
        <v>153</v>
      </c>
      <c r="B170" s="60" t="str">
        <f>IF('Add Change'!D175="","",+'Add Change'!D175)</f>
        <v/>
      </c>
      <c r="C170" s="31" t="str">
        <f>IF('Add Change'!I175="","",+'Add Change'!I175)</f>
        <v/>
      </c>
      <c r="D170" s="253" t="str">
        <f>IF('Add Change'!W175="","",'Add Change'!W175)</f>
        <v/>
      </c>
      <c r="E170" s="31"/>
      <c r="F170" s="70"/>
      <c r="G170" s="253"/>
      <c r="H170" s="254" t="str">
        <f t="shared" si="47"/>
        <v/>
      </c>
      <c r="I170" s="255" t="str">
        <f t="shared" si="48"/>
        <v/>
      </c>
      <c r="J170" s="256"/>
      <c r="K170" s="257"/>
      <c r="L170" s="258" t="str">
        <f t="shared" si="33"/>
        <v/>
      </c>
      <c r="M170" s="259" t="str">
        <f t="shared" si="34"/>
        <v/>
      </c>
      <c r="N170" s="260" t="str">
        <f t="shared" si="46"/>
        <v/>
      </c>
      <c r="O170" s="261" t="str">
        <f t="shared" si="35"/>
        <v/>
      </c>
      <c r="P170" s="262" t="str">
        <f t="shared" si="36"/>
        <v/>
      </c>
      <c r="Q170" s="263" t="str">
        <f t="shared" si="49"/>
        <v/>
      </c>
      <c r="R170" s="263" t="str">
        <f t="shared" si="49"/>
        <v/>
      </c>
      <c r="S170" s="263" t="str">
        <f t="shared" si="49"/>
        <v/>
      </c>
      <c r="T170" s="263" t="str">
        <f t="shared" si="49"/>
        <v/>
      </c>
      <c r="U170" s="263" t="str">
        <f t="shared" si="49"/>
        <v/>
      </c>
      <c r="V170" s="263" t="str">
        <f t="shared" si="49"/>
        <v/>
      </c>
      <c r="W170" s="263" t="str">
        <f t="shared" si="37"/>
        <v/>
      </c>
      <c r="X170" s="30"/>
      <c r="Y170" s="264"/>
      <c r="Z170" s="30"/>
      <c r="AA170" s="61"/>
      <c r="AB170" s="62"/>
      <c r="AC170" s="263" t="str">
        <f t="shared" si="38"/>
        <v/>
      </c>
      <c r="AD170" s="263" t="str">
        <f t="shared" si="39"/>
        <v/>
      </c>
      <c r="AE170" s="263" t="str">
        <f t="shared" si="40"/>
        <v/>
      </c>
      <c r="AF170" s="263" t="str">
        <f t="shared" si="41"/>
        <v/>
      </c>
      <c r="AG170" s="263" t="str">
        <f t="shared" si="42"/>
        <v/>
      </c>
      <c r="AH170" s="263" t="str">
        <f t="shared" si="43"/>
        <v/>
      </c>
      <c r="AI170" s="263" t="str">
        <f t="shared" si="44"/>
        <v/>
      </c>
    </row>
    <row r="171" spans="1:35">
      <c r="A171" s="164">
        <v>154</v>
      </c>
      <c r="B171" s="60" t="str">
        <f>IF('Add Change'!D176="","",+'Add Change'!D176)</f>
        <v/>
      </c>
      <c r="C171" s="31" t="str">
        <f>IF('Add Change'!I176="","",+'Add Change'!I176)</f>
        <v/>
      </c>
      <c r="D171" s="253" t="str">
        <f>IF('Add Change'!W176="","",'Add Change'!W176)</f>
        <v/>
      </c>
      <c r="E171" s="31"/>
      <c r="F171" s="70"/>
      <c r="G171" s="253"/>
      <c r="H171" s="254" t="str">
        <f t="shared" si="47"/>
        <v/>
      </c>
      <c r="I171" s="255" t="str">
        <f t="shared" si="48"/>
        <v/>
      </c>
      <c r="J171" s="256"/>
      <c r="K171" s="257"/>
      <c r="L171" s="258" t="str">
        <f t="shared" si="33"/>
        <v/>
      </c>
      <c r="M171" s="259" t="str">
        <f t="shared" si="34"/>
        <v/>
      </c>
      <c r="N171" s="260" t="str">
        <f t="shared" si="46"/>
        <v/>
      </c>
      <c r="O171" s="261" t="str">
        <f t="shared" si="35"/>
        <v/>
      </c>
      <c r="P171" s="262" t="str">
        <f t="shared" si="36"/>
        <v/>
      </c>
      <c r="Q171" s="263" t="str">
        <f t="shared" si="49"/>
        <v/>
      </c>
      <c r="R171" s="263" t="str">
        <f t="shared" si="49"/>
        <v/>
      </c>
      <c r="S171" s="263" t="str">
        <f t="shared" si="49"/>
        <v/>
      </c>
      <c r="T171" s="263" t="str">
        <f t="shared" si="49"/>
        <v/>
      </c>
      <c r="U171" s="263" t="str">
        <f t="shared" si="49"/>
        <v/>
      </c>
      <c r="V171" s="263" t="str">
        <f t="shared" si="49"/>
        <v/>
      </c>
      <c r="W171" s="263" t="str">
        <f t="shared" si="37"/>
        <v/>
      </c>
      <c r="X171" s="30"/>
      <c r="Y171" s="264"/>
      <c r="Z171" s="30"/>
      <c r="AA171" s="61"/>
      <c r="AB171" s="62"/>
      <c r="AC171" s="263" t="str">
        <f t="shared" si="38"/>
        <v/>
      </c>
      <c r="AD171" s="263" t="str">
        <f t="shared" si="39"/>
        <v/>
      </c>
      <c r="AE171" s="263" t="str">
        <f t="shared" si="40"/>
        <v/>
      </c>
      <c r="AF171" s="263" t="str">
        <f t="shared" si="41"/>
        <v/>
      </c>
      <c r="AG171" s="263" t="str">
        <f t="shared" si="42"/>
        <v/>
      </c>
      <c r="AH171" s="263" t="str">
        <f t="shared" si="43"/>
        <v/>
      </c>
      <c r="AI171" s="263" t="str">
        <f t="shared" si="44"/>
        <v/>
      </c>
    </row>
    <row r="172" spans="1:35">
      <c r="A172" s="164">
        <v>155</v>
      </c>
      <c r="B172" s="60" t="str">
        <f>IF('Add Change'!D177="","",+'Add Change'!D177)</f>
        <v/>
      </c>
      <c r="C172" s="31" t="str">
        <f>IF('Add Change'!I177="","",+'Add Change'!I177)</f>
        <v/>
      </c>
      <c r="D172" s="253" t="str">
        <f>IF('Add Change'!W177="","",'Add Change'!W177)</f>
        <v/>
      </c>
      <c r="E172" s="31"/>
      <c r="F172" s="70"/>
      <c r="G172" s="253"/>
      <c r="H172" s="254" t="str">
        <f t="shared" si="47"/>
        <v/>
      </c>
      <c r="I172" s="255" t="str">
        <f t="shared" si="48"/>
        <v/>
      </c>
      <c r="J172" s="256"/>
      <c r="K172" s="257"/>
      <c r="L172" s="258" t="str">
        <f t="shared" si="33"/>
        <v/>
      </c>
      <c r="M172" s="259" t="str">
        <f t="shared" si="34"/>
        <v/>
      </c>
      <c r="N172" s="260" t="str">
        <f t="shared" si="46"/>
        <v/>
      </c>
      <c r="O172" s="261" t="str">
        <f t="shared" si="35"/>
        <v/>
      </c>
      <c r="P172" s="262" t="str">
        <f t="shared" si="36"/>
        <v/>
      </c>
      <c r="Q172" s="263" t="str">
        <f t="shared" si="49"/>
        <v/>
      </c>
      <c r="R172" s="263" t="str">
        <f t="shared" si="49"/>
        <v/>
      </c>
      <c r="S172" s="263" t="str">
        <f t="shared" si="49"/>
        <v/>
      </c>
      <c r="T172" s="263" t="str">
        <f t="shared" si="49"/>
        <v/>
      </c>
      <c r="U172" s="263" t="str">
        <f t="shared" si="49"/>
        <v/>
      </c>
      <c r="V172" s="263" t="str">
        <f t="shared" si="49"/>
        <v/>
      </c>
      <c r="W172" s="263" t="str">
        <f t="shared" si="37"/>
        <v/>
      </c>
      <c r="X172" s="30"/>
      <c r="Y172" s="264"/>
      <c r="Z172" s="30"/>
      <c r="AA172" s="61"/>
      <c r="AB172" s="62"/>
      <c r="AC172" s="263" t="str">
        <f t="shared" si="38"/>
        <v/>
      </c>
      <c r="AD172" s="263" t="str">
        <f t="shared" si="39"/>
        <v/>
      </c>
      <c r="AE172" s="263" t="str">
        <f t="shared" si="40"/>
        <v/>
      </c>
      <c r="AF172" s="263" t="str">
        <f t="shared" si="41"/>
        <v/>
      </c>
      <c r="AG172" s="263" t="str">
        <f t="shared" si="42"/>
        <v/>
      </c>
      <c r="AH172" s="263" t="str">
        <f t="shared" si="43"/>
        <v/>
      </c>
      <c r="AI172" s="263" t="str">
        <f t="shared" si="44"/>
        <v/>
      </c>
    </row>
    <row r="173" spans="1:35">
      <c r="A173" s="164">
        <v>156</v>
      </c>
      <c r="B173" s="60" t="str">
        <f>IF('Add Change'!D178="","",+'Add Change'!D178)</f>
        <v/>
      </c>
      <c r="C173" s="31" t="str">
        <f>IF('Add Change'!I178="","",+'Add Change'!I178)</f>
        <v/>
      </c>
      <c r="D173" s="253" t="str">
        <f>IF('Add Change'!W178="","",'Add Change'!W178)</f>
        <v/>
      </c>
      <c r="E173" s="31"/>
      <c r="F173" s="70"/>
      <c r="G173" s="253"/>
      <c r="H173" s="254" t="str">
        <f t="shared" si="47"/>
        <v/>
      </c>
      <c r="I173" s="255" t="str">
        <f t="shared" si="48"/>
        <v/>
      </c>
      <c r="J173" s="256"/>
      <c r="K173" s="257"/>
      <c r="L173" s="258" t="str">
        <f t="shared" si="33"/>
        <v/>
      </c>
      <c r="M173" s="259" t="str">
        <f t="shared" si="34"/>
        <v/>
      </c>
      <c r="N173" s="260" t="str">
        <f t="shared" si="46"/>
        <v/>
      </c>
      <c r="O173" s="261" t="str">
        <f t="shared" si="35"/>
        <v/>
      </c>
      <c r="P173" s="262" t="str">
        <f t="shared" si="36"/>
        <v/>
      </c>
      <c r="Q173" s="263" t="str">
        <f t="shared" si="49"/>
        <v/>
      </c>
      <c r="R173" s="263" t="str">
        <f t="shared" si="49"/>
        <v/>
      </c>
      <c r="S173" s="263" t="str">
        <f t="shared" si="49"/>
        <v/>
      </c>
      <c r="T173" s="263" t="str">
        <f t="shared" si="49"/>
        <v/>
      </c>
      <c r="U173" s="263" t="str">
        <f t="shared" si="49"/>
        <v/>
      </c>
      <c r="V173" s="263" t="str">
        <f t="shared" si="49"/>
        <v/>
      </c>
      <c r="W173" s="263" t="str">
        <f t="shared" si="37"/>
        <v/>
      </c>
      <c r="X173" s="30"/>
      <c r="Y173" s="264"/>
      <c r="Z173" s="30"/>
      <c r="AA173" s="61"/>
      <c r="AB173" s="62"/>
      <c r="AC173" s="263" t="str">
        <f t="shared" si="38"/>
        <v/>
      </c>
      <c r="AD173" s="263" t="str">
        <f t="shared" si="39"/>
        <v/>
      </c>
      <c r="AE173" s="263" t="str">
        <f t="shared" si="40"/>
        <v/>
      </c>
      <c r="AF173" s="263" t="str">
        <f t="shared" si="41"/>
        <v/>
      </c>
      <c r="AG173" s="263" t="str">
        <f t="shared" si="42"/>
        <v/>
      </c>
      <c r="AH173" s="263" t="str">
        <f t="shared" si="43"/>
        <v/>
      </c>
      <c r="AI173" s="263" t="str">
        <f t="shared" si="44"/>
        <v/>
      </c>
    </row>
    <row r="174" spans="1:35">
      <c r="A174" s="164">
        <v>157</v>
      </c>
      <c r="B174" s="60" t="str">
        <f>IF('Add Change'!D179="","",+'Add Change'!D179)</f>
        <v/>
      </c>
      <c r="C174" s="31" t="str">
        <f>IF('Add Change'!I179="","",+'Add Change'!I179)</f>
        <v/>
      </c>
      <c r="D174" s="253" t="str">
        <f>IF('Add Change'!W179="","",'Add Change'!W179)</f>
        <v/>
      </c>
      <c r="E174" s="31"/>
      <c r="F174" s="70"/>
      <c r="G174" s="253"/>
      <c r="H174" s="254" t="str">
        <f t="shared" si="47"/>
        <v/>
      </c>
      <c r="I174" s="255" t="str">
        <f t="shared" si="48"/>
        <v/>
      </c>
      <c r="J174" s="256"/>
      <c r="K174" s="257"/>
      <c r="L174" s="258" t="str">
        <f t="shared" si="33"/>
        <v/>
      </c>
      <c r="M174" s="259" t="str">
        <f t="shared" si="34"/>
        <v/>
      </c>
      <c r="N174" s="260" t="str">
        <f t="shared" si="46"/>
        <v/>
      </c>
      <c r="O174" s="261" t="str">
        <f t="shared" si="35"/>
        <v/>
      </c>
      <c r="P174" s="262" t="str">
        <f t="shared" si="36"/>
        <v/>
      </c>
      <c r="Q174" s="263" t="str">
        <f t="shared" si="49"/>
        <v/>
      </c>
      <c r="R174" s="263" t="str">
        <f t="shared" si="49"/>
        <v/>
      </c>
      <c r="S174" s="263" t="str">
        <f t="shared" si="49"/>
        <v/>
      </c>
      <c r="T174" s="263" t="str">
        <f t="shared" si="49"/>
        <v/>
      </c>
      <c r="U174" s="263" t="str">
        <f t="shared" si="49"/>
        <v/>
      </c>
      <c r="V174" s="263" t="str">
        <f t="shared" si="49"/>
        <v/>
      </c>
      <c r="W174" s="263" t="str">
        <f t="shared" si="37"/>
        <v/>
      </c>
      <c r="X174" s="30"/>
      <c r="Y174" s="264"/>
      <c r="Z174" s="30"/>
      <c r="AA174" s="61"/>
      <c r="AB174" s="62"/>
      <c r="AC174" s="263" t="str">
        <f t="shared" si="38"/>
        <v/>
      </c>
      <c r="AD174" s="263" t="str">
        <f t="shared" si="39"/>
        <v/>
      </c>
      <c r="AE174" s="263" t="str">
        <f t="shared" si="40"/>
        <v/>
      </c>
      <c r="AF174" s="263" t="str">
        <f t="shared" si="41"/>
        <v/>
      </c>
      <c r="AG174" s="263" t="str">
        <f t="shared" si="42"/>
        <v/>
      </c>
      <c r="AH174" s="263" t="str">
        <f t="shared" si="43"/>
        <v/>
      </c>
      <c r="AI174" s="263" t="str">
        <f t="shared" si="44"/>
        <v/>
      </c>
    </row>
    <row r="175" spans="1:35">
      <c r="A175" s="164">
        <v>158</v>
      </c>
      <c r="B175" s="60" t="str">
        <f>IF('Add Change'!D180="","",+'Add Change'!D180)</f>
        <v/>
      </c>
      <c r="C175" s="31" t="str">
        <f>IF('Add Change'!I180="","",+'Add Change'!I180)</f>
        <v/>
      </c>
      <c r="D175" s="253" t="str">
        <f>IF('Add Change'!W180="","",'Add Change'!W180)</f>
        <v/>
      </c>
      <c r="E175" s="31"/>
      <c r="F175" s="70"/>
      <c r="G175" s="253"/>
      <c r="H175" s="254" t="str">
        <f t="shared" si="47"/>
        <v/>
      </c>
      <c r="I175" s="255" t="str">
        <f t="shared" si="48"/>
        <v/>
      </c>
      <c r="J175" s="256"/>
      <c r="K175" s="257"/>
      <c r="L175" s="258" t="str">
        <f t="shared" si="33"/>
        <v/>
      </c>
      <c r="M175" s="259" t="str">
        <f t="shared" si="34"/>
        <v/>
      </c>
      <c r="N175" s="260" t="str">
        <f t="shared" si="46"/>
        <v/>
      </c>
      <c r="O175" s="261" t="str">
        <f t="shared" si="35"/>
        <v/>
      </c>
      <c r="P175" s="262" t="str">
        <f t="shared" si="36"/>
        <v/>
      </c>
      <c r="Q175" s="263" t="str">
        <f t="shared" si="49"/>
        <v/>
      </c>
      <c r="R175" s="263" t="str">
        <f t="shared" si="49"/>
        <v/>
      </c>
      <c r="S175" s="263" t="str">
        <f t="shared" si="49"/>
        <v/>
      </c>
      <c r="T175" s="263" t="str">
        <f t="shared" si="49"/>
        <v/>
      </c>
      <c r="U175" s="263" t="str">
        <f t="shared" si="49"/>
        <v/>
      </c>
      <c r="V175" s="263" t="str">
        <f t="shared" si="49"/>
        <v/>
      </c>
      <c r="W175" s="263" t="str">
        <f t="shared" si="37"/>
        <v/>
      </c>
      <c r="X175" s="30"/>
      <c r="Y175" s="264"/>
      <c r="Z175" s="30"/>
      <c r="AA175" s="61"/>
      <c r="AB175" s="62"/>
      <c r="AC175" s="263" t="str">
        <f t="shared" si="38"/>
        <v/>
      </c>
      <c r="AD175" s="263" t="str">
        <f t="shared" si="39"/>
        <v/>
      </c>
      <c r="AE175" s="263" t="str">
        <f t="shared" si="40"/>
        <v/>
      </c>
      <c r="AF175" s="263" t="str">
        <f t="shared" si="41"/>
        <v/>
      </c>
      <c r="AG175" s="263" t="str">
        <f t="shared" si="42"/>
        <v/>
      </c>
      <c r="AH175" s="263" t="str">
        <f t="shared" si="43"/>
        <v/>
      </c>
      <c r="AI175" s="263" t="str">
        <f t="shared" si="44"/>
        <v/>
      </c>
    </row>
    <row r="176" spans="1:35">
      <c r="A176" s="164">
        <v>159</v>
      </c>
      <c r="B176" s="60" t="str">
        <f>IF('Add Change'!D181="","",+'Add Change'!D181)</f>
        <v/>
      </c>
      <c r="C176" s="31" t="str">
        <f>IF('Add Change'!I181="","",+'Add Change'!I181)</f>
        <v/>
      </c>
      <c r="D176" s="253" t="str">
        <f>IF('Add Change'!W181="","",'Add Change'!W181)</f>
        <v/>
      </c>
      <c r="E176" s="31"/>
      <c r="F176" s="70"/>
      <c r="G176" s="253"/>
      <c r="H176" s="254" t="str">
        <f t="shared" si="47"/>
        <v/>
      </c>
      <c r="I176" s="255" t="str">
        <f t="shared" si="48"/>
        <v/>
      </c>
      <c r="J176" s="256"/>
      <c r="K176" s="257"/>
      <c r="L176" s="258" t="str">
        <f t="shared" si="33"/>
        <v/>
      </c>
      <c r="M176" s="259" t="str">
        <f t="shared" si="34"/>
        <v/>
      </c>
      <c r="N176" s="260" t="str">
        <f t="shared" si="46"/>
        <v/>
      </c>
      <c r="O176" s="261" t="str">
        <f t="shared" si="35"/>
        <v/>
      </c>
      <c r="P176" s="262" t="str">
        <f t="shared" si="36"/>
        <v/>
      </c>
      <c r="Q176" s="263" t="str">
        <f t="shared" si="49"/>
        <v/>
      </c>
      <c r="R176" s="263" t="str">
        <f t="shared" si="49"/>
        <v/>
      </c>
      <c r="S176" s="263" t="str">
        <f t="shared" si="49"/>
        <v/>
      </c>
      <c r="T176" s="263" t="str">
        <f t="shared" si="49"/>
        <v/>
      </c>
      <c r="U176" s="263" t="str">
        <f t="shared" si="49"/>
        <v/>
      </c>
      <c r="V176" s="263" t="str">
        <f t="shared" si="49"/>
        <v/>
      </c>
      <c r="W176" s="263" t="str">
        <f t="shared" si="37"/>
        <v/>
      </c>
      <c r="X176" s="30"/>
      <c r="Y176" s="264"/>
      <c r="Z176" s="30"/>
      <c r="AA176" s="61"/>
      <c r="AB176" s="62"/>
      <c r="AC176" s="263" t="str">
        <f t="shared" si="38"/>
        <v/>
      </c>
      <c r="AD176" s="263" t="str">
        <f t="shared" si="39"/>
        <v/>
      </c>
      <c r="AE176" s="263" t="str">
        <f t="shared" si="40"/>
        <v/>
      </c>
      <c r="AF176" s="263" t="str">
        <f t="shared" si="41"/>
        <v/>
      </c>
      <c r="AG176" s="263" t="str">
        <f t="shared" si="42"/>
        <v/>
      </c>
      <c r="AH176" s="263" t="str">
        <f t="shared" si="43"/>
        <v/>
      </c>
      <c r="AI176" s="263" t="str">
        <f t="shared" si="44"/>
        <v/>
      </c>
    </row>
    <row r="177" spans="1:35">
      <c r="A177" s="164">
        <v>160</v>
      </c>
      <c r="B177" s="60" t="str">
        <f>IF('Add Change'!D182="","",+'Add Change'!D182)</f>
        <v/>
      </c>
      <c r="C177" s="31" t="str">
        <f>IF('Add Change'!I182="","",+'Add Change'!I182)</f>
        <v/>
      </c>
      <c r="D177" s="253" t="str">
        <f>IF('Add Change'!W182="","",'Add Change'!W182)</f>
        <v/>
      </c>
      <c r="E177" s="31"/>
      <c r="F177" s="70"/>
      <c r="G177" s="253"/>
      <c r="H177" s="254" t="str">
        <f t="shared" si="47"/>
        <v/>
      </c>
      <c r="I177" s="255" t="str">
        <f t="shared" si="48"/>
        <v/>
      </c>
      <c r="J177" s="256"/>
      <c r="K177" s="257"/>
      <c r="L177" s="258" t="str">
        <f t="shared" si="33"/>
        <v/>
      </c>
      <c r="M177" s="259" t="str">
        <f t="shared" si="34"/>
        <v/>
      </c>
      <c r="N177" s="260" t="str">
        <f t="shared" si="46"/>
        <v/>
      </c>
      <c r="O177" s="261" t="str">
        <f t="shared" si="35"/>
        <v/>
      </c>
      <c r="P177" s="262" t="str">
        <f t="shared" si="36"/>
        <v/>
      </c>
      <c r="Q177" s="263" t="str">
        <f t="shared" si="49"/>
        <v/>
      </c>
      <c r="R177" s="263" t="str">
        <f t="shared" si="49"/>
        <v/>
      </c>
      <c r="S177" s="263" t="str">
        <f t="shared" si="49"/>
        <v/>
      </c>
      <c r="T177" s="263" t="str">
        <f t="shared" si="49"/>
        <v/>
      </c>
      <c r="U177" s="263" t="str">
        <f t="shared" si="49"/>
        <v/>
      </c>
      <c r="V177" s="263" t="str">
        <f t="shared" si="49"/>
        <v/>
      </c>
      <c r="W177" s="263" t="str">
        <f t="shared" si="37"/>
        <v/>
      </c>
      <c r="X177" s="30"/>
      <c r="Y177" s="264"/>
      <c r="Z177" s="30"/>
      <c r="AA177" s="61"/>
      <c r="AB177" s="62"/>
      <c r="AC177" s="263" t="str">
        <f t="shared" si="38"/>
        <v/>
      </c>
      <c r="AD177" s="263" t="str">
        <f t="shared" si="39"/>
        <v/>
      </c>
      <c r="AE177" s="263" t="str">
        <f t="shared" si="40"/>
        <v/>
      </c>
      <c r="AF177" s="263" t="str">
        <f t="shared" si="41"/>
        <v/>
      </c>
      <c r="AG177" s="263" t="str">
        <f t="shared" si="42"/>
        <v/>
      </c>
      <c r="AH177" s="263" t="str">
        <f t="shared" si="43"/>
        <v/>
      </c>
      <c r="AI177" s="263" t="str">
        <f t="shared" si="44"/>
        <v/>
      </c>
    </row>
    <row r="178" spans="1:35">
      <c r="A178" s="164">
        <v>161</v>
      </c>
      <c r="B178" s="60" t="str">
        <f>IF('Add Change'!D183="","",+'Add Change'!D183)</f>
        <v/>
      </c>
      <c r="C178" s="31" t="str">
        <f>IF('Add Change'!I183="","",+'Add Change'!I183)</f>
        <v/>
      </c>
      <c r="D178" s="253" t="str">
        <f>IF('Add Change'!W183="","",'Add Change'!W183)</f>
        <v/>
      </c>
      <c r="E178" s="31"/>
      <c r="F178" s="70"/>
      <c r="G178" s="253"/>
      <c r="H178" s="254" t="str">
        <f t="shared" si="47"/>
        <v/>
      </c>
      <c r="I178" s="255" t="str">
        <f t="shared" si="48"/>
        <v/>
      </c>
      <c r="J178" s="256"/>
      <c r="K178" s="257"/>
      <c r="L178" s="258" t="str">
        <f t="shared" si="33"/>
        <v/>
      </c>
      <c r="M178" s="259" t="str">
        <f t="shared" si="34"/>
        <v/>
      </c>
      <c r="N178" s="260" t="str">
        <f t="shared" si="46"/>
        <v/>
      </c>
      <c r="O178" s="261" t="str">
        <f t="shared" si="35"/>
        <v/>
      </c>
      <c r="P178" s="262" t="str">
        <f t="shared" si="36"/>
        <v/>
      </c>
      <c r="Q178" s="263" t="str">
        <f t="shared" si="49"/>
        <v/>
      </c>
      <c r="R178" s="263" t="str">
        <f t="shared" si="49"/>
        <v/>
      </c>
      <c r="S178" s="263" t="str">
        <f t="shared" si="49"/>
        <v/>
      </c>
      <c r="T178" s="263" t="str">
        <f t="shared" si="49"/>
        <v/>
      </c>
      <c r="U178" s="263" t="str">
        <f t="shared" si="49"/>
        <v/>
      </c>
      <c r="V178" s="263" t="str">
        <f t="shared" si="49"/>
        <v/>
      </c>
      <c r="W178" s="263" t="str">
        <f t="shared" si="37"/>
        <v/>
      </c>
      <c r="X178" s="30"/>
      <c r="Y178" s="264"/>
      <c r="Z178" s="30"/>
      <c r="AA178" s="61"/>
      <c r="AB178" s="62"/>
      <c r="AC178" s="263" t="str">
        <f t="shared" si="38"/>
        <v/>
      </c>
      <c r="AD178" s="263" t="str">
        <f t="shared" si="39"/>
        <v/>
      </c>
      <c r="AE178" s="263" t="str">
        <f t="shared" si="40"/>
        <v/>
      </c>
      <c r="AF178" s="263" t="str">
        <f t="shared" si="41"/>
        <v/>
      </c>
      <c r="AG178" s="263" t="str">
        <f t="shared" si="42"/>
        <v/>
      </c>
      <c r="AH178" s="263" t="str">
        <f t="shared" si="43"/>
        <v/>
      </c>
      <c r="AI178" s="263" t="str">
        <f t="shared" si="44"/>
        <v/>
      </c>
    </row>
    <row r="179" spans="1:35">
      <c r="A179" s="164">
        <v>162</v>
      </c>
      <c r="B179" s="60" t="str">
        <f>IF('Add Change'!D184="","",+'Add Change'!D184)</f>
        <v/>
      </c>
      <c r="C179" s="31" t="str">
        <f>IF('Add Change'!I184="","",+'Add Change'!I184)</f>
        <v/>
      </c>
      <c r="D179" s="253" t="str">
        <f>IF('Add Change'!W184="","",'Add Change'!W184)</f>
        <v/>
      </c>
      <c r="E179" s="31"/>
      <c r="F179" s="70"/>
      <c r="G179" s="253"/>
      <c r="H179" s="254" t="str">
        <f t="shared" si="47"/>
        <v/>
      </c>
      <c r="I179" s="255" t="str">
        <f t="shared" si="48"/>
        <v/>
      </c>
      <c r="J179" s="256"/>
      <c r="K179" s="257"/>
      <c r="L179" s="258" t="str">
        <f t="shared" si="33"/>
        <v/>
      </c>
      <c r="M179" s="259" t="str">
        <f t="shared" si="34"/>
        <v/>
      </c>
      <c r="N179" s="260" t="str">
        <f t="shared" si="46"/>
        <v/>
      </c>
      <c r="O179" s="261" t="str">
        <f t="shared" si="35"/>
        <v/>
      </c>
      <c r="P179" s="262" t="str">
        <f t="shared" si="36"/>
        <v/>
      </c>
      <c r="Q179" s="263" t="str">
        <f t="shared" si="49"/>
        <v/>
      </c>
      <c r="R179" s="263" t="str">
        <f t="shared" si="49"/>
        <v/>
      </c>
      <c r="S179" s="263" t="str">
        <f t="shared" si="49"/>
        <v/>
      </c>
      <c r="T179" s="263" t="str">
        <f t="shared" si="49"/>
        <v/>
      </c>
      <c r="U179" s="263" t="str">
        <f t="shared" si="49"/>
        <v/>
      </c>
      <c r="V179" s="263" t="str">
        <f t="shared" si="49"/>
        <v/>
      </c>
      <c r="W179" s="263" t="str">
        <f t="shared" si="37"/>
        <v/>
      </c>
      <c r="X179" s="30"/>
      <c r="Y179" s="264"/>
      <c r="Z179" s="30"/>
      <c r="AA179" s="61"/>
      <c r="AB179" s="62"/>
      <c r="AC179" s="263" t="str">
        <f t="shared" si="38"/>
        <v/>
      </c>
      <c r="AD179" s="263" t="str">
        <f t="shared" si="39"/>
        <v/>
      </c>
      <c r="AE179" s="263" t="str">
        <f t="shared" si="40"/>
        <v/>
      </c>
      <c r="AF179" s="263" t="str">
        <f t="shared" si="41"/>
        <v/>
      </c>
      <c r="AG179" s="263" t="str">
        <f t="shared" si="42"/>
        <v/>
      </c>
      <c r="AH179" s="263" t="str">
        <f t="shared" si="43"/>
        <v/>
      </c>
      <c r="AI179" s="263" t="str">
        <f t="shared" si="44"/>
        <v/>
      </c>
    </row>
    <row r="180" spans="1:35">
      <c r="A180" s="164">
        <v>163</v>
      </c>
      <c r="B180" s="60" t="str">
        <f>IF('Add Change'!D185="","",+'Add Change'!D185)</f>
        <v/>
      </c>
      <c r="C180" s="31" t="str">
        <f>IF('Add Change'!I185="","",+'Add Change'!I185)</f>
        <v/>
      </c>
      <c r="D180" s="253" t="str">
        <f>IF('Add Change'!W185="","",'Add Change'!W185)</f>
        <v/>
      </c>
      <c r="E180" s="31"/>
      <c r="F180" s="70"/>
      <c r="G180" s="253"/>
      <c r="H180" s="254" t="str">
        <f t="shared" si="47"/>
        <v/>
      </c>
      <c r="I180" s="255" t="str">
        <f t="shared" si="48"/>
        <v/>
      </c>
      <c r="J180" s="256"/>
      <c r="K180" s="257"/>
      <c r="L180" s="258" t="str">
        <f t="shared" si="33"/>
        <v/>
      </c>
      <c r="M180" s="259" t="str">
        <f t="shared" si="34"/>
        <v/>
      </c>
      <c r="N180" s="260" t="str">
        <f t="shared" si="46"/>
        <v/>
      </c>
      <c r="O180" s="261" t="str">
        <f t="shared" si="35"/>
        <v/>
      </c>
      <c r="P180" s="262" t="str">
        <f t="shared" si="36"/>
        <v/>
      </c>
      <c r="Q180" s="263" t="str">
        <f t="shared" si="49"/>
        <v/>
      </c>
      <c r="R180" s="263" t="str">
        <f t="shared" si="49"/>
        <v/>
      </c>
      <c r="S180" s="263" t="str">
        <f t="shared" si="49"/>
        <v/>
      </c>
      <c r="T180" s="263" t="str">
        <f t="shared" si="49"/>
        <v/>
      </c>
      <c r="U180" s="263" t="str">
        <f t="shared" si="49"/>
        <v/>
      </c>
      <c r="V180" s="263" t="str">
        <f t="shared" si="49"/>
        <v/>
      </c>
      <c r="W180" s="263" t="str">
        <f t="shared" si="37"/>
        <v/>
      </c>
      <c r="X180" s="30"/>
      <c r="Y180" s="264"/>
      <c r="Z180" s="30"/>
      <c r="AA180" s="61"/>
      <c r="AB180" s="62"/>
      <c r="AC180" s="263" t="str">
        <f t="shared" si="38"/>
        <v/>
      </c>
      <c r="AD180" s="263" t="str">
        <f t="shared" si="39"/>
        <v/>
      </c>
      <c r="AE180" s="263" t="str">
        <f t="shared" si="40"/>
        <v/>
      </c>
      <c r="AF180" s="263" t="str">
        <f t="shared" si="41"/>
        <v/>
      </c>
      <c r="AG180" s="263" t="str">
        <f t="shared" si="42"/>
        <v/>
      </c>
      <c r="AH180" s="263" t="str">
        <f t="shared" si="43"/>
        <v/>
      </c>
      <c r="AI180" s="263" t="str">
        <f t="shared" si="44"/>
        <v/>
      </c>
    </row>
    <row r="181" spans="1:35">
      <c r="A181" s="164">
        <v>164</v>
      </c>
      <c r="B181" s="60" t="str">
        <f>IF('Add Change'!D186="","",+'Add Change'!D186)</f>
        <v/>
      </c>
      <c r="C181" s="31" t="str">
        <f>IF('Add Change'!I186="","",+'Add Change'!I186)</f>
        <v/>
      </c>
      <c r="D181" s="253" t="str">
        <f>IF('Add Change'!W186="","",'Add Change'!W186)</f>
        <v/>
      </c>
      <c r="E181" s="31"/>
      <c r="F181" s="70"/>
      <c r="G181" s="253"/>
      <c r="H181" s="254" t="str">
        <f t="shared" si="47"/>
        <v/>
      </c>
      <c r="I181" s="255" t="str">
        <f t="shared" si="48"/>
        <v/>
      </c>
      <c r="J181" s="256"/>
      <c r="K181" s="257"/>
      <c r="L181" s="258" t="str">
        <f t="shared" si="33"/>
        <v/>
      </c>
      <c r="M181" s="259" t="str">
        <f t="shared" si="34"/>
        <v/>
      </c>
      <c r="N181" s="260" t="str">
        <f t="shared" si="46"/>
        <v/>
      </c>
      <c r="O181" s="261" t="str">
        <f t="shared" si="35"/>
        <v/>
      </c>
      <c r="P181" s="262" t="str">
        <f t="shared" si="36"/>
        <v/>
      </c>
      <c r="Q181" s="263" t="str">
        <f t="shared" si="49"/>
        <v/>
      </c>
      <c r="R181" s="263" t="str">
        <f t="shared" si="49"/>
        <v/>
      </c>
      <c r="S181" s="263" t="str">
        <f t="shared" si="49"/>
        <v/>
      </c>
      <c r="T181" s="263" t="str">
        <f t="shared" si="49"/>
        <v/>
      </c>
      <c r="U181" s="263" t="str">
        <f t="shared" si="49"/>
        <v/>
      </c>
      <c r="V181" s="263" t="str">
        <f t="shared" si="49"/>
        <v/>
      </c>
      <c r="W181" s="263" t="str">
        <f t="shared" si="37"/>
        <v/>
      </c>
      <c r="X181" s="30"/>
      <c r="Y181" s="264"/>
      <c r="Z181" s="30"/>
      <c r="AA181" s="61"/>
      <c r="AB181" s="62"/>
      <c r="AC181" s="263" t="str">
        <f t="shared" si="38"/>
        <v/>
      </c>
      <c r="AD181" s="263" t="str">
        <f t="shared" si="39"/>
        <v/>
      </c>
      <c r="AE181" s="263" t="str">
        <f t="shared" si="40"/>
        <v/>
      </c>
      <c r="AF181" s="263" t="str">
        <f t="shared" si="41"/>
        <v/>
      </c>
      <c r="AG181" s="263" t="str">
        <f t="shared" si="42"/>
        <v/>
      </c>
      <c r="AH181" s="263" t="str">
        <f t="shared" si="43"/>
        <v/>
      </c>
      <c r="AI181" s="263" t="str">
        <f t="shared" si="44"/>
        <v/>
      </c>
    </row>
    <row r="182" spans="1:35">
      <c r="A182" s="164">
        <v>165</v>
      </c>
      <c r="B182" s="60" t="str">
        <f>IF('Add Change'!D187="","",+'Add Change'!D187)</f>
        <v/>
      </c>
      <c r="C182" s="31" t="str">
        <f>IF('Add Change'!I187="","",+'Add Change'!I187)</f>
        <v/>
      </c>
      <c r="D182" s="253" t="str">
        <f>IF('Add Change'!W187="","",'Add Change'!W187)</f>
        <v/>
      </c>
      <c r="E182" s="31"/>
      <c r="F182" s="70"/>
      <c r="G182" s="253"/>
      <c r="H182" s="254" t="str">
        <f t="shared" si="47"/>
        <v/>
      </c>
      <c r="I182" s="255" t="str">
        <f t="shared" si="48"/>
        <v/>
      </c>
      <c r="J182" s="256"/>
      <c r="K182" s="257"/>
      <c r="L182" s="258" t="str">
        <f t="shared" ref="L182:L245" si="50">IF(K182="","",(K182/J182/52)*4)</f>
        <v/>
      </c>
      <c r="M182" s="259" t="str">
        <f t="shared" ref="M182:M245" si="51">IF(L182="","",ROUND(I182/L182,1))</f>
        <v/>
      </c>
      <c r="N182" s="260" t="str">
        <f t="shared" si="46"/>
        <v/>
      </c>
      <c r="O182" s="261" t="str">
        <f t="shared" ref="O182:O245" si="52">IF(N182="","",(N182/W$13/52)*4)</f>
        <v/>
      </c>
      <c r="P182" s="262" t="str">
        <f t="shared" ref="P182:P245" si="53">IF(H182="","",+H182*D182)</f>
        <v/>
      </c>
      <c r="Q182" s="263" t="str">
        <f t="shared" si="49"/>
        <v/>
      </c>
      <c r="R182" s="263" t="str">
        <f t="shared" si="49"/>
        <v/>
      </c>
      <c r="S182" s="263" t="str">
        <f t="shared" si="49"/>
        <v/>
      </c>
      <c r="T182" s="263" t="str">
        <f t="shared" si="49"/>
        <v/>
      </c>
      <c r="U182" s="263" t="str">
        <f t="shared" si="49"/>
        <v/>
      </c>
      <c r="V182" s="263" t="str">
        <f t="shared" si="49"/>
        <v/>
      </c>
      <c r="W182" s="263" t="str">
        <f t="shared" ref="W182:W245" si="54">IF(SUM(Q182:V182)=0,"",SUM(Q182:V182))</f>
        <v/>
      </c>
      <c r="X182" s="30"/>
      <c r="Y182" s="264"/>
      <c r="Z182" s="30"/>
      <c r="AA182" s="61"/>
      <c r="AB182" s="62"/>
      <c r="AC182" s="263" t="str">
        <f t="shared" ref="AC182:AC245" si="55">IF(AB182="","",(INT(($AB182/$AA182)+0.99)*$AA182)*Q$13)</f>
        <v/>
      </c>
      <c r="AD182" s="263" t="str">
        <f t="shared" ref="AD182:AD245" si="56">IF(AB182="","",(INT(($AB182/$AA182)+0.99)*$AA182)*R$13)</f>
        <v/>
      </c>
      <c r="AE182" s="263" t="str">
        <f t="shared" ref="AE182:AE245" si="57">IF(AB182="","",(INT(($AB182/$AA182)+0.99)*$AA182)*S$13)</f>
        <v/>
      </c>
      <c r="AF182" s="263" t="str">
        <f t="shared" ref="AF182:AF245" si="58">IF(AB182="","",(INT(($AB182/$AA182)+0.99)*$AA182)*T$13)</f>
        <v/>
      </c>
      <c r="AG182" s="263" t="str">
        <f t="shared" ref="AG182:AG245" si="59">IF(AB182="","",(INT(($AB182/$AA182)+0.99)*$AA182)*U$13)</f>
        <v/>
      </c>
      <c r="AH182" s="263" t="str">
        <f t="shared" ref="AH182:AH245" si="60">IF(AB182="","",(INT(($AB182/$AA182)+0.99)*$AA182)*V$13)</f>
        <v/>
      </c>
      <c r="AI182" s="263" t="str">
        <f t="shared" ref="AI182:AI245" si="61">IF(SUM(AC182:AH182)=0,"",SUM(AC182:AH182))</f>
        <v/>
      </c>
    </row>
    <row r="183" spans="1:35">
      <c r="A183" s="164">
        <v>166</v>
      </c>
      <c r="B183" s="60" t="str">
        <f>IF('Add Change'!D188="","",+'Add Change'!D188)</f>
        <v/>
      </c>
      <c r="C183" s="31" t="str">
        <f>IF('Add Change'!I188="","",+'Add Change'!I188)</f>
        <v/>
      </c>
      <c r="D183" s="253" t="str">
        <f>IF('Add Change'!W188="","",'Add Change'!W188)</f>
        <v/>
      </c>
      <c r="E183" s="31"/>
      <c r="F183" s="70"/>
      <c r="G183" s="253"/>
      <c r="H183" s="254" t="str">
        <f t="shared" si="47"/>
        <v/>
      </c>
      <c r="I183" s="255" t="str">
        <f t="shared" si="48"/>
        <v/>
      </c>
      <c r="J183" s="256"/>
      <c r="K183" s="257"/>
      <c r="L183" s="258" t="str">
        <f t="shared" si="50"/>
        <v/>
      </c>
      <c r="M183" s="259" t="str">
        <f t="shared" si="51"/>
        <v/>
      </c>
      <c r="N183" s="260" t="str">
        <f t="shared" si="46"/>
        <v/>
      </c>
      <c r="O183" s="261" t="str">
        <f t="shared" si="52"/>
        <v/>
      </c>
      <c r="P183" s="262" t="str">
        <f t="shared" si="53"/>
        <v/>
      </c>
      <c r="Q183" s="263" t="str">
        <f t="shared" si="49"/>
        <v/>
      </c>
      <c r="R183" s="263" t="str">
        <f t="shared" si="49"/>
        <v/>
      </c>
      <c r="S183" s="263" t="str">
        <f t="shared" si="49"/>
        <v/>
      </c>
      <c r="T183" s="263" t="str">
        <f t="shared" si="49"/>
        <v/>
      </c>
      <c r="U183" s="263" t="str">
        <f t="shared" si="49"/>
        <v/>
      </c>
      <c r="V183" s="263" t="str">
        <f t="shared" si="49"/>
        <v/>
      </c>
      <c r="W183" s="263" t="str">
        <f t="shared" si="54"/>
        <v/>
      </c>
      <c r="X183" s="30"/>
      <c r="Y183" s="264"/>
      <c r="Z183" s="30"/>
      <c r="AA183" s="61"/>
      <c r="AB183" s="62"/>
      <c r="AC183" s="263" t="str">
        <f t="shared" si="55"/>
        <v/>
      </c>
      <c r="AD183" s="263" t="str">
        <f t="shared" si="56"/>
        <v/>
      </c>
      <c r="AE183" s="263" t="str">
        <f t="shared" si="57"/>
        <v/>
      </c>
      <c r="AF183" s="263" t="str">
        <f t="shared" si="58"/>
        <v/>
      </c>
      <c r="AG183" s="263" t="str">
        <f t="shared" si="59"/>
        <v/>
      </c>
      <c r="AH183" s="263" t="str">
        <f t="shared" si="60"/>
        <v/>
      </c>
      <c r="AI183" s="263" t="str">
        <f t="shared" si="61"/>
        <v/>
      </c>
    </row>
    <row r="184" spans="1:35">
      <c r="A184" s="164">
        <v>167</v>
      </c>
      <c r="B184" s="60" t="str">
        <f>IF('Add Change'!D189="","",+'Add Change'!D189)</f>
        <v/>
      </c>
      <c r="C184" s="31" t="str">
        <f>IF('Add Change'!I189="","",+'Add Change'!I189)</f>
        <v/>
      </c>
      <c r="D184" s="253" t="str">
        <f>IF('Add Change'!W189="","",'Add Change'!W189)</f>
        <v/>
      </c>
      <c r="E184" s="31"/>
      <c r="F184" s="70"/>
      <c r="G184" s="253"/>
      <c r="H184" s="254" t="str">
        <f t="shared" si="47"/>
        <v/>
      </c>
      <c r="I184" s="255" t="str">
        <f t="shared" si="48"/>
        <v/>
      </c>
      <c r="J184" s="256"/>
      <c r="K184" s="257"/>
      <c r="L184" s="258" t="str">
        <f t="shared" si="50"/>
        <v/>
      </c>
      <c r="M184" s="259" t="str">
        <f t="shared" si="51"/>
        <v/>
      </c>
      <c r="N184" s="260" t="str">
        <f t="shared" si="46"/>
        <v/>
      </c>
      <c r="O184" s="261" t="str">
        <f t="shared" si="52"/>
        <v/>
      </c>
      <c r="P184" s="262" t="str">
        <f t="shared" si="53"/>
        <v/>
      </c>
      <c r="Q184" s="263" t="str">
        <f t="shared" si="49"/>
        <v/>
      </c>
      <c r="R184" s="263" t="str">
        <f t="shared" si="49"/>
        <v/>
      </c>
      <c r="S184" s="263" t="str">
        <f t="shared" si="49"/>
        <v/>
      </c>
      <c r="T184" s="263" t="str">
        <f t="shared" si="49"/>
        <v/>
      </c>
      <c r="U184" s="263" t="str">
        <f t="shared" si="49"/>
        <v/>
      </c>
      <c r="V184" s="263" t="str">
        <f t="shared" si="49"/>
        <v/>
      </c>
      <c r="W184" s="263" t="str">
        <f t="shared" si="54"/>
        <v/>
      </c>
      <c r="X184" s="30"/>
      <c r="Y184" s="264"/>
      <c r="Z184" s="30"/>
      <c r="AA184" s="61"/>
      <c r="AB184" s="62"/>
      <c r="AC184" s="263" t="str">
        <f t="shared" si="55"/>
        <v/>
      </c>
      <c r="AD184" s="263" t="str">
        <f t="shared" si="56"/>
        <v/>
      </c>
      <c r="AE184" s="263" t="str">
        <f t="shared" si="57"/>
        <v/>
      </c>
      <c r="AF184" s="263" t="str">
        <f t="shared" si="58"/>
        <v/>
      </c>
      <c r="AG184" s="263" t="str">
        <f t="shared" si="59"/>
        <v/>
      </c>
      <c r="AH184" s="263" t="str">
        <f t="shared" si="60"/>
        <v/>
      </c>
      <c r="AI184" s="263" t="str">
        <f t="shared" si="61"/>
        <v/>
      </c>
    </row>
    <row r="185" spans="1:35">
      <c r="A185" s="164">
        <v>168</v>
      </c>
      <c r="B185" s="60" t="str">
        <f>IF('Add Change'!D190="","",+'Add Change'!D190)</f>
        <v/>
      </c>
      <c r="C185" s="31" t="str">
        <f>IF('Add Change'!I190="","",+'Add Change'!I190)</f>
        <v/>
      </c>
      <c r="D185" s="253" t="str">
        <f>IF('Add Change'!W190="","",'Add Change'!W190)</f>
        <v/>
      </c>
      <c r="E185" s="31"/>
      <c r="F185" s="70"/>
      <c r="G185" s="253"/>
      <c r="H185" s="254" t="str">
        <f t="shared" si="47"/>
        <v/>
      </c>
      <c r="I185" s="255" t="str">
        <f t="shared" si="48"/>
        <v/>
      </c>
      <c r="J185" s="256"/>
      <c r="K185" s="257"/>
      <c r="L185" s="258" t="str">
        <f t="shared" si="50"/>
        <v/>
      </c>
      <c r="M185" s="259" t="str">
        <f t="shared" si="51"/>
        <v/>
      </c>
      <c r="N185" s="260" t="str">
        <f t="shared" si="46"/>
        <v/>
      </c>
      <c r="O185" s="261" t="str">
        <f t="shared" si="52"/>
        <v/>
      </c>
      <c r="P185" s="262" t="str">
        <f t="shared" si="53"/>
        <v/>
      </c>
      <c r="Q185" s="263" t="str">
        <f t="shared" si="49"/>
        <v/>
      </c>
      <c r="R185" s="263" t="str">
        <f t="shared" si="49"/>
        <v/>
      </c>
      <c r="S185" s="263" t="str">
        <f t="shared" si="49"/>
        <v/>
      </c>
      <c r="T185" s="263" t="str">
        <f t="shared" si="49"/>
        <v/>
      </c>
      <c r="U185" s="263" t="str">
        <f t="shared" si="49"/>
        <v/>
      </c>
      <c r="V185" s="263" t="str">
        <f t="shared" si="49"/>
        <v/>
      </c>
      <c r="W185" s="263" t="str">
        <f t="shared" si="54"/>
        <v/>
      </c>
      <c r="X185" s="30"/>
      <c r="Y185" s="264"/>
      <c r="Z185" s="30"/>
      <c r="AA185" s="61"/>
      <c r="AB185" s="62"/>
      <c r="AC185" s="263" t="str">
        <f t="shared" si="55"/>
        <v/>
      </c>
      <c r="AD185" s="263" t="str">
        <f t="shared" si="56"/>
        <v/>
      </c>
      <c r="AE185" s="263" t="str">
        <f t="shared" si="57"/>
        <v/>
      </c>
      <c r="AF185" s="263" t="str">
        <f t="shared" si="58"/>
        <v/>
      </c>
      <c r="AG185" s="263" t="str">
        <f t="shared" si="59"/>
        <v/>
      </c>
      <c r="AH185" s="263" t="str">
        <f t="shared" si="60"/>
        <v/>
      </c>
      <c r="AI185" s="263" t="str">
        <f t="shared" si="61"/>
        <v/>
      </c>
    </row>
    <row r="186" spans="1:35">
      <c r="A186" s="164">
        <v>169</v>
      </c>
      <c r="B186" s="60" t="str">
        <f>IF('Add Change'!D191="","",+'Add Change'!D191)</f>
        <v/>
      </c>
      <c r="C186" s="31" t="str">
        <f>IF('Add Change'!I191="","",+'Add Change'!I191)</f>
        <v/>
      </c>
      <c r="D186" s="253" t="str">
        <f>IF('Add Change'!W191="","",'Add Change'!W191)</f>
        <v/>
      </c>
      <c r="E186" s="31"/>
      <c r="F186" s="70"/>
      <c r="G186" s="253"/>
      <c r="H186" s="254" t="str">
        <f t="shared" si="47"/>
        <v/>
      </c>
      <c r="I186" s="255" t="str">
        <f t="shared" si="48"/>
        <v/>
      </c>
      <c r="J186" s="256"/>
      <c r="K186" s="257"/>
      <c r="L186" s="258" t="str">
        <f t="shared" si="50"/>
        <v/>
      </c>
      <c r="M186" s="259" t="str">
        <f t="shared" si="51"/>
        <v/>
      </c>
      <c r="N186" s="260" t="str">
        <f t="shared" si="46"/>
        <v/>
      </c>
      <c r="O186" s="261" t="str">
        <f t="shared" si="52"/>
        <v/>
      </c>
      <c r="P186" s="262" t="str">
        <f t="shared" si="53"/>
        <v/>
      </c>
      <c r="Q186" s="263" t="str">
        <f t="shared" si="49"/>
        <v/>
      </c>
      <c r="R186" s="263" t="str">
        <f t="shared" si="49"/>
        <v/>
      </c>
      <c r="S186" s="263" t="str">
        <f t="shared" si="49"/>
        <v/>
      </c>
      <c r="T186" s="263" t="str">
        <f t="shared" si="49"/>
        <v/>
      </c>
      <c r="U186" s="263" t="str">
        <f t="shared" si="49"/>
        <v/>
      </c>
      <c r="V186" s="263" t="str">
        <f t="shared" si="49"/>
        <v/>
      </c>
      <c r="W186" s="263" t="str">
        <f t="shared" si="54"/>
        <v/>
      </c>
      <c r="X186" s="30"/>
      <c r="Y186" s="264"/>
      <c r="Z186" s="30"/>
      <c r="AA186" s="61"/>
      <c r="AB186" s="62"/>
      <c r="AC186" s="263" t="str">
        <f t="shared" si="55"/>
        <v/>
      </c>
      <c r="AD186" s="263" t="str">
        <f t="shared" si="56"/>
        <v/>
      </c>
      <c r="AE186" s="263" t="str">
        <f t="shared" si="57"/>
        <v/>
      </c>
      <c r="AF186" s="263" t="str">
        <f t="shared" si="58"/>
        <v/>
      </c>
      <c r="AG186" s="263" t="str">
        <f t="shared" si="59"/>
        <v/>
      </c>
      <c r="AH186" s="263" t="str">
        <f t="shared" si="60"/>
        <v/>
      </c>
      <c r="AI186" s="263" t="str">
        <f t="shared" si="61"/>
        <v/>
      </c>
    </row>
    <row r="187" spans="1:35">
      <c r="A187" s="164">
        <v>170</v>
      </c>
      <c r="B187" s="60" t="str">
        <f>IF('Add Change'!D192="","",+'Add Change'!D192)</f>
        <v/>
      </c>
      <c r="C187" s="31" t="str">
        <f>IF('Add Change'!I192="","",+'Add Change'!I192)</f>
        <v/>
      </c>
      <c r="D187" s="253" t="str">
        <f>IF('Add Change'!W192="","",'Add Change'!W192)</f>
        <v/>
      </c>
      <c r="E187" s="31"/>
      <c r="F187" s="70"/>
      <c r="G187" s="253"/>
      <c r="H187" s="254" t="str">
        <f t="shared" si="47"/>
        <v/>
      </c>
      <c r="I187" s="255" t="str">
        <f t="shared" si="48"/>
        <v/>
      </c>
      <c r="J187" s="256"/>
      <c r="K187" s="257"/>
      <c r="L187" s="258" t="str">
        <f t="shared" si="50"/>
        <v/>
      </c>
      <c r="M187" s="259" t="str">
        <f t="shared" si="51"/>
        <v/>
      </c>
      <c r="N187" s="260" t="str">
        <f t="shared" si="46"/>
        <v/>
      </c>
      <c r="O187" s="261" t="str">
        <f t="shared" si="52"/>
        <v/>
      </c>
      <c r="P187" s="262" t="str">
        <f t="shared" si="53"/>
        <v/>
      </c>
      <c r="Q187" s="263" t="str">
        <f t="shared" si="49"/>
        <v/>
      </c>
      <c r="R187" s="263" t="str">
        <f t="shared" si="49"/>
        <v/>
      </c>
      <c r="S187" s="263" t="str">
        <f t="shared" si="49"/>
        <v/>
      </c>
      <c r="T187" s="263" t="str">
        <f t="shared" si="49"/>
        <v/>
      </c>
      <c r="U187" s="263" t="str">
        <f t="shared" si="49"/>
        <v/>
      </c>
      <c r="V187" s="263" t="str">
        <f t="shared" si="49"/>
        <v/>
      </c>
      <c r="W187" s="263" t="str">
        <f t="shared" si="54"/>
        <v/>
      </c>
      <c r="X187" s="30"/>
      <c r="Y187" s="264"/>
      <c r="Z187" s="30"/>
      <c r="AA187" s="61"/>
      <c r="AB187" s="62"/>
      <c r="AC187" s="263" t="str">
        <f t="shared" si="55"/>
        <v/>
      </c>
      <c r="AD187" s="263" t="str">
        <f t="shared" si="56"/>
        <v/>
      </c>
      <c r="AE187" s="263" t="str">
        <f t="shared" si="57"/>
        <v/>
      </c>
      <c r="AF187" s="263" t="str">
        <f t="shared" si="58"/>
        <v/>
      </c>
      <c r="AG187" s="263" t="str">
        <f t="shared" si="59"/>
        <v/>
      </c>
      <c r="AH187" s="263" t="str">
        <f t="shared" si="60"/>
        <v/>
      </c>
      <c r="AI187" s="263" t="str">
        <f t="shared" si="61"/>
        <v/>
      </c>
    </row>
    <row r="188" spans="1:35">
      <c r="A188" s="164">
        <v>171</v>
      </c>
      <c r="B188" s="60" t="str">
        <f>IF('Add Change'!D193="","",+'Add Change'!D193)</f>
        <v/>
      </c>
      <c r="C188" s="31" t="str">
        <f>IF('Add Change'!I193="","",+'Add Change'!I193)</f>
        <v/>
      </c>
      <c r="D188" s="253" t="str">
        <f>IF('Add Change'!W193="","",'Add Change'!W193)</f>
        <v/>
      </c>
      <c r="E188" s="31"/>
      <c r="F188" s="70"/>
      <c r="G188" s="253"/>
      <c r="H188" s="254" t="str">
        <f t="shared" si="47"/>
        <v/>
      </c>
      <c r="I188" s="255" t="str">
        <f t="shared" si="48"/>
        <v/>
      </c>
      <c r="J188" s="256"/>
      <c r="K188" s="257"/>
      <c r="L188" s="258" t="str">
        <f t="shared" si="50"/>
        <v/>
      </c>
      <c r="M188" s="259" t="str">
        <f t="shared" si="51"/>
        <v/>
      </c>
      <c r="N188" s="260" t="str">
        <f t="shared" si="46"/>
        <v/>
      </c>
      <c r="O188" s="261" t="str">
        <f t="shared" si="52"/>
        <v/>
      </c>
      <c r="P188" s="262" t="str">
        <f t="shared" si="53"/>
        <v/>
      </c>
      <c r="Q188" s="263" t="str">
        <f t="shared" si="49"/>
        <v/>
      </c>
      <c r="R188" s="263" t="str">
        <f t="shared" si="49"/>
        <v/>
      </c>
      <c r="S188" s="263" t="str">
        <f t="shared" si="49"/>
        <v/>
      </c>
      <c r="T188" s="263" t="str">
        <f t="shared" si="49"/>
        <v/>
      </c>
      <c r="U188" s="263" t="str">
        <f t="shared" si="49"/>
        <v/>
      </c>
      <c r="V188" s="263" t="str">
        <f t="shared" si="49"/>
        <v/>
      </c>
      <c r="W188" s="263" t="str">
        <f t="shared" si="54"/>
        <v/>
      </c>
      <c r="X188" s="30"/>
      <c r="Y188" s="264"/>
      <c r="Z188" s="30"/>
      <c r="AA188" s="61"/>
      <c r="AB188" s="62"/>
      <c r="AC188" s="263" t="str">
        <f t="shared" si="55"/>
        <v/>
      </c>
      <c r="AD188" s="263" t="str">
        <f t="shared" si="56"/>
        <v/>
      </c>
      <c r="AE188" s="263" t="str">
        <f t="shared" si="57"/>
        <v/>
      </c>
      <c r="AF188" s="263" t="str">
        <f t="shared" si="58"/>
        <v/>
      </c>
      <c r="AG188" s="263" t="str">
        <f t="shared" si="59"/>
        <v/>
      </c>
      <c r="AH188" s="263" t="str">
        <f t="shared" si="60"/>
        <v/>
      </c>
      <c r="AI188" s="263" t="str">
        <f t="shared" si="61"/>
        <v/>
      </c>
    </row>
    <row r="189" spans="1:35">
      <c r="A189" s="164">
        <v>172</v>
      </c>
      <c r="B189" s="60" t="str">
        <f>IF('Add Change'!D194="","",+'Add Change'!D194)</f>
        <v/>
      </c>
      <c r="C189" s="31" t="str">
        <f>IF('Add Change'!I194="","",+'Add Change'!I194)</f>
        <v/>
      </c>
      <c r="D189" s="253" t="str">
        <f>IF('Add Change'!W194="","",'Add Change'!W194)</f>
        <v/>
      </c>
      <c r="E189" s="31"/>
      <c r="F189" s="70"/>
      <c r="G189" s="253"/>
      <c r="H189" s="254" t="str">
        <f t="shared" si="47"/>
        <v/>
      </c>
      <c r="I189" s="255" t="str">
        <f t="shared" si="48"/>
        <v/>
      </c>
      <c r="J189" s="256"/>
      <c r="K189" s="257"/>
      <c r="L189" s="258" t="str">
        <f t="shared" si="50"/>
        <v/>
      </c>
      <c r="M189" s="259" t="str">
        <f t="shared" si="51"/>
        <v/>
      </c>
      <c r="N189" s="260" t="str">
        <f t="shared" si="46"/>
        <v/>
      </c>
      <c r="O189" s="261" t="str">
        <f t="shared" si="52"/>
        <v/>
      </c>
      <c r="P189" s="262" t="str">
        <f t="shared" si="53"/>
        <v/>
      </c>
      <c r="Q189" s="263" t="str">
        <f t="shared" si="49"/>
        <v/>
      </c>
      <c r="R189" s="263" t="str">
        <f t="shared" si="49"/>
        <v/>
      </c>
      <c r="S189" s="263" t="str">
        <f t="shared" si="49"/>
        <v/>
      </c>
      <c r="T189" s="263" t="str">
        <f t="shared" si="49"/>
        <v/>
      </c>
      <c r="U189" s="263" t="str">
        <f t="shared" si="49"/>
        <v/>
      </c>
      <c r="V189" s="263" t="str">
        <f t="shared" si="49"/>
        <v/>
      </c>
      <c r="W189" s="263" t="str">
        <f t="shared" si="54"/>
        <v/>
      </c>
      <c r="X189" s="30"/>
      <c r="Y189" s="264"/>
      <c r="Z189" s="30"/>
      <c r="AA189" s="61"/>
      <c r="AB189" s="62"/>
      <c r="AC189" s="263" t="str">
        <f t="shared" si="55"/>
        <v/>
      </c>
      <c r="AD189" s="263" t="str">
        <f t="shared" si="56"/>
        <v/>
      </c>
      <c r="AE189" s="263" t="str">
        <f t="shared" si="57"/>
        <v/>
      </c>
      <c r="AF189" s="263" t="str">
        <f t="shared" si="58"/>
        <v/>
      </c>
      <c r="AG189" s="263" t="str">
        <f t="shared" si="59"/>
        <v/>
      </c>
      <c r="AH189" s="263" t="str">
        <f t="shared" si="60"/>
        <v/>
      </c>
      <c r="AI189" s="263" t="str">
        <f t="shared" si="61"/>
        <v/>
      </c>
    </row>
    <row r="190" spans="1:35">
      <c r="A190" s="164">
        <v>173</v>
      </c>
      <c r="B190" s="60" t="str">
        <f>IF('Add Change'!D195="","",+'Add Change'!D195)</f>
        <v/>
      </c>
      <c r="C190" s="31" t="str">
        <f>IF('Add Change'!I195="","",+'Add Change'!I195)</f>
        <v/>
      </c>
      <c r="D190" s="253" t="str">
        <f>IF('Add Change'!W195="","",'Add Change'!W195)</f>
        <v/>
      </c>
      <c r="E190" s="31"/>
      <c r="F190" s="70"/>
      <c r="G190" s="253"/>
      <c r="H190" s="254" t="str">
        <f t="shared" si="47"/>
        <v/>
      </c>
      <c r="I190" s="255" t="str">
        <f t="shared" si="48"/>
        <v/>
      </c>
      <c r="J190" s="256"/>
      <c r="K190" s="257"/>
      <c r="L190" s="258" t="str">
        <f t="shared" si="50"/>
        <v/>
      </c>
      <c r="M190" s="259" t="str">
        <f t="shared" si="51"/>
        <v/>
      </c>
      <c r="N190" s="260" t="str">
        <f t="shared" si="46"/>
        <v/>
      </c>
      <c r="O190" s="261" t="str">
        <f t="shared" si="52"/>
        <v/>
      </c>
      <c r="P190" s="262" t="str">
        <f t="shared" si="53"/>
        <v/>
      </c>
      <c r="Q190" s="263" t="str">
        <f t="shared" si="49"/>
        <v/>
      </c>
      <c r="R190" s="263" t="str">
        <f t="shared" si="49"/>
        <v/>
      </c>
      <c r="S190" s="263" t="str">
        <f t="shared" si="49"/>
        <v/>
      </c>
      <c r="T190" s="263" t="str">
        <f t="shared" si="49"/>
        <v/>
      </c>
      <c r="U190" s="263" t="str">
        <f t="shared" si="49"/>
        <v/>
      </c>
      <c r="V190" s="263" t="str">
        <f t="shared" si="49"/>
        <v/>
      </c>
      <c r="W190" s="263" t="str">
        <f t="shared" si="54"/>
        <v/>
      </c>
      <c r="X190" s="30"/>
      <c r="Y190" s="264"/>
      <c r="Z190" s="30"/>
      <c r="AA190" s="61"/>
      <c r="AB190" s="62"/>
      <c r="AC190" s="263" t="str">
        <f t="shared" si="55"/>
        <v/>
      </c>
      <c r="AD190" s="263" t="str">
        <f t="shared" si="56"/>
        <v/>
      </c>
      <c r="AE190" s="263" t="str">
        <f t="shared" si="57"/>
        <v/>
      </c>
      <c r="AF190" s="263" t="str">
        <f t="shared" si="58"/>
        <v/>
      </c>
      <c r="AG190" s="263" t="str">
        <f t="shared" si="59"/>
        <v/>
      </c>
      <c r="AH190" s="263" t="str">
        <f t="shared" si="60"/>
        <v/>
      </c>
      <c r="AI190" s="263" t="str">
        <f t="shared" si="61"/>
        <v/>
      </c>
    </row>
    <row r="191" spans="1:35">
      <c r="A191" s="164">
        <v>174</v>
      </c>
      <c r="B191" s="60" t="str">
        <f>IF('Add Change'!D196="","",+'Add Change'!D196)</f>
        <v/>
      </c>
      <c r="C191" s="31" t="str">
        <f>IF('Add Change'!I196="","",+'Add Change'!I196)</f>
        <v/>
      </c>
      <c r="D191" s="253" t="str">
        <f>IF('Add Change'!W196="","",'Add Change'!W196)</f>
        <v/>
      </c>
      <c r="E191" s="31"/>
      <c r="F191" s="70"/>
      <c r="G191" s="253"/>
      <c r="H191" s="254" t="str">
        <f t="shared" si="47"/>
        <v/>
      </c>
      <c r="I191" s="255" t="str">
        <f t="shared" si="48"/>
        <v/>
      </c>
      <c r="J191" s="256"/>
      <c r="K191" s="257"/>
      <c r="L191" s="258" t="str">
        <f t="shared" si="50"/>
        <v/>
      </c>
      <c r="M191" s="259" t="str">
        <f t="shared" si="51"/>
        <v/>
      </c>
      <c r="N191" s="260" t="str">
        <f t="shared" si="46"/>
        <v/>
      </c>
      <c r="O191" s="261" t="str">
        <f t="shared" si="52"/>
        <v/>
      </c>
      <c r="P191" s="262" t="str">
        <f t="shared" si="53"/>
        <v/>
      </c>
      <c r="Q191" s="263" t="str">
        <f t="shared" si="49"/>
        <v/>
      </c>
      <c r="R191" s="263" t="str">
        <f t="shared" si="49"/>
        <v/>
      </c>
      <c r="S191" s="263" t="str">
        <f t="shared" si="49"/>
        <v/>
      </c>
      <c r="T191" s="263" t="str">
        <f t="shared" si="49"/>
        <v/>
      </c>
      <c r="U191" s="263" t="str">
        <f t="shared" si="49"/>
        <v/>
      </c>
      <c r="V191" s="263" t="str">
        <f t="shared" si="49"/>
        <v/>
      </c>
      <c r="W191" s="263" t="str">
        <f t="shared" si="54"/>
        <v/>
      </c>
      <c r="X191" s="30"/>
      <c r="Y191" s="264"/>
      <c r="Z191" s="30"/>
      <c r="AA191" s="61"/>
      <c r="AB191" s="62"/>
      <c r="AC191" s="263" t="str">
        <f t="shared" si="55"/>
        <v/>
      </c>
      <c r="AD191" s="263" t="str">
        <f t="shared" si="56"/>
        <v/>
      </c>
      <c r="AE191" s="263" t="str">
        <f t="shared" si="57"/>
        <v/>
      </c>
      <c r="AF191" s="263" t="str">
        <f t="shared" si="58"/>
        <v/>
      </c>
      <c r="AG191" s="263" t="str">
        <f t="shared" si="59"/>
        <v/>
      </c>
      <c r="AH191" s="263" t="str">
        <f t="shared" si="60"/>
        <v/>
      </c>
      <c r="AI191" s="263" t="str">
        <f t="shared" si="61"/>
        <v/>
      </c>
    </row>
    <row r="192" spans="1:35">
      <c r="A192" s="164">
        <v>175</v>
      </c>
      <c r="B192" s="60" t="str">
        <f>IF('Add Change'!D197="","",+'Add Change'!D197)</f>
        <v/>
      </c>
      <c r="C192" s="31" t="str">
        <f>IF('Add Change'!I197="","",+'Add Change'!I197)</f>
        <v/>
      </c>
      <c r="D192" s="253" t="str">
        <f>IF('Add Change'!W197="","",'Add Change'!W197)</f>
        <v/>
      </c>
      <c r="E192" s="31"/>
      <c r="F192" s="70"/>
      <c r="G192" s="253"/>
      <c r="H192" s="254" t="str">
        <f t="shared" si="47"/>
        <v/>
      </c>
      <c r="I192" s="255" t="str">
        <f t="shared" si="48"/>
        <v/>
      </c>
      <c r="J192" s="256"/>
      <c r="K192" s="257"/>
      <c r="L192" s="258" t="str">
        <f t="shared" si="50"/>
        <v/>
      </c>
      <c r="M192" s="259" t="str">
        <f t="shared" si="51"/>
        <v/>
      </c>
      <c r="N192" s="260" t="str">
        <f t="shared" si="46"/>
        <v/>
      </c>
      <c r="O192" s="261" t="str">
        <f t="shared" si="52"/>
        <v/>
      </c>
      <c r="P192" s="262" t="str">
        <f t="shared" si="53"/>
        <v/>
      </c>
      <c r="Q192" s="263" t="str">
        <f t="shared" si="49"/>
        <v/>
      </c>
      <c r="R192" s="263" t="str">
        <f t="shared" si="49"/>
        <v/>
      </c>
      <c r="S192" s="263" t="str">
        <f t="shared" si="49"/>
        <v/>
      </c>
      <c r="T192" s="263" t="str">
        <f t="shared" si="49"/>
        <v/>
      </c>
      <c r="U192" s="263" t="str">
        <f t="shared" si="49"/>
        <v/>
      </c>
      <c r="V192" s="263" t="str">
        <f t="shared" si="49"/>
        <v/>
      </c>
      <c r="W192" s="263" t="str">
        <f t="shared" si="54"/>
        <v/>
      </c>
      <c r="X192" s="30"/>
      <c r="Y192" s="264"/>
      <c r="Z192" s="30"/>
      <c r="AA192" s="61"/>
      <c r="AB192" s="62"/>
      <c r="AC192" s="263" t="str">
        <f t="shared" si="55"/>
        <v/>
      </c>
      <c r="AD192" s="263" t="str">
        <f t="shared" si="56"/>
        <v/>
      </c>
      <c r="AE192" s="263" t="str">
        <f t="shared" si="57"/>
        <v/>
      </c>
      <c r="AF192" s="263" t="str">
        <f t="shared" si="58"/>
        <v/>
      </c>
      <c r="AG192" s="263" t="str">
        <f t="shared" si="59"/>
        <v/>
      </c>
      <c r="AH192" s="263" t="str">
        <f t="shared" si="60"/>
        <v/>
      </c>
      <c r="AI192" s="263" t="str">
        <f t="shared" si="61"/>
        <v/>
      </c>
    </row>
    <row r="193" spans="1:35">
      <c r="A193" s="164">
        <v>176</v>
      </c>
      <c r="B193" s="60" t="str">
        <f>IF('Add Change'!D198="","",+'Add Change'!D198)</f>
        <v/>
      </c>
      <c r="C193" s="31" t="str">
        <f>IF('Add Change'!I198="","",+'Add Change'!I198)</f>
        <v/>
      </c>
      <c r="D193" s="253" t="str">
        <f>IF('Add Change'!W198="","",'Add Change'!W198)</f>
        <v/>
      </c>
      <c r="E193" s="31"/>
      <c r="F193" s="70"/>
      <c r="G193" s="253"/>
      <c r="H193" s="254" t="str">
        <f t="shared" si="47"/>
        <v/>
      </c>
      <c r="I193" s="255" t="str">
        <f t="shared" si="48"/>
        <v/>
      </c>
      <c r="J193" s="256"/>
      <c r="K193" s="257"/>
      <c r="L193" s="258" t="str">
        <f t="shared" si="50"/>
        <v/>
      </c>
      <c r="M193" s="259" t="str">
        <f t="shared" si="51"/>
        <v/>
      </c>
      <c r="N193" s="260" t="str">
        <f t="shared" si="46"/>
        <v/>
      </c>
      <c r="O193" s="261" t="str">
        <f t="shared" si="52"/>
        <v/>
      </c>
      <c r="P193" s="262" t="str">
        <f t="shared" si="53"/>
        <v/>
      </c>
      <c r="Q193" s="263" t="str">
        <f t="shared" si="49"/>
        <v/>
      </c>
      <c r="R193" s="263" t="str">
        <f t="shared" si="49"/>
        <v/>
      </c>
      <c r="S193" s="263" t="str">
        <f t="shared" si="49"/>
        <v/>
      </c>
      <c r="T193" s="263" t="str">
        <f t="shared" si="49"/>
        <v/>
      </c>
      <c r="U193" s="263" t="str">
        <f t="shared" si="49"/>
        <v/>
      </c>
      <c r="V193" s="263" t="str">
        <f t="shared" si="49"/>
        <v/>
      </c>
      <c r="W193" s="263" t="str">
        <f t="shared" si="54"/>
        <v/>
      </c>
      <c r="X193" s="30"/>
      <c r="Y193" s="264"/>
      <c r="Z193" s="30"/>
      <c r="AA193" s="61"/>
      <c r="AB193" s="62"/>
      <c r="AC193" s="263" t="str">
        <f t="shared" si="55"/>
        <v/>
      </c>
      <c r="AD193" s="263" t="str">
        <f t="shared" si="56"/>
        <v/>
      </c>
      <c r="AE193" s="263" t="str">
        <f t="shared" si="57"/>
        <v/>
      </c>
      <c r="AF193" s="263" t="str">
        <f t="shared" si="58"/>
        <v/>
      </c>
      <c r="AG193" s="263" t="str">
        <f t="shared" si="59"/>
        <v/>
      </c>
      <c r="AH193" s="263" t="str">
        <f t="shared" si="60"/>
        <v/>
      </c>
      <c r="AI193" s="263" t="str">
        <f t="shared" si="61"/>
        <v/>
      </c>
    </row>
    <row r="194" spans="1:35">
      <c r="A194" s="164">
        <v>177</v>
      </c>
      <c r="B194" s="60" t="str">
        <f>IF('Add Change'!D199="","",+'Add Change'!D199)</f>
        <v/>
      </c>
      <c r="C194" s="31" t="str">
        <f>IF('Add Change'!I199="","",+'Add Change'!I199)</f>
        <v/>
      </c>
      <c r="D194" s="253" t="str">
        <f>IF('Add Change'!W199="","",'Add Change'!W199)</f>
        <v/>
      </c>
      <c r="E194" s="31"/>
      <c r="F194" s="70"/>
      <c r="G194" s="253"/>
      <c r="H194" s="254" t="str">
        <f t="shared" si="47"/>
        <v/>
      </c>
      <c r="I194" s="255" t="str">
        <f t="shared" si="48"/>
        <v/>
      </c>
      <c r="J194" s="256"/>
      <c r="K194" s="257"/>
      <c r="L194" s="258" t="str">
        <f t="shared" si="50"/>
        <v/>
      </c>
      <c r="M194" s="259" t="str">
        <f t="shared" si="51"/>
        <v/>
      </c>
      <c r="N194" s="260" t="str">
        <f t="shared" si="46"/>
        <v/>
      </c>
      <c r="O194" s="261" t="str">
        <f t="shared" si="52"/>
        <v/>
      </c>
      <c r="P194" s="262" t="str">
        <f t="shared" si="53"/>
        <v/>
      </c>
      <c r="Q194" s="263" t="str">
        <f t="shared" si="49"/>
        <v/>
      </c>
      <c r="R194" s="263" t="str">
        <f t="shared" si="49"/>
        <v/>
      </c>
      <c r="S194" s="263" t="str">
        <f t="shared" si="49"/>
        <v/>
      </c>
      <c r="T194" s="263" t="str">
        <f t="shared" si="49"/>
        <v/>
      </c>
      <c r="U194" s="263" t="str">
        <f t="shared" si="49"/>
        <v/>
      </c>
      <c r="V194" s="263" t="str">
        <f t="shared" si="49"/>
        <v/>
      </c>
      <c r="W194" s="263" t="str">
        <f t="shared" si="54"/>
        <v/>
      </c>
      <c r="X194" s="30"/>
      <c r="Y194" s="264"/>
      <c r="Z194" s="30"/>
      <c r="AA194" s="61"/>
      <c r="AB194" s="62"/>
      <c r="AC194" s="263" t="str">
        <f t="shared" si="55"/>
        <v/>
      </c>
      <c r="AD194" s="263" t="str">
        <f t="shared" si="56"/>
        <v/>
      </c>
      <c r="AE194" s="263" t="str">
        <f t="shared" si="57"/>
        <v/>
      </c>
      <c r="AF194" s="263" t="str">
        <f t="shared" si="58"/>
        <v/>
      </c>
      <c r="AG194" s="263" t="str">
        <f t="shared" si="59"/>
        <v/>
      </c>
      <c r="AH194" s="263" t="str">
        <f t="shared" si="60"/>
        <v/>
      </c>
      <c r="AI194" s="263" t="str">
        <f t="shared" si="61"/>
        <v/>
      </c>
    </row>
    <row r="195" spans="1:35">
      <c r="A195" s="164">
        <v>178</v>
      </c>
      <c r="B195" s="60" t="str">
        <f>IF('Add Change'!D200="","",+'Add Change'!D200)</f>
        <v/>
      </c>
      <c r="C195" s="31" t="str">
        <f>IF('Add Change'!I200="","",+'Add Change'!I200)</f>
        <v/>
      </c>
      <c r="D195" s="253" t="str">
        <f>IF('Add Change'!W200="","",'Add Change'!W200)</f>
        <v/>
      </c>
      <c r="E195" s="31"/>
      <c r="F195" s="70"/>
      <c r="G195" s="253"/>
      <c r="H195" s="254" t="str">
        <f t="shared" si="47"/>
        <v/>
      </c>
      <c r="I195" s="255" t="str">
        <f t="shared" si="48"/>
        <v/>
      </c>
      <c r="J195" s="256"/>
      <c r="K195" s="257"/>
      <c r="L195" s="258" t="str">
        <f t="shared" si="50"/>
        <v/>
      </c>
      <c r="M195" s="259" t="str">
        <f t="shared" si="51"/>
        <v/>
      </c>
      <c r="N195" s="260" t="str">
        <f t="shared" si="46"/>
        <v/>
      </c>
      <c r="O195" s="261" t="str">
        <f t="shared" si="52"/>
        <v/>
      </c>
      <c r="P195" s="262" t="str">
        <f t="shared" si="53"/>
        <v/>
      </c>
      <c r="Q195" s="263" t="str">
        <f t="shared" si="49"/>
        <v/>
      </c>
      <c r="R195" s="263" t="str">
        <f t="shared" si="49"/>
        <v/>
      </c>
      <c r="S195" s="263" t="str">
        <f t="shared" si="49"/>
        <v/>
      </c>
      <c r="T195" s="263" t="str">
        <f t="shared" si="49"/>
        <v/>
      </c>
      <c r="U195" s="263" t="str">
        <f t="shared" si="49"/>
        <v/>
      </c>
      <c r="V195" s="263" t="str">
        <f t="shared" si="49"/>
        <v/>
      </c>
      <c r="W195" s="263" t="str">
        <f t="shared" si="54"/>
        <v/>
      </c>
      <c r="X195" s="30"/>
      <c r="Y195" s="264"/>
      <c r="Z195" s="30"/>
      <c r="AA195" s="61"/>
      <c r="AB195" s="62"/>
      <c r="AC195" s="263" t="str">
        <f t="shared" si="55"/>
        <v/>
      </c>
      <c r="AD195" s="263" t="str">
        <f t="shared" si="56"/>
        <v/>
      </c>
      <c r="AE195" s="263" t="str">
        <f t="shared" si="57"/>
        <v/>
      </c>
      <c r="AF195" s="263" t="str">
        <f t="shared" si="58"/>
        <v/>
      </c>
      <c r="AG195" s="263" t="str">
        <f t="shared" si="59"/>
        <v/>
      </c>
      <c r="AH195" s="263" t="str">
        <f t="shared" si="60"/>
        <v/>
      </c>
      <c r="AI195" s="263" t="str">
        <f t="shared" si="61"/>
        <v/>
      </c>
    </row>
    <row r="196" spans="1:35">
      <c r="A196" s="164">
        <v>179</v>
      </c>
      <c r="B196" s="60" t="str">
        <f>IF('Add Change'!D201="","",+'Add Change'!D201)</f>
        <v/>
      </c>
      <c r="C196" s="31" t="str">
        <f>IF('Add Change'!I201="","",+'Add Change'!I201)</f>
        <v/>
      </c>
      <c r="D196" s="253" t="str">
        <f>IF('Add Change'!W201="","",'Add Change'!W201)</f>
        <v/>
      </c>
      <c r="E196" s="31"/>
      <c r="F196" s="70"/>
      <c r="G196" s="253"/>
      <c r="H196" s="254" t="str">
        <f t="shared" si="47"/>
        <v/>
      </c>
      <c r="I196" s="255" t="str">
        <f t="shared" si="48"/>
        <v/>
      </c>
      <c r="J196" s="256"/>
      <c r="K196" s="257"/>
      <c r="L196" s="258" t="str">
        <f t="shared" si="50"/>
        <v/>
      </c>
      <c r="M196" s="259" t="str">
        <f t="shared" si="51"/>
        <v/>
      </c>
      <c r="N196" s="260" t="str">
        <f t="shared" si="46"/>
        <v/>
      </c>
      <c r="O196" s="261" t="str">
        <f t="shared" si="52"/>
        <v/>
      </c>
      <c r="P196" s="262" t="str">
        <f t="shared" si="53"/>
        <v/>
      </c>
      <c r="Q196" s="263" t="str">
        <f t="shared" si="49"/>
        <v/>
      </c>
      <c r="R196" s="263" t="str">
        <f t="shared" si="49"/>
        <v/>
      </c>
      <c r="S196" s="263" t="str">
        <f t="shared" si="49"/>
        <v/>
      </c>
      <c r="T196" s="263" t="str">
        <f t="shared" si="49"/>
        <v/>
      </c>
      <c r="U196" s="263" t="str">
        <f t="shared" si="49"/>
        <v/>
      </c>
      <c r="V196" s="263" t="str">
        <f t="shared" si="49"/>
        <v/>
      </c>
      <c r="W196" s="263" t="str">
        <f t="shared" si="54"/>
        <v/>
      </c>
      <c r="X196" s="30"/>
      <c r="Y196" s="264"/>
      <c r="Z196" s="30"/>
      <c r="AA196" s="61"/>
      <c r="AB196" s="62"/>
      <c r="AC196" s="263" t="str">
        <f t="shared" si="55"/>
        <v/>
      </c>
      <c r="AD196" s="263" t="str">
        <f t="shared" si="56"/>
        <v/>
      </c>
      <c r="AE196" s="263" t="str">
        <f t="shared" si="57"/>
        <v/>
      </c>
      <c r="AF196" s="263" t="str">
        <f t="shared" si="58"/>
        <v/>
      </c>
      <c r="AG196" s="263" t="str">
        <f t="shared" si="59"/>
        <v/>
      </c>
      <c r="AH196" s="263" t="str">
        <f t="shared" si="60"/>
        <v/>
      </c>
      <c r="AI196" s="263" t="str">
        <f t="shared" si="61"/>
        <v/>
      </c>
    </row>
    <row r="197" spans="1:35">
      <c r="A197" s="164">
        <v>180</v>
      </c>
      <c r="B197" s="60" t="str">
        <f>IF('Add Change'!D202="","",+'Add Change'!D202)</f>
        <v/>
      </c>
      <c r="C197" s="31" t="str">
        <f>IF('Add Change'!I202="","",+'Add Change'!I202)</f>
        <v/>
      </c>
      <c r="D197" s="253" t="str">
        <f>IF('Add Change'!W202="","",'Add Change'!W202)</f>
        <v/>
      </c>
      <c r="E197" s="31"/>
      <c r="F197" s="70"/>
      <c r="G197" s="253"/>
      <c r="H197" s="254" t="str">
        <f t="shared" si="47"/>
        <v/>
      </c>
      <c r="I197" s="255" t="str">
        <f t="shared" si="48"/>
        <v/>
      </c>
      <c r="J197" s="256"/>
      <c r="K197" s="257"/>
      <c r="L197" s="258" t="str">
        <f t="shared" si="50"/>
        <v/>
      </c>
      <c r="M197" s="259" t="str">
        <f t="shared" si="51"/>
        <v/>
      </c>
      <c r="N197" s="260" t="str">
        <f t="shared" si="46"/>
        <v/>
      </c>
      <c r="O197" s="261" t="str">
        <f t="shared" si="52"/>
        <v/>
      </c>
      <c r="P197" s="262" t="str">
        <f t="shared" si="53"/>
        <v/>
      </c>
      <c r="Q197" s="263" t="str">
        <f t="shared" si="49"/>
        <v/>
      </c>
      <c r="R197" s="263" t="str">
        <f t="shared" si="49"/>
        <v/>
      </c>
      <c r="S197" s="263" t="str">
        <f t="shared" si="49"/>
        <v/>
      </c>
      <c r="T197" s="263" t="str">
        <f t="shared" si="49"/>
        <v/>
      </c>
      <c r="U197" s="263" t="str">
        <f t="shared" si="49"/>
        <v/>
      </c>
      <c r="V197" s="263" t="str">
        <f t="shared" si="49"/>
        <v/>
      </c>
      <c r="W197" s="263" t="str">
        <f t="shared" si="54"/>
        <v/>
      </c>
      <c r="X197" s="30"/>
      <c r="Y197" s="264"/>
      <c r="Z197" s="30"/>
      <c r="AA197" s="61"/>
      <c r="AB197" s="62"/>
      <c r="AC197" s="263" t="str">
        <f t="shared" si="55"/>
        <v/>
      </c>
      <c r="AD197" s="263" t="str">
        <f t="shared" si="56"/>
        <v/>
      </c>
      <c r="AE197" s="263" t="str">
        <f t="shared" si="57"/>
        <v/>
      </c>
      <c r="AF197" s="263" t="str">
        <f t="shared" si="58"/>
        <v/>
      </c>
      <c r="AG197" s="263" t="str">
        <f t="shared" si="59"/>
        <v/>
      </c>
      <c r="AH197" s="263" t="str">
        <f t="shared" si="60"/>
        <v/>
      </c>
      <c r="AI197" s="263" t="str">
        <f t="shared" si="61"/>
        <v/>
      </c>
    </row>
    <row r="198" spans="1:35">
      <c r="A198" s="164">
        <v>181</v>
      </c>
      <c r="B198" s="60" t="str">
        <f>IF('Add Change'!D203="","",+'Add Change'!D203)</f>
        <v/>
      </c>
      <c r="C198" s="31" t="str">
        <f>IF('Add Change'!I203="","",+'Add Change'!I203)</f>
        <v/>
      </c>
      <c r="D198" s="253" t="str">
        <f>IF('Add Change'!W203="","",'Add Change'!W203)</f>
        <v/>
      </c>
      <c r="E198" s="31"/>
      <c r="F198" s="70"/>
      <c r="G198" s="253"/>
      <c r="H198" s="254" t="str">
        <f t="shared" si="47"/>
        <v/>
      </c>
      <c r="I198" s="255" t="str">
        <f t="shared" si="48"/>
        <v/>
      </c>
      <c r="J198" s="256"/>
      <c r="K198" s="257"/>
      <c r="L198" s="258" t="str">
        <f t="shared" si="50"/>
        <v/>
      </c>
      <c r="M198" s="259" t="str">
        <f t="shared" si="51"/>
        <v/>
      </c>
      <c r="N198" s="260" t="str">
        <f t="shared" si="46"/>
        <v/>
      </c>
      <c r="O198" s="261" t="str">
        <f t="shared" si="52"/>
        <v/>
      </c>
      <c r="P198" s="262" t="str">
        <f t="shared" si="53"/>
        <v/>
      </c>
      <c r="Q198" s="263" t="str">
        <f t="shared" si="49"/>
        <v/>
      </c>
      <c r="R198" s="263" t="str">
        <f t="shared" si="49"/>
        <v/>
      </c>
      <c r="S198" s="263" t="str">
        <f t="shared" si="49"/>
        <v/>
      </c>
      <c r="T198" s="263" t="str">
        <f t="shared" si="49"/>
        <v/>
      </c>
      <c r="U198" s="263" t="str">
        <f t="shared" si="49"/>
        <v/>
      </c>
      <c r="V198" s="263" t="str">
        <f t="shared" si="49"/>
        <v/>
      </c>
      <c r="W198" s="263" t="str">
        <f t="shared" si="54"/>
        <v/>
      </c>
      <c r="X198" s="30"/>
      <c r="Y198" s="264"/>
      <c r="Z198" s="30"/>
      <c r="AA198" s="61"/>
      <c r="AB198" s="62"/>
      <c r="AC198" s="263" t="str">
        <f t="shared" si="55"/>
        <v/>
      </c>
      <c r="AD198" s="263" t="str">
        <f t="shared" si="56"/>
        <v/>
      </c>
      <c r="AE198" s="263" t="str">
        <f t="shared" si="57"/>
        <v/>
      </c>
      <c r="AF198" s="263" t="str">
        <f t="shared" si="58"/>
        <v/>
      </c>
      <c r="AG198" s="263" t="str">
        <f t="shared" si="59"/>
        <v/>
      </c>
      <c r="AH198" s="263" t="str">
        <f t="shared" si="60"/>
        <v/>
      </c>
      <c r="AI198" s="263" t="str">
        <f t="shared" si="61"/>
        <v/>
      </c>
    </row>
    <row r="199" spans="1:35">
      <c r="A199" s="164">
        <v>182</v>
      </c>
      <c r="B199" s="60" t="str">
        <f>IF('Add Change'!D204="","",+'Add Change'!D204)</f>
        <v/>
      </c>
      <c r="C199" s="31" t="str">
        <f>IF('Add Change'!I204="","",+'Add Change'!I204)</f>
        <v/>
      </c>
      <c r="D199" s="253" t="str">
        <f>IF('Add Change'!W204="","",'Add Change'!W204)</f>
        <v/>
      </c>
      <c r="E199" s="31"/>
      <c r="F199" s="70"/>
      <c r="G199" s="253"/>
      <c r="H199" s="254" t="str">
        <f t="shared" si="47"/>
        <v/>
      </c>
      <c r="I199" s="255" t="str">
        <f t="shared" si="48"/>
        <v/>
      </c>
      <c r="J199" s="256"/>
      <c r="K199" s="257"/>
      <c r="L199" s="258" t="str">
        <f t="shared" si="50"/>
        <v/>
      </c>
      <c r="M199" s="259" t="str">
        <f t="shared" si="51"/>
        <v/>
      </c>
      <c r="N199" s="260" t="str">
        <f t="shared" si="46"/>
        <v/>
      </c>
      <c r="O199" s="261" t="str">
        <f t="shared" si="52"/>
        <v/>
      </c>
      <c r="P199" s="262" t="str">
        <f t="shared" si="53"/>
        <v/>
      </c>
      <c r="Q199" s="263" t="str">
        <f t="shared" si="49"/>
        <v/>
      </c>
      <c r="R199" s="263" t="str">
        <f t="shared" si="49"/>
        <v/>
      </c>
      <c r="S199" s="263" t="str">
        <f t="shared" si="49"/>
        <v/>
      </c>
      <c r="T199" s="263" t="str">
        <f t="shared" si="49"/>
        <v/>
      </c>
      <c r="U199" s="263" t="str">
        <f t="shared" si="49"/>
        <v/>
      </c>
      <c r="V199" s="263" t="str">
        <f t="shared" si="49"/>
        <v/>
      </c>
      <c r="W199" s="263" t="str">
        <f t="shared" si="54"/>
        <v/>
      </c>
      <c r="X199" s="30"/>
      <c r="Y199" s="264"/>
      <c r="Z199" s="30"/>
      <c r="AA199" s="61"/>
      <c r="AB199" s="62"/>
      <c r="AC199" s="263" t="str">
        <f t="shared" si="55"/>
        <v/>
      </c>
      <c r="AD199" s="263" t="str">
        <f t="shared" si="56"/>
        <v/>
      </c>
      <c r="AE199" s="263" t="str">
        <f t="shared" si="57"/>
        <v/>
      </c>
      <c r="AF199" s="263" t="str">
        <f t="shared" si="58"/>
        <v/>
      </c>
      <c r="AG199" s="263" t="str">
        <f t="shared" si="59"/>
        <v/>
      </c>
      <c r="AH199" s="263" t="str">
        <f t="shared" si="60"/>
        <v/>
      </c>
      <c r="AI199" s="263" t="str">
        <f t="shared" si="61"/>
        <v/>
      </c>
    </row>
    <row r="200" spans="1:35">
      <c r="A200" s="164">
        <v>183</v>
      </c>
      <c r="B200" s="60" t="str">
        <f>IF('Add Change'!D205="","",+'Add Change'!D205)</f>
        <v/>
      </c>
      <c r="C200" s="31" t="str">
        <f>IF('Add Change'!I205="","",+'Add Change'!I205)</f>
        <v/>
      </c>
      <c r="D200" s="253" t="str">
        <f>IF('Add Change'!W205="","",'Add Change'!W205)</f>
        <v/>
      </c>
      <c r="E200" s="31"/>
      <c r="F200" s="70"/>
      <c r="G200" s="253"/>
      <c r="H200" s="254" t="str">
        <f t="shared" si="47"/>
        <v/>
      </c>
      <c r="I200" s="255" t="str">
        <f t="shared" si="48"/>
        <v/>
      </c>
      <c r="J200" s="256"/>
      <c r="K200" s="257"/>
      <c r="L200" s="258" t="str">
        <f t="shared" si="50"/>
        <v/>
      </c>
      <c r="M200" s="259" t="str">
        <f t="shared" si="51"/>
        <v/>
      </c>
      <c r="N200" s="260" t="str">
        <f t="shared" si="46"/>
        <v/>
      </c>
      <c r="O200" s="261" t="str">
        <f t="shared" si="52"/>
        <v/>
      </c>
      <c r="P200" s="262" t="str">
        <f t="shared" si="53"/>
        <v/>
      </c>
      <c r="Q200" s="263" t="str">
        <f t="shared" si="49"/>
        <v/>
      </c>
      <c r="R200" s="263" t="str">
        <f t="shared" si="49"/>
        <v/>
      </c>
      <c r="S200" s="263" t="str">
        <f t="shared" si="49"/>
        <v/>
      </c>
      <c r="T200" s="263" t="str">
        <f t="shared" si="49"/>
        <v/>
      </c>
      <c r="U200" s="263" t="str">
        <f t="shared" si="49"/>
        <v/>
      </c>
      <c r="V200" s="263" t="str">
        <f t="shared" si="49"/>
        <v/>
      </c>
      <c r="W200" s="263" t="str">
        <f t="shared" si="54"/>
        <v/>
      </c>
      <c r="X200" s="30"/>
      <c r="Y200" s="264"/>
      <c r="Z200" s="30"/>
      <c r="AA200" s="61"/>
      <c r="AB200" s="62"/>
      <c r="AC200" s="263" t="str">
        <f t="shared" si="55"/>
        <v/>
      </c>
      <c r="AD200" s="263" t="str">
        <f t="shared" si="56"/>
        <v/>
      </c>
      <c r="AE200" s="263" t="str">
        <f t="shared" si="57"/>
        <v/>
      </c>
      <c r="AF200" s="263" t="str">
        <f t="shared" si="58"/>
        <v/>
      </c>
      <c r="AG200" s="263" t="str">
        <f t="shared" si="59"/>
        <v/>
      </c>
      <c r="AH200" s="263" t="str">
        <f t="shared" si="60"/>
        <v/>
      </c>
      <c r="AI200" s="263" t="str">
        <f t="shared" si="61"/>
        <v/>
      </c>
    </row>
    <row r="201" spans="1:35">
      <c r="A201" s="164">
        <v>184</v>
      </c>
      <c r="B201" s="60" t="str">
        <f>IF('Add Change'!D206="","",+'Add Change'!D206)</f>
        <v/>
      </c>
      <c r="C201" s="31" t="str">
        <f>IF('Add Change'!I206="","",+'Add Change'!I206)</f>
        <v/>
      </c>
      <c r="D201" s="253" t="str">
        <f>IF('Add Change'!W206="","",'Add Change'!W206)</f>
        <v/>
      </c>
      <c r="E201" s="31"/>
      <c r="F201" s="70"/>
      <c r="G201" s="253"/>
      <c r="H201" s="254" t="str">
        <f t="shared" si="47"/>
        <v/>
      </c>
      <c r="I201" s="255" t="str">
        <f t="shared" si="48"/>
        <v/>
      </c>
      <c r="J201" s="256"/>
      <c r="K201" s="257"/>
      <c r="L201" s="258" t="str">
        <f t="shared" si="50"/>
        <v/>
      </c>
      <c r="M201" s="259" t="str">
        <f t="shared" si="51"/>
        <v/>
      </c>
      <c r="N201" s="260" t="str">
        <f t="shared" si="46"/>
        <v/>
      </c>
      <c r="O201" s="261" t="str">
        <f t="shared" si="52"/>
        <v/>
      </c>
      <c r="P201" s="262" t="str">
        <f t="shared" si="53"/>
        <v/>
      </c>
      <c r="Q201" s="263" t="str">
        <f t="shared" si="49"/>
        <v/>
      </c>
      <c r="R201" s="263" t="str">
        <f t="shared" si="49"/>
        <v/>
      </c>
      <c r="S201" s="263" t="str">
        <f t="shared" si="49"/>
        <v/>
      </c>
      <c r="T201" s="263" t="str">
        <f t="shared" si="49"/>
        <v/>
      </c>
      <c r="U201" s="263" t="str">
        <f t="shared" si="49"/>
        <v/>
      </c>
      <c r="V201" s="263" t="str">
        <f t="shared" si="49"/>
        <v/>
      </c>
      <c r="W201" s="263" t="str">
        <f t="shared" si="54"/>
        <v/>
      </c>
      <c r="X201" s="30"/>
      <c r="Y201" s="264"/>
      <c r="Z201" s="30"/>
      <c r="AA201" s="61"/>
      <c r="AB201" s="62"/>
      <c r="AC201" s="263" t="str">
        <f t="shared" si="55"/>
        <v/>
      </c>
      <c r="AD201" s="263" t="str">
        <f t="shared" si="56"/>
        <v/>
      </c>
      <c r="AE201" s="263" t="str">
        <f t="shared" si="57"/>
        <v/>
      </c>
      <c r="AF201" s="263" t="str">
        <f t="shared" si="58"/>
        <v/>
      </c>
      <c r="AG201" s="263" t="str">
        <f t="shared" si="59"/>
        <v/>
      </c>
      <c r="AH201" s="263" t="str">
        <f t="shared" si="60"/>
        <v/>
      </c>
      <c r="AI201" s="263" t="str">
        <f t="shared" si="61"/>
        <v/>
      </c>
    </row>
    <row r="202" spans="1:35">
      <c r="A202" s="164">
        <v>185</v>
      </c>
      <c r="B202" s="60" t="str">
        <f>IF('Add Change'!D207="","",+'Add Change'!D207)</f>
        <v/>
      </c>
      <c r="C202" s="31" t="str">
        <f>IF('Add Change'!I207="","",+'Add Change'!I207)</f>
        <v/>
      </c>
      <c r="D202" s="253" t="str">
        <f>IF('Add Change'!W207="","",'Add Change'!W207)</f>
        <v/>
      </c>
      <c r="E202" s="31"/>
      <c r="F202" s="70"/>
      <c r="G202" s="253"/>
      <c r="H202" s="254" t="str">
        <f t="shared" si="47"/>
        <v/>
      </c>
      <c r="I202" s="255" t="str">
        <f t="shared" si="48"/>
        <v/>
      </c>
      <c r="J202" s="256"/>
      <c r="K202" s="257"/>
      <c r="L202" s="258" t="str">
        <f t="shared" si="50"/>
        <v/>
      </c>
      <c r="M202" s="259" t="str">
        <f t="shared" si="51"/>
        <v/>
      </c>
      <c r="N202" s="260" t="str">
        <f t="shared" si="46"/>
        <v/>
      </c>
      <c r="O202" s="261" t="str">
        <f t="shared" si="52"/>
        <v/>
      </c>
      <c r="P202" s="262" t="str">
        <f t="shared" si="53"/>
        <v/>
      </c>
      <c r="Q202" s="263" t="str">
        <f t="shared" si="49"/>
        <v/>
      </c>
      <c r="R202" s="263" t="str">
        <f t="shared" si="49"/>
        <v/>
      </c>
      <c r="S202" s="263" t="str">
        <f t="shared" si="49"/>
        <v/>
      </c>
      <c r="T202" s="263" t="str">
        <f t="shared" si="49"/>
        <v/>
      </c>
      <c r="U202" s="263" t="str">
        <f t="shared" si="49"/>
        <v/>
      </c>
      <c r="V202" s="263" t="str">
        <f t="shared" si="49"/>
        <v/>
      </c>
      <c r="W202" s="263" t="str">
        <f t="shared" si="54"/>
        <v/>
      </c>
      <c r="X202" s="30"/>
      <c r="Y202" s="264"/>
      <c r="Z202" s="30"/>
      <c r="AA202" s="61"/>
      <c r="AB202" s="62"/>
      <c r="AC202" s="263" t="str">
        <f t="shared" si="55"/>
        <v/>
      </c>
      <c r="AD202" s="263" t="str">
        <f t="shared" si="56"/>
        <v/>
      </c>
      <c r="AE202" s="263" t="str">
        <f t="shared" si="57"/>
        <v/>
      </c>
      <c r="AF202" s="263" t="str">
        <f t="shared" si="58"/>
        <v/>
      </c>
      <c r="AG202" s="263" t="str">
        <f t="shared" si="59"/>
        <v/>
      </c>
      <c r="AH202" s="263" t="str">
        <f t="shared" si="60"/>
        <v/>
      </c>
      <c r="AI202" s="263" t="str">
        <f t="shared" si="61"/>
        <v/>
      </c>
    </row>
    <row r="203" spans="1:35">
      <c r="A203" s="164">
        <v>186</v>
      </c>
      <c r="B203" s="60" t="str">
        <f>IF('Add Change'!D208="","",+'Add Change'!D208)</f>
        <v/>
      </c>
      <c r="C203" s="31" t="str">
        <f>IF('Add Change'!I208="","",+'Add Change'!I208)</f>
        <v/>
      </c>
      <c r="D203" s="253" t="str">
        <f>IF('Add Change'!W208="","",'Add Change'!W208)</f>
        <v/>
      </c>
      <c r="E203" s="31"/>
      <c r="F203" s="70"/>
      <c r="G203" s="253"/>
      <c r="H203" s="254" t="str">
        <f t="shared" si="47"/>
        <v/>
      </c>
      <c r="I203" s="255" t="str">
        <f t="shared" si="48"/>
        <v/>
      </c>
      <c r="J203" s="256"/>
      <c r="K203" s="257"/>
      <c r="L203" s="258" t="str">
        <f t="shared" si="50"/>
        <v/>
      </c>
      <c r="M203" s="259" t="str">
        <f t="shared" si="51"/>
        <v/>
      </c>
      <c r="N203" s="260" t="str">
        <f t="shared" si="46"/>
        <v/>
      </c>
      <c r="O203" s="261" t="str">
        <f t="shared" si="52"/>
        <v/>
      </c>
      <c r="P203" s="262" t="str">
        <f t="shared" si="53"/>
        <v/>
      </c>
      <c r="Q203" s="263" t="str">
        <f t="shared" si="49"/>
        <v/>
      </c>
      <c r="R203" s="263" t="str">
        <f t="shared" si="49"/>
        <v/>
      </c>
      <c r="S203" s="263" t="str">
        <f t="shared" si="49"/>
        <v/>
      </c>
      <c r="T203" s="263" t="str">
        <f t="shared" si="49"/>
        <v/>
      </c>
      <c r="U203" s="263" t="str">
        <f t="shared" si="49"/>
        <v/>
      </c>
      <c r="V203" s="263" t="str">
        <f t="shared" si="49"/>
        <v/>
      </c>
      <c r="W203" s="263" t="str">
        <f t="shared" si="54"/>
        <v/>
      </c>
      <c r="X203" s="30"/>
      <c r="Y203" s="264"/>
      <c r="Z203" s="30"/>
      <c r="AA203" s="61"/>
      <c r="AB203" s="62"/>
      <c r="AC203" s="263" t="str">
        <f t="shared" si="55"/>
        <v/>
      </c>
      <c r="AD203" s="263" t="str">
        <f t="shared" si="56"/>
        <v/>
      </c>
      <c r="AE203" s="263" t="str">
        <f t="shared" si="57"/>
        <v/>
      </c>
      <c r="AF203" s="263" t="str">
        <f t="shared" si="58"/>
        <v/>
      </c>
      <c r="AG203" s="263" t="str">
        <f t="shared" si="59"/>
        <v/>
      </c>
      <c r="AH203" s="263" t="str">
        <f t="shared" si="60"/>
        <v/>
      </c>
      <c r="AI203" s="263" t="str">
        <f t="shared" si="61"/>
        <v/>
      </c>
    </row>
    <row r="204" spans="1:35">
      <c r="A204" s="164">
        <v>187</v>
      </c>
      <c r="B204" s="60" t="str">
        <f>IF('Add Change'!D209="","",+'Add Change'!D209)</f>
        <v/>
      </c>
      <c r="C204" s="31" t="str">
        <f>IF('Add Change'!I209="","",+'Add Change'!I209)</f>
        <v/>
      </c>
      <c r="D204" s="253" t="str">
        <f>IF('Add Change'!W209="","",'Add Change'!W209)</f>
        <v/>
      </c>
      <c r="E204" s="31"/>
      <c r="F204" s="70"/>
      <c r="G204" s="253"/>
      <c r="H204" s="254" t="str">
        <f t="shared" si="47"/>
        <v/>
      </c>
      <c r="I204" s="255" t="str">
        <f t="shared" si="48"/>
        <v/>
      </c>
      <c r="J204" s="256"/>
      <c r="K204" s="257"/>
      <c r="L204" s="258" t="str">
        <f t="shared" si="50"/>
        <v/>
      </c>
      <c r="M204" s="259" t="str">
        <f t="shared" si="51"/>
        <v/>
      </c>
      <c r="N204" s="260" t="str">
        <f t="shared" si="46"/>
        <v/>
      </c>
      <c r="O204" s="261" t="str">
        <f t="shared" si="52"/>
        <v/>
      </c>
      <c r="P204" s="262" t="str">
        <f t="shared" si="53"/>
        <v/>
      </c>
      <c r="Q204" s="263" t="str">
        <f t="shared" ref="Q204:V246" si="62">IF($O204="","",($O204*Q$13/4)*52)</f>
        <v/>
      </c>
      <c r="R204" s="263" t="str">
        <f t="shared" si="62"/>
        <v/>
      </c>
      <c r="S204" s="263" t="str">
        <f t="shared" si="62"/>
        <v/>
      </c>
      <c r="T204" s="263" t="str">
        <f t="shared" si="62"/>
        <v/>
      </c>
      <c r="U204" s="263" t="str">
        <f t="shared" si="62"/>
        <v/>
      </c>
      <c r="V204" s="263" t="str">
        <f t="shared" si="62"/>
        <v/>
      </c>
      <c r="W204" s="263" t="str">
        <f t="shared" si="54"/>
        <v/>
      </c>
      <c r="X204" s="30"/>
      <c r="Y204" s="264"/>
      <c r="Z204" s="30"/>
      <c r="AA204" s="61"/>
      <c r="AB204" s="62"/>
      <c r="AC204" s="263" t="str">
        <f t="shared" si="55"/>
        <v/>
      </c>
      <c r="AD204" s="263" t="str">
        <f t="shared" si="56"/>
        <v/>
      </c>
      <c r="AE204" s="263" t="str">
        <f t="shared" si="57"/>
        <v/>
      </c>
      <c r="AF204" s="263" t="str">
        <f t="shared" si="58"/>
        <v/>
      </c>
      <c r="AG204" s="263" t="str">
        <f t="shared" si="59"/>
        <v/>
      </c>
      <c r="AH204" s="263" t="str">
        <f t="shared" si="60"/>
        <v/>
      </c>
      <c r="AI204" s="263" t="str">
        <f t="shared" si="61"/>
        <v/>
      </c>
    </row>
    <row r="205" spans="1:35">
      <c r="A205" s="164">
        <v>188</v>
      </c>
      <c r="B205" s="60" t="str">
        <f>IF('Add Change'!D210="","",+'Add Change'!D210)</f>
        <v/>
      </c>
      <c r="C205" s="31" t="str">
        <f>IF('Add Change'!I210="","",+'Add Change'!I210)</f>
        <v/>
      </c>
      <c r="D205" s="253" t="str">
        <f>IF('Add Change'!W210="","",'Add Change'!W210)</f>
        <v/>
      </c>
      <c r="E205" s="31"/>
      <c r="F205" s="70"/>
      <c r="G205" s="253"/>
      <c r="H205" s="254" t="str">
        <f t="shared" si="47"/>
        <v/>
      </c>
      <c r="I205" s="255" t="str">
        <f t="shared" si="48"/>
        <v/>
      </c>
      <c r="J205" s="256"/>
      <c r="K205" s="257"/>
      <c r="L205" s="258" t="str">
        <f t="shared" si="50"/>
        <v/>
      </c>
      <c r="M205" s="259" t="str">
        <f t="shared" si="51"/>
        <v/>
      </c>
      <c r="N205" s="260" t="str">
        <f t="shared" si="46"/>
        <v/>
      </c>
      <c r="O205" s="261" t="str">
        <f t="shared" si="52"/>
        <v/>
      </c>
      <c r="P205" s="262" t="str">
        <f t="shared" si="53"/>
        <v/>
      </c>
      <c r="Q205" s="263" t="str">
        <f t="shared" si="62"/>
        <v/>
      </c>
      <c r="R205" s="263" t="str">
        <f t="shared" si="62"/>
        <v/>
      </c>
      <c r="S205" s="263" t="str">
        <f t="shared" si="62"/>
        <v/>
      </c>
      <c r="T205" s="263" t="str">
        <f t="shared" si="62"/>
        <v/>
      </c>
      <c r="U205" s="263" t="str">
        <f t="shared" si="62"/>
        <v/>
      </c>
      <c r="V205" s="263" t="str">
        <f t="shared" si="62"/>
        <v/>
      </c>
      <c r="W205" s="263" t="str">
        <f t="shared" si="54"/>
        <v/>
      </c>
      <c r="X205" s="30"/>
      <c r="Y205" s="264"/>
      <c r="Z205" s="30"/>
      <c r="AA205" s="61"/>
      <c r="AB205" s="62"/>
      <c r="AC205" s="263" t="str">
        <f t="shared" si="55"/>
        <v/>
      </c>
      <c r="AD205" s="263" t="str">
        <f t="shared" si="56"/>
        <v/>
      </c>
      <c r="AE205" s="263" t="str">
        <f t="shared" si="57"/>
        <v/>
      </c>
      <c r="AF205" s="263" t="str">
        <f t="shared" si="58"/>
        <v/>
      </c>
      <c r="AG205" s="263" t="str">
        <f t="shared" si="59"/>
        <v/>
      </c>
      <c r="AH205" s="263" t="str">
        <f t="shared" si="60"/>
        <v/>
      </c>
      <c r="AI205" s="263" t="str">
        <f t="shared" si="61"/>
        <v/>
      </c>
    </row>
    <row r="206" spans="1:35">
      <c r="A206" s="164">
        <v>189</v>
      </c>
      <c r="B206" s="60" t="str">
        <f>IF('Add Change'!D211="","",+'Add Change'!D211)</f>
        <v/>
      </c>
      <c r="C206" s="31" t="str">
        <f>IF('Add Change'!I211="","",+'Add Change'!I211)</f>
        <v/>
      </c>
      <c r="D206" s="253" t="str">
        <f>IF('Add Change'!W211="","",'Add Change'!W211)</f>
        <v/>
      </c>
      <c r="E206" s="31"/>
      <c r="F206" s="70"/>
      <c r="G206" s="253"/>
      <c r="H206" s="254" t="str">
        <f t="shared" si="47"/>
        <v/>
      </c>
      <c r="I206" s="255" t="str">
        <f t="shared" si="48"/>
        <v/>
      </c>
      <c r="J206" s="256"/>
      <c r="K206" s="257"/>
      <c r="L206" s="258" t="str">
        <f t="shared" si="50"/>
        <v/>
      </c>
      <c r="M206" s="259" t="str">
        <f t="shared" si="51"/>
        <v/>
      </c>
      <c r="N206" s="260" t="str">
        <f t="shared" si="46"/>
        <v/>
      </c>
      <c r="O206" s="261" t="str">
        <f t="shared" si="52"/>
        <v/>
      </c>
      <c r="P206" s="262" t="str">
        <f t="shared" si="53"/>
        <v/>
      </c>
      <c r="Q206" s="263" t="str">
        <f t="shared" si="62"/>
        <v/>
      </c>
      <c r="R206" s="263" t="str">
        <f t="shared" si="62"/>
        <v/>
      </c>
      <c r="S206" s="263" t="str">
        <f t="shared" si="62"/>
        <v/>
      </c>
      <c r="T206" s="263" t="str">
        <f t="shared" si="62"/>
        <v/>
      </c>
      <c r="U206" s="263" t="str">
        <f t="shared" si="62"/>
        <v/>
      </c>
      <c r="V206" s="263" t="str">
        <f t="shared" si="62"/>
        <v/>
      </c>
      <c r="W206" s="263" t="str">
        <f t="shared" si="54"/>
        <v/>
      </c>
      <c r="X206" s="30"/>
      <c r="Y206" s="264"/>
      <c r="Z206" s="30"/>
      <c r="AA206" s="61"/>
      <c r="AB206" s="62"/>
      <c r="AC206" s="263" t="str">
        <f t="shared" si="55"/>
        <v/>
      </c>
      <c r="AD206" s="263" t="str">
        <f t="shared" si="56"/>
        <v/>
      </c>
      <c r="AE206" s="263" t="str">
        <f t="shared" si="57"/>
        <v/>
      </c>
      <c r="AF206" s="263" t="str">
        <f t="shared" si="58"/>
        <v/>
      </c>
      <c r="AG206" s="263" t="str">
        <f t="shared" si="59"/>
        <v/>
      </c>
      <c r="AH206" s="263" t="str">
        <f t="shared" si="60"/>
        <v/>
      </c>
      <c r="AI206" s="263" t="str">
        <f t="shared" si="61"/>
        <v/>
      </c>
    </row>
    <row r="207" spans="1:35">
      <c r="A207" s="164">
        <v>190</v>
      </c>
      <c r="B207" s="60" t="str">
        <f>IF('Add Change'!D212="","",+'Add Change'!D212)</f>
        <v/>
      </c>
      <c r="C207" s="31" t="str">
        <f>IF('Add Change'!I212="","",+'Add Change'!I212)</f>
        <v/>
      </c>
      <c r="D207" s="253" t="str">
        <f>IF('Add Change'!W212="","",'Add Change'!W212)</f>
        <v/>
      </c>
      <c r="E207" s="31"/>
      <c r="F207" s="70"/>
      <c r="G207" s="253"/>
      <c r="H207" s="254" t="str">
        <f t="shared" si="47"/>
        <v/>
      </c>
      <c r="I207" s="255" t="str">
        <f t="shared" si="48"/>
        <v/>
      </c>
      <c r="J207" s="256"/>
      <c r="K207" s="257"/>
      <c r="L207" s="258" t="str">
        <f t="shared" si="50"/>
        <v/>
      </c>
      <c r="M207" s="259" t="str">
        <f t="shared" si="51"/>
        <v/>
      </c>
      <c r="N207" s="260" t="str">
        <f t="shared" si="46"/>
        <v/>
      </c>
      <c r="O207" s="261" t="str">
        <f t="shared" si="52"/>
        <v/>
      </c>
      <c r="P207" s="262" t="str">
        <f t="shared" si="53"/>
        <v/>
      </c>
      <c r="Q207" s="263" t="str">
        <f t="shared" si="62"/>
        <v/>
      </c>
      <c r="R207" s="263" t="str">
        <f t="shared" si="62"/>
        <v/>
      </c>
      <c r="S207" s="263" t="str">
        <f t="shared" si="62"/>
        <v/>
      </c>
      <c r="T207" s="263" t="str">
        <f t="shared" si="62"/>
        <v/>
      </c>
      <c r="U207" s="263" t="str">
        <f t="shared" si="62"/>
        <v/>
      </c>
      <c r="V207" s="263" t="str">
        <f t="shared" si="62"/>
        <v/>
      </c>
      <c r="W207" s="263" t="str">
        <f t="shared" si="54"/>
        <v/>
      </c>
      <c r="X207" s="30"/>
      <c r="Y207" s="264"/>
      <c r="Z207" s="30"/>
      <c r="AA207" s="61"/>
      <c r="AB207" s="62"/>
      <c r="AC207" s="263" t="str">
        <f t="shared" si="55"/>
        <v/>
      </c>
      <c r="AD207" s="263" t="str">
        <f t="shared" si="56"/>
        <v/>
      </c>
      <c r="AE207" s="263" t="str">
        <f t="shared" si="57"/>
        <v/>
      </c>
      <c r="AF207" s="263" t="str">
        <f t="shared" si="58"/>
        <v/>
      </c>
      <c r="AG207" s="263" t="str">
        <f t="shared" si="59"/>
        <v/>
      </c>
      <c r="AH207" s="263" t="str">
        <f t="shared" si="60"/>
        <v/>
      </c>
      <c r="AI207" s="263" t="str">
        <f t="shared" si="61"/>
        <v/>
      </c>
    </row>
    <row r="208" spans="1:35">
      <c r="A208" s="164">
        <v>191</v>
      </c>
      <c r="B208" s="60" t="str">
        <f>IF('Add Change'!D213="","",+'Add Change'!D213)</f>
        <v/>
      </c>
      <c r="C208" s="31" t="str">
        <f>IF('Add Change'!I213="","",+'Add Change'!I213)</f>
        <v/>
      </c>
      <c r="D208" s="253" t="str">
        <f>IF('Add Change'!W213="","",'Add Change'!W213)</f>
        <v/>
      </c>
      <c r="E208" s="31"/>
      <c r="F208" s="70"/>
      <c r="G208" s="253"/>
      <c r="H208" s="254" t="str">
        <f t="shared" si="47"/>
        <v/>
      </c>
      <c r="I208" s="255" t="str">
        <f t="shared" si="48"/>
        <v/>
      </c>
      <c r="J208" s="256"/>
      <c r="K208" s="257"/>
      <c r="L208" s="258" t="str">
        <f t="shared" si="50"/>
        <v/>
      </c>
      <c r="M208" s="259" t="str">
        <f t="shared" si="51"/>
        <v/>
      </c>
      <c r="N208" s="260" t="str">
        <f t="shared" si="46"/>
        <v/>
      </c>
      <c r="O208" s="261" t="str">
        <f t="shared" si="52"/>
        <v/>
      </c>
      <c r="P208" s="262" t="str">
        <f t="shared" si="53"/>
        <v/>
      </c>
      <c r="Q208" s="263" t="str">
        <f t="shared" si="62"/>
        <v/>
      </c>
      <c r="R208" s="263" t="str">
        <f t="shared" si="62"/>
        <v/>
      </c>
      <c r="S208" s="263" t="str">
        <f t="shared" si="62"/>
        <v/>
      </c>
      <c r="T208" s="263" t="str">
        <f t="shared" si="62"/>
        <v/>
      </c>
      <c r="U208" s="263" t="str">
        <f t="shared" si="62"/>
        <v/>
      </c>
      <c r="V208" s="263" t="str">
        <f t="shared" si="62"/>
        <v/>
      </c>
      <c r="W208" s="263" t="str">
        <f t="shared" si="54"/>
        <v/>
      </c>
      <c r="X208" s="30"/>
      <c r="Y208" s="264"/>
      <c r="Z208" s="30"/>
      <c r="AA208" s="61"/>
      <c r="AB208" s="62"/>
      <c r="AC208" s="263" t="str">
        <f t="shared" si="55"/>
        <v/>
      </c>
      <c r="AD208" s="263" t="str">
        <f t="shared" si="56"/>
        <v/>
      </c>
      <c r="AE208" s="263" t="str">
        <f t="shared" si="57"/>
        <v/>
      </c>
      <c r="AF208" s="263" t="str">
        <f t="shared" si="58"/>
        <v/>
      </c>
      <c r="AG208" s="263" t="str">
        <f t="shared" si="59"/>
        <v/>
      </c>
      <c r="AH208" s="263" t="str">
        <f t="shared" si="60"/>
        <v/>
      </c>
      <c r="AI208" s="263" t="str">
        <f t="shared" si="61"/>
        <v/>
      </c>
    </row>
    <row r="209" spans="1:35">
      <c r="A209" s="164">
        <v>192</v>
      </c>
      <c r="B209" s="60" t="str">
        <f>IF('Add Change'!D214="","",+'Add Change'!D214)</f>
        <v/>
      </c>
      <c r="C209" s="31" t="str">
        <f>IF('Add Change'!I214="","",+'Add Change'!I214)</f>
        <v/>
      </c>
      <c r="D209" s="253" t="str">
        <f>IF('Add Change'!W214="","",'Add Change'!W214)</f>
        <v/>
      </c>
      <c r="E209" s="31"/>
      <c r="F209" s="70"/>
      <c r="G209" s="253"/>
      <c r="H209" s="254" t="str">
        <f t="shared" si="47"/>
        <v/>
      </c>
      <c r="I209" s="255" t="str">
        <f t="shared" si="48"/>
        <v/>
      </c>
      <c r="J209" s="256"/>
      <c r="K209" s="257"/>
      <c r="L209" s="258" t="str">
        <f t="shared" si="50"/>
        <v/>
      </c>
      <c r="M209" s="259" t="str">
        <f t="shared" si="51"/>
        <v/>
      </c>
      <c r="N209" s="260" t="str">
        <f t="shared" si="46"/>
        <v/>
      </c>
      <c r="O209" s="261" t="str">
        <f t="shared" si="52"/>
        <v/>
      </c>
      <c r="P209" s="262" t="str">
        <f t="shared" si="53"/>
        <v/>
      </c>
      <c r="Q209" s="263" t="str">
        <f t="shared" si="62"/>
        <v/>
      </c>
      <c r="R209" s="263" t="str">
        <f t="shared" si="62"/>
        <v/>
      </c>
      <c r="S209" s="263" t="str">
        <f t="shared" si="62"/>
        <v/>
      </c>
      <c r="T209" s="263" t="str">
        <f t="shared" si="62"/>
        <v/>
      </c>
      <c r="U209" s="263" t="str">
        <f t="shared" si="62"/>
        <v/>
      </c>
      <c r="V209" s="263" t="str">
        <f t="shared" si="62"/>
        <v/>
      </c>
      <c r="W209" s="263" t="str">
        <f t="shared" si="54"/>
        <v/>
      </c>
      <c r="X209" s="30"/>
      <c r="Y209" s="264"/>
      <c r="Z209" s="30"/>
      <c r="AA209" s="61"/>
      <c r="AB209" s="62"/>
      <c r="AC209" s="263" t="str">
        <f t="shared" si="55"/>
        <v/>
      </c>
      <c r="AD209" s="263" t="str">
        <f t="shared" si="56"/>
        <v/>
      </c>
      <c r="AE209" s="263" t="str">
        <f t="shared" si="57"/>
        <v/>
      </c>
      <c r="AF209" s="263" t="str">
        <f t="shared" si="58"/>
        <v/>
      </c>
      <c r="AG209" s="263" t="str">
        <f t="shared" si="59"/>
        <v/>
      </c>
      <c r="AH209" s="263" t="str">
        <f t="shared" si="60"/>
        <v/>
      </c>
      <c r="AI209" s="263" t="str">
        <f t="shared" si="61"/>
        <v/>
      </c>
    </row>
    <row r="210" spans="1:35">
      <c r="A210" s="164">
        <v>193</v>
      </c>
      <c r="B210" s="60" t="str">
        <f>IF('Add Change'!D215="","",+'Add Change'!D215)</f>
        <v/>
      </c>
      <c r="C210" s="31" t="str">
        <f>IF('Add Change'!I215="","",+'Add Change'!I215)</f>
        <v/>
      </c>
      <c r="D210" s="253" t="str">
        <f>IF('Add Change'!W215="","",'Add Change'!W215)</f>
        <v/>
      </c>
      <c r="E210" s="31"/>
      <c r="F210" s="70"/>
      <c r="G210" s="253"/>
      <c r="H210" s="254" t="str">
        <f t="shared" si="47"/>
        <v/>
      </c>
      <c r="I210" s="255" t="str">
        <f t="shared" si="48"/>
        <v/>
      </c>
      <c r="J210" s="256"/>
      <c r="K210" s="257"/>
      <c r="L210" s="258" t="str">
        <f t="shared" si="50"/>
        <v/>
      </c>
      <c r="M210" s="259" t="str">
        <f t="shared" si="51"/>
        <v/>
      </c>
      <c r="N210" s="260" t="str">
        <f t="shared" ref="N210:N267" si="63">IF($M210="","",($M210*$L210*$W$13/4)*52)</f>
        <v/>
      </c>
      <c r="O210" s="261" t="str">
        <f t="shared" si="52"/>
        <v/>
      </c>
      <c r="P210" s="262" t="str">
        <f t="shared" si="53"/>
        <v/>
      </c>
      <c r="Q210" s="263" t="str">
        <f t="shared" si="62"/>
        <v/>
      </c>
      <c r="R210" s="263" t="str">
        <f t="shared" si="62"/>
        <v/>
      </c>
      <c r="S210" s="263" t="str">
        <f t="shared" si="62"/>
        <v/>
      </c>
      <c r="T210" s="263" t="str">
        <f t="shared" si="62"/>
        <v/>
      </c>
      <c r="U210" s="263" t="str">
        <f t="shared" si="62"/>
        <v/>
      </c>
      <c r="V210" s="263" t="str">
        <f t="shared" si="62"/>
        <v/>
      </c>
      <c r="W210" s="263" t="str">
        <f t="shared" si="54"/>
        <v/>
      </c>
      <c r="X210" s="30"/>
      <c r="Y210" s="264"/>
      <c r="Z210" s="30"/>
      <c r="AA210" s="61"/>
      <c r="AB210" s="62"/>
      <c r="AC210" s="263" t="str">
        <f t="shared" si="55"/>
        <v/>
      </c>
      <c r="AD210" s="263" t="str">
        <f t="shared" si="56"/>
        <v/>
      </c>
      <c r="AE210" s="263" t="str">
        <f t="shared" si="57"/>
        <v/>
      </c>
      <c r="AF210" s="263" t="str">
        <f t="shared" si="58"/>
        <v/>
      </c>
      <c r="AG210" s="263" t="str">
        <f t="shared" si="59"/>
        <v/>
      </c>
      <c r="AH210" s="263" t="str">
        <f t="shared" si="60"/>
        <v/>
      </c>
      <c r="AI210" s="263" t="str">
        <f t="shared" si="61"/>
        <v/>
      </c>
    </row>
    <row r="211" spans="1:35">
      <c r="A211" s="164">
        <v>194</v>
      </c>
      <c r="B211" s="60" t="str">
        <f>IF('Add Change'!D216="","",+'Add Change'!D216)</f>
        <v/>
      </c>
      <c r="C211" s="31" t="str">
        <f>IF('Add Change'!I216="","",+'Add Change'!I216)</f>
        <v/>
      </c>
      <c r="D211" s="253" t="str">
        <f>IF('Add Change'!W216="","",'Add Change'!W216)</f>
        <v/>
      </c>
      <c r="E211" s="31"/>
      <c r="F211" s="70"/>
      <c r="G211" s="253"/>
      <c r="H211" s="254" t="str">
        <f t="shared" ref="H211:H267" si="64">IF($AK$3=1,"",IF($AK$3=2,"Enter Forecast",IF($AK$3=3,IF(LEN(I211)=9,"",(I211*$W$13/4)*52),"Error")))</f>
        <v/>
      </c>
      <c r="I211" s="255" t="str">
        <f t="shared" ref="I211:I267" si="65">IF($AK$3=1,"",IF($AK$3=2,IF(LEN(H211)=14,"",((H211/$W$13)/52)*4),IF($AK$3=3,"Avg Units","Error")))</f>
        <v/>
      </c>
      <c r="J211" s="256"/>
      <c r="K211" s="257"/>
      <c r="L211" s="258" t="str">
        <f t="shared" si="50"/>
        <v/>
      </c>
      <c r="M211" s="259" t="str">
        <f t="shared" si="51"/>
        <v/>
      </c>
      <c r="N211" s="260" t="str">
        <f t="shared" si="63"/>
        <v/>
      </c>
      <c r="O211" s="261" t="str">
        <f t="shared" si="52"/>
        <v/>
      </c>
      <c r="P211" s="262" t="str">
        <f t="shared" si="53"/>
        <v/>
      </c>
      <c r="Q211" s="263" t="str">
        <f t="shared" si="62"/>
        <v/>
      </c>
      <c r="R211" s="263" t="str">
        <f t="shared" si="62"/>
        <v/>
      </c>
      <c r="S211" s="263" t="str">
        <f t="shared" si="62"/>
        <v/>
      </c>
      <c r="T211" s="263" t="str">
        <f t="shared" si="62"/>
        <v/>
      </c>
      <c r="U211" s="263" t="str">
        <f t="shared" si="62"/>
        <v/>
      </c>
      <c r="V211" s="263" t="str">
        <f t="shared" si="62"/>
        <v/>
      </c>
      <c r="W211" s="263" t="str">
        <f t="shared" si="54"/>
        <v/>
      </c>
      <c r="X211" s="30"/>
      <c r="Y211" s="264"/>
      <c r="Z211" s="30"/>
      <c r="AA211" s="61"/>
      <c r="AB211" s="62"/>
      <c r="AC211" s="263" t="str">
        <f t="shared" si="55"/>
        <v/>
      </c>
      <c r="AD211" s="263" t="str">
        <f t="shared" si="56"/>
        <v/>
      </c>
      <c r="AE211" s="263" t="str">
        <f t="shared" si="57"/>
        <v/>
      </c>
      <c r="AF211" s="263" t="str">
        <f t="shared" si="58"/>
        <v/>
      </c>
      <c r="AG211" s="263" t="str">
        <f t="shared" si="59"/>
        <v/>
      </c>
      <c r="AH211" s="263" t="str">
        <f t="shared" si="60"/>
        <v/>
      </c>
      <c r="AI211" s="263" t="str">
        <f t="shared" si="61"/>
        <v/>
      </c>
    </row>
    <row r="212" spans="1:35">
      <c r="A212" s="164">
        <v>195</v>
      </c>
      <c r="B212" s="60" t="str">
        <f>IF('Add Change'!D217="","",+'Add Change'!D217)</f>
        <v/>
      </c>
      <c r="C212" s="31" t="str">
        <f>IF('Add Change'!I217="","",+'Add Change'!I217)</f>
        <v/>
      </c>
      <c r="D212" s="253" t="str">
        <f>IF('Add Change'!W217="","",'Add Change'!W217)</f>
        <v/>
      </c>
      <c r="E212" s="31"/>
      <c r="F212" s="70"/>
      <c r="G212" s="253"/>
      <c r="H212" s="254" t="str">
        <f t="shared" si="64"/>
        <v/>
      </c>
      <c r="I212" s="255" t="str">
        <f t="shared" si="65"/>
        <v/>
      </c>
      <c r="J212" s="256"/>
      <c r="K212" s="257"/>
      <c r="L212" s="258" t="str">
        <f t="shared" si="50"/>
        <v/>
      </c>
      <c r="M212" s="259" t="str">
        <f t="shared" si="51"/>
        <v/>
      </c>
      <c r="N212" s="260" t="str">
        <f t="shared" si="63"/>
        <v/>
      </c>
      <c r="O212" s="261" t="str">
        <f t="shared" si="52"/>
        <v/>
      </c>
      <c r="P212" s="262" t="str">
        <f t="shared" si="53"/>
        <v/>
      </c>
      <c r="Q212" s="263" t="str">
        <f t="shared" si="62"/>
        <v/>
      </c>
      <c r="R212" s="263" t="str">
        <f t="shared" si="62"/>
        <v/>
      </c>
      <c r="S212" s="263" t="str">
        <f t="shared" si="62"/>
        <v/>
      </c>
      <c r="T212" s="263" t="str">
        <f t="shared" si="62"/>
        <v/>
      </c>
      <c r="U212" s="263" t="str">
        <f t="shared" si="62"/>
        <v/>
      </c>
      <c r="V212" s="263" t="str">
        <f t="shared" si="62"/>
        <v/>
      </c>
      <c r="W212" s="263" t="str">
        <f t="shared" si="54"/>
        <v/>
      </c>
      <c r="X212" s="30"/>
      <c r="Y212" s="264"/>
      <c r="Z212" s="30"/>
      <c r="AA212" s="61"/>
      <c r="AB212" s="62"/>
      <c r="AC212" s="263" t="str">
        <f t="shared" si="55"/>
        <v/>
      </c>
      <c r="AD212" s="263" t="str">
        <f t="shared" si="56"/>
        <v/>
      </c>
      <c r="AE212" s="263" t="str">
        <f t="shared" si="57"/>
        <v/>
      </c>
      <c r="AF212" s="263" t="str">
        <f t="shared" si="58"/>
        <v/>
      </c>
      <c r="AG212" s="263" t="str">
        <f t="shared" si="59"/>
        <v/>
      </c>
      <c r="AH212" s="263" t="str">
        <f t="shared" si="60"/>
        <v/>
      </c>
      <c r="AI212" s="263" t="str">
        <f t="shared" si="61"/>
        <v/>
      </c>
    </row>
    <row r="213" spans="1:35">
      <c r="A213" s="164">
        <v>196</v>
      </c>
      <c r="B213" s="60" t="str">
        <f>IF('Add Change'!D218="","",+'Add Change'!D218)</f>
        <v/>
      </c>
      <c r="C213" s="31" t="str">
        <f>IF('Add Change'!I218="","",+'Add Change'!I218)</f>
        <v/>
      </c>
      <c r="D213" s="253" t="str">
        <f>IF('Add Change'!W218="","",'Add Change'!W218)</f>
        <v/>
      </c>
      <c r="E213" s="31"/>
      <c r="F213" s="70"/>
      <c r="G213" s="253"/>
      <c r="H213" s="254" t="str">
        <f t="shared" si="64"/>
        <v/>
      </c>
      <c r="I213" s="255" t="str">
        <f t="shared" si="65"/>
        <v/>
      </c>
      <c r="J213" s="256"/>
      <c r="K213" s="257"/>
      <c r="L213" s="258" t="str">
        <f t="shared" si="50"/>
        <v/>
      </c>
      <c r="M213" s="259" t="str">
        <f t="shared" si="51"/>
        <v/>
      </c>
      <c r="N213" s="260" t="str">
        <f t="shared" si="63"/>
        <v/>
      </c>
      <c r="O213" s="261" t="str">
        <f t="shared" si="52"/>
        <v/>
      </c>
      <c r="P213" s="262" t="str">
        <f t="shared" si="53"/>
        <v/>
      </c>
      <c r="Q213" s="263" t="str">
        <f t="shared" si="62"/>
        <v/>
      </c>
      <c r="R213" s="263" t="str">
        <f t="shared" si="62"/>
        <v/>
      </c>
      <c r="S213" s="263" t="str">
        <f t="shared" si="62"/>
        <v/>
      </c>
      <c r="T213" s="263" t="str">
        <f t="shared" si="62"/>
        <v/>
      </c>
      <c r="U213" s="263" t="str">
        <f t="shared" si="62"/>
        <v/>
      </c>
      <c r="V213" s="263" t="str">
        <f t="shared" si="62"/>
        <v/>
      </c>
      <c r="W213" s="263" t="str">
        <f t="shared" si="54"/>
        <v/>
      </c>
      <c r="X213" s="30"/>
      <c r="Y213" s="264"/>
      <c r="Z213" s="30"/>
      <c r="AA213" s="61"/>
      <c r="AB213" s="62"/>
      <c r="AC213" s="263" t="str">
        <f t="shared" si="55"/>
        <v/>
      </c>
      <c r="AD213" s="263" t="str">
        <f t="shared" si="56"/>
        <v/>
      </c>
      <c r="AE213" s="263" t="str">
        <f t="shared" si="57"/>
        <v/>
      </c>
      <c r="AF213" s="263" t="str">
        <f t="shared" si="58"/>
        <v/>
      </c>
      <c r="AG213" s="263" t="str">
        <f t="shared" si="59"/>
        <v/>
      </c>
      <c r="AH213" s="263" t="str">
        <f t="shared" si="60"/>
        <v/>
      </c>
      <c r="AI213" s="263" t="str">
        <f t="shared" si="61"/>
        <v/>
      </c>
    </row>
    <row r="214" spans="1:35">
      <c r="A214" s="164">
        <v>197</v>
      </c>
      <c r="B214" s="60" t="str">
        <f>IF('Add Change'!D219="","",+'Add Change'!D219)</f>
        <v/>
      </c>
      <c r="C214" s="31" t="str">
        <f>IF('Add Change'!I219="","",+'Add Change'!I219)</f>
        <v/>
      </c>
      <c r="D214" s="253" t="str">
        <f>IF('Add Change'!W219="","",'Add Change'!W219)</f>
        <v/>
      </c>
      <c r="E214" s="31"/>
      <c r="F214" s="70"/>
      <c r="G214" s="253"/>
      <c r="H214" s="254" t="str">
        <f t="shared" si="64"/>
        <v/>
      </c>
      <c r="I214" s="255" t="str">
        <f t="shared" si="65"/>
        <v/>
      </c>
      <c r="J214" s="256"/>
      <c r="K214" s="257"/>
      <c r="L214" s="258" t="str">
        <f t="shared" si="50"/>
        <v/>
      </c>
      <c r="M214" s="259" t="str">
        <f t="shared" si="51"/>
        <v/>
      </c>
      <c r="N214" s="260" t="str">
        <f t="shared" si="63"/>
        <v/>
      </c>
      <c r="O214" s="261" t="str">
        <f t="shared" si="52"/>
        <v/>
      </c>
      <c r="P214" s="262" t="str">
        <f t="shared" si="53"/>
        <v/>
      </c>
      <c r="Q214" s="263" t="str">
        <f t="shared" si="62"/>
        <v/>
      </c>
      <c r="R214" s="263" t="str">
        <f t="shared" si="62"/>
        <v/>
      </c>
      <c r="S214" s="263" t="str">
        <f t="shared" si="62"/>
        <v/>
      </c>
      <c r="T214" s="263" t="str">
        <f t="shared" si="62"/>
        <v/>
      </c>
      <c r="U214" s="263" t="str">
        <f t="shared" si="62"/>
        <v/>
      </c>
      <c r="V214" s="263" t="str">
        <f t="shared" si="62"/>
        <v/>
      </c>
      <c r="W214" s="263" t="str">
        <f t="shared" si="54"/>
        <v/>
      </c>
      <c r="X214" s="30"/>
      <c r="Y214" s="264"/>
      <c r="Z214" s="30"/>
      <c r="AA214" s="61"/>
      <c r="AB214" s="62"/>
      <c r="AC214" s="263" t="str">
        <f t="shared" si="55"/>
        <v/>
      </c>
      <c r="AD214" s="263" t="str">
        <f t="shared" si="56"/>
        <v/>
      </c>
      <c r="AE214" s="263" t="str">
        <f t="shared" si="57"/>
        <v/>
      </c>
      <c r="AF214" s="263" t="str">
        <f t="shared" si="58"/>
        <v/>
      </c>
      <c r="AG214" s="263" t="str">
        <f t="shared" si="59"/>
        <v/>
      </c>
      <c r="AH214" s="263" t="str">
        <f t="shared" si="60"/>
        <v/>
      </c>
      <c r="AI214" s="263" t="str">
        <f t="shared" si="61"/>
        <v/>
      </c>
    </row>
    <row r="215" spans="1:35">
      <c r="A215" s="164">
        <v>198</v>
      </c>
      <c r="B215" s="60" t="str">
        <f>IF('Add Change'!D220="","",+'Add Change'!D220)</f>
        <v/>
      </c>
      <c r="C215" s="31" t="str">
        <f>IF('Add Change'!I220="","",+'Add Change'!I220)</f>
        <v/>
      </c>
      <c r="D215" s="253" t="str">
        <f>IF('Add Change'!W220="","",'Add Change'!W220)</f>
        <v/>
      </c>
      <c r="E215" s="31"/>
      <c r="F215" s="70"/>
      <c r="G215" s="253"/>
      <c r="H215" s="254" t="str">
        <f t="shared" si="64"/>
        <v/>
      </c>
      <c r="I215" s="255" t="str">
        <f t="shared" si="65"/>
        <v/>
      </c>
      <c r="J215" s="256"/>
      <c r="K215" s="257"/>
      <c r="L215" s="258" t="str">
        <f t="shared" si="50"/>
        <v/>
      </c>
      <c r="M215" s="259" t="str">
        <f t="shared" si="51"/>
        <v/>
      </c>
      <c r="N215" s="260" t="str">
        <f t="shared" si="63"/>
        <v/>
      </c>
      <c r="O215" s="261" t="str">
        <f t="shared" si="52"/>
        <v/>
      </c>
      <c r="P215" s="262" t="str">
        <f t="shared" si="53"/>
        <v/>
      </c>
      <c r="Q215" s="263" t="str">
        <f t="shared" si="62"/>
        <v/>
      </c>
      <c r="R215" s="263" t="str">
        <f t="shared" si="62"/>
        <v/>
      </c>
      <c r="S215" s="263" t="str">
        <f t="shared" si="62"/>
        <v/>
      </c>
      <c r="T215" s="263" t="str">
        <f t="shared" si="62"/>
        <v/>
      </c>
      <c r="U215" s="263" t="str">
        <f t="shared" si="62"/>
        <v/>
      </c>
      <c r="V215" s="263" t="str">
        <f t="shared" si="62"/>
        <v/>
      </c>
      <c r="W215" s="263" t="str">
        <f t="shared" si="54"/>
        <v/>
      </c>
      <c r="X215" s="30"/>
      <c r="Y215" s="264"/>
      <c r="Z215" s="30"/>
      <c r="AA215" s="61"/>
      <c r="AB215" s="62"/>
      <c r="AC215" s="263" t="str">
        <f t="shared" si="55"/>
        <v/>
      </c>
      <c r="AD215" s="263" t="str">
        <f t="shared" si="56"/>
        <v/>
      </c>
      <c r="AE215" s="263" t="str">
        <f t="shared" si="57"/>
        <v/>
      </c>
      <c r="AF215" s="263" t="str">
        <f t="shared" si="58"/>
        <v/>
      </c>
      <c r="AG215" s="263" t="str">
        <f t="shared" si="59"/>
        <v/>
      </c>
      <c r="AH215" s="263" t="str">
        <f t="shared" si="60"/>
        <v/>
      </c>
      <c r="AI215" s="263" t="str">
        <f t="shared" si="61"/>
        <v/>
      </c>
    </row>
    <row r="216" spans="1:35">
      <c r="A216" s="164">
        <v>199</v>
      </c>
      <c r="B216" s="60" t="str">
        <f>IF('Add Change'!D221="","",+'Add Change'!D221)</f>
        <v/>
      </c>
      <c r="C216" s="31" t="str">
        <f>IF('Add Change'!I221="","",+'Add Change'!I221)</f>
        <v/>
      </c>
      <c r="D216" s="253" t="str">
        <f>IF('Add Change'!W221="","",'Add Change'!W221)</f>
        <v/>
      </c>
      <c r="E216" s="31"/>
      <c r="F216" s="70"/>
      <c r="G216" s="253"/>
      <c r="H216" s="254" t="str">
        <f t="shared" si="64"/>
        <v/>
      </c>
      <c r="I216" s="255" t="str">
        <f t="shared" si="65"/>
        <v/>
      </c>
      <c r="J216" s="256"/>
      <c r="K216" s="257"/>
      <c r="L216" s="258" t="str">
        <f t="shared" si="50"/>
        <v/>
      </c>
      <c r="M216" s="259" t="str">
        <f t="shared" si="51"/>
        <v/>
      </c>
      <c r="N216" s="260" t="str">
        <f t="shared" si="63"/>
        <v/>
      </c>
      <c r="O216" s="261" t="str">
        <f t="shared" si="52"/>
        <v/>
      </c>
      <c r="P216" s="262" t="str">
        <f t="shared" si="53"/>
        <v/>
      </c>
      <c r="Q216" s="263" t="str">
        <f t="shared" si="62"/>
        <v/>
      </c>
      <c r="R216" s="263" t="str">
        <f t="shared" si="62"/>
        <v/>
      </c>
      <c r="S216" s="263" t="str">
        <f t="shared" si="62"/>
        <v/>
      </c>
      <c r="T216" s="263" t="str">
        <f t="shared" si="62"/>
        <v/>
      </c>
      <c r="U216" s="263" t="str">
        <f t="shared" si="62"/>
        <v/>
      </c>
      <c r="V216" s="263" t="str">
        <f t="shared" si="62"/>
        <v/>
      </c>
      <c r="W216" s="263" t="str">
        <f t="shared" si="54"/>
        <v/>
      </c>
      <c r="X216" s="30"/>
      <c r="Y216" s="264"/>
      <c r="Z216" s="30"/>
      <c r="AA216" s="61"/>
      <c r="AB216" s="62"/>
      <c r="AC216" s="263" t="str">
        <f t="shared" si="55"/>
        <v/>
      </c>
      <c r="AD216" s="263" t="str">
        <f t="shared" si="56"/>
        <v/>
      </c>
      <c r="AE216" s="263" t="str">
        <f t="shared" si="57"/>
        <v/>
      </c>
      <c r="AF216" s="263" t="str">
        <f t="shared" si="58"/>
        <v/>
      </c>
      <c r="AG216" s="263" t="str">
        <f t="shared" si="59"/>
        <v/>
      </c>
      <c r="AH216" s="263" t="str">
        <f t="shared" si="60"/>
        <v/>
      </c>
      <c r="AI216" s="263" t="str">
        <f t="shared" si="61"/>
        <v/>
      </c>
    </row>
    <row r="217" spans="1:35">
      <c r="A217" s="164">
        <v>200</v>
      </c>
      <c r="B217" s="60" t="str">
        <f>IF('Add Change'!D222="","",+'Add Change'!D222)</f>
        <v/>
      </c>
      <c r="C217" s="31" t="str">
        <f>IF('Add Change'!I222="","",+'Add Change'!I222)</f>
        <v/>
      </c>
      <c r="D217" s="253" t="str">
        <f>IF('Add Change'!W222="","",'Add Change'!W222)</f>
        <v/>
      </c>
      <c r="E217" s="31"/>
      <c r="F217" s="70"/>
      <c r="G217" s="253"/>
      <c r="H217" s="254" t="str">
        <f t="shared" si="64"/>
        <v/>
      </c>
      <c r="I217" s="255" t="str">
        <f t="shared" si="65"/>
        <v/>
      </c>
      <c r="J217" s="256"/>
      <c r="K217" s="257"/>
      <c r="L217" s="258" t="str">
        <f t="shared" si="50"/>
        <v/>
      </c>
      <c r="M217" s="259" t="str">
        <f t="shared" si="51"/>
        <v/>
      </c>
      <c r="N217" s="260" t="str">
        <f t="shared" si="63"/>
        <v/>
      </c>
      <c r="O217" s="261" t="str">
        <f t="shared" si="52"/>
        <v/>
      </c>
      <c r="P217" s="262" t="str">
        <f t="shared" si="53"/>
        <v/>
      </c>
      <c r="Q217" s="263" t="str">
        <f t="shared" si="62"/>
        <v/>
      </c>
      <c r="R217" s="263" t="str">
        <f t="shared" si="62"/>
        <v/>
      </c>
      <c r="S217" s="263" t="str">
        <f t="shared" si="62"/>
        <v/>
      </c>
      <c r="T217" s="263" t="str">
        <f t="shared" si="62"/>
        <v/>
      </c>
      <c r="U217" s="263" t="str">
        <f t="shared" si="62"/>
        <v/>
      </c>
      <c r="V217" s="263" t="str">
        <f t="shared" si="62"/>
        <v/>
      </c>
      <c r="W217" s="263" t="str">
        <f t="shared" si="54"/>
        <v/>
      </c>
      <c r="X217" s="30"/>
      <c r="Y217" s="264"/>
      <c r="Z217" s="30"/>
      <c r="AA217" s="61"/>
      <c r="AB217" s="62"/>
      <c r="AC217" s="263" t="str">
        <f t="shared" si="55"/>
        <v/>
      </c>
      <c r="AD217" s="263" t="str">
        <f t="shared" si="56"/>
        <v/>
      </c>
      <c r="AE217" s="263" t="str">
        <f t="shared" si="57"/>
        <v/>
      </c>
      <c r="AF217" s="263" t="str">
        <f t="shared" si="58"/>
        <v/>
      </c>
      <c r="AG217" s="263" t="str">
        <f t="shared" si="59"/>
        <v/>
      </c>
      <c r="AH217" s="263" t="str">
        <f t="shared" si="60"/>
        <v/>
      </c>
      <c r="AI217" s="263" t="str">
        <f t="shared" si="61"/>
        <v/>
      </c>
    </row>
    <row r="218" spans="1:35">
      <c r="A218" s="164">
        <v>201</v>
      </c>
      <c r="B218" s="60" t="str">
        <f>IF('Add Change'!D223="","",+'Add Change'!D223)</f>
        <v/>
      </c>
      <c r="C218" s="31" t="str">
        <f>IF('Add Change'!I223="","",+'Add Change'!I223)</f>
        <v/>
      </c>
      <c r="D218" s="253" t="str">
        <f>IF('Add Change'!W223="","",'Add Change'!W223)</f>
        <v/>
      </c>
      <c r="E218" s="31"/>
      <c r="F218" s="70"/>
      <c r="G218" s="253"/>
      <c r="H218" s="254" t="str">
        <f t="shared" si="64"/>
        <v/>
      </c>
      <c r="I218" s="255" t="str">
        <f t="shared" si="65"/>
        <v/>
      </c>
      <c r="J218" s="256"/>
      <c r="K218" s="257"/>
      <c r="L218" s="258" t="str">
        <f t="shared" si="50"/>
        <v/>
      </c>
      <c r="M218" s="259" t="str">
        <f t="shared" si="51"/>
        <v/>
      </c>
      <c r="N218" s="260" t="str">
        <f t="shared" si="63"/>
        <v/>
      </c>
      <c r="O218" s="261" t="str">
        <f t="shared" si="52"/>
        <v/>
      </c>
      <c r="P218" s="262" t="str">
        <f t="shared" si="53"/>
        <v/>
      </c>
      <c r="Q218" s="263" t="str">
        <f t="shared" si="62"/>
        <v/>
      </c>
      <c r="R218" s="263" t="str">
        <f t="shared" si="62"/>
        <v/>
      </c>
      <c r="S218" s="263" t="str">
        <f t="shared" si="62"/>
        <v/>
      </c>
      <c r="T218" s="263" t="str">
        <f t="shared" si="62"/>
        <v/>
      </c>
      <c r="U218" s="263" t="str">
        <f t="shared" si="62"/>
        <v/>
      </c>
      <c r="V218" s="263" t="str">
        <f t="shared" si="62"/>
        <v/>
      </c>
      <c r="W218" s="263" t="str">
        <f t="shared" si="54"/>
        <v/>
      </c>
      <c r="X218" s="30"/>
      <c r="Y218" s="264"/>
      <c r="Z218" s="30"/>
      <c r="AA218" s="61"/>
      <c r="AB218" s="62"/>
      <c r="AC218" s="263" t="str">
        <f t="shared" si="55"/>
        <v/>
      </c>
      <c r="AD218" s="263" t="str">
        <f t="shared" si="56"/>
        <v/>
      </c>
      <c r="AE218" s="263" t="str">
        <f t="shared" si="57"/>
        <v/>
      </c>
      <c r="AF218" s="263" t="str">
        <f t="shared" si="58"/>
        <v/>
      </c>
      <c r="AG218" s="263" t="str">
        <f t="shared" si="59"/>
        <v/>
      </c>
      <c r="AH218" s="263" t="str">
        <f t="shared" si="60"/>
        <v/>
      </c>
      <c r="AI218" s="263" t="str">
        <f t="shared" si="61"/>
        <v/>
      </c>
    </row>
    <row r="219" spans="1:35">
      <c r="A219" s="164">
        <v>202</v>
      </c>
      <c r="B219" s="60" t="str">
        <f>IF('Add Change'!D224="","",+'Add Change'!D224)</f>
        <v/>
      </c>
      <c r="C219" s="31" t="str">
        <f>IF('Add Change'!I224="","",+'Add Change'!I224)</f>
        <v/>
      </c>
      <c r="D219" s="253" t="str">
        <f>IF('Add Change'!W224="","",'Add Change'!W224)</f>
        <v/>
      </c>
      <c r="E219" s="31"/>
      <c r="F219" s="70"/>
      <c r="G219" s="253"/>
      <c r="H219" s="254" t="str">
        <f t="shared" si="64"/>
        <v/>
      </c>
      <c r="I219" s="255" t="str">
        <f t="shared" si="65"/>
        <v/>
      </c>
      <c r="J219" s="256"/>
      <c r="K219" s="257"/>
      <c r="L219" s="258" t="str">
        <f t="shared" si="50"/>
        <v/>
      </c>
      <c r="M219" s="259" t="str">
        <f t="shared" si="51"/>
        <v/>
      </c>
      <c r="N219" s="260" t="str">
        <f t="shared" si="63"/>
        <v/>
      </c>
      <c r="O219" s="261" t="str">
        <f t="shared" si="52"/>
        <v/>
      </c>
      <c r="P219" s="262" t="str">
        <f t="shared" si="53"/>
        <v/>
      </c>
      <c r="Q219" s="263" t="str">
        <f t="shared" si="62"/>
        <v/>
      </c>
      <c r="R219" s="263" t="str">
        <f t="shared" si="62"/>
        <v/>
      </c>
      <c r="S219" s="263" t="str">
        <f t="shared" si="62"/>
        <v/>
      </c>
      <c r="T219" s="263" t="str">
        <f t="shared" si="62"/>
        <v/>
      </c>
      <c r="U219" s="263" t="str">
        <f t="shared" si="62"/>
        <v/>
      </c>
      <c r="V219" s="263" t="str">
        <f t="shared" si="62"/>
        <v/>
      </c>
      <c r="W219" s="263" t="str">
        <f t="shared" si="54"/>
        <v/>
      </c>
      <c r="X219" s="30"/>
      <c r="Y219" s="264"/>
      <c r="Z219" s="30"/>
      <c r="AA219" s="61"/>
      <c r="AB219" s="62"/>
      <c r="AC219" s="263" t="str">
        <f t="shared" si="55"/>
        <v/>
      </c>
      <c r="AD219" s="263" t="str">
        <f t="shared" si="56"/>
        <v/>
      </c>
      <c r="AE219" s="263" t="str">
        <f t="shared" si="57"/>
        <v/>
      </c>
      <c r="AF219" s="263" t="str">
        <f t="shared" si="58"/>
        <v/>
      </c>
      <c r="AG219" s="263" t="str">
        <f t="shared" si="59"/>
        <v/>
      </c>
      <c r="AH219" s="263" t="str">
        <f t="shared" si="60"/>
        <v/>
      </c>
      <c r="AI219" s="263" t="str">
        <f t="shared" si="61"/>
        <v/>
      </c>
    </row>
    <row r="220" spans="1:35">
      <c r="A220" s="164">
        <v>203</v>
      </c>
      <c r="B220" s="60" t="str">
        <f>IF('Add Change'!D225="","",+'Add Change'!D225)</f>
        <v/>
      </c>
      <c r="C220" s="31" t="str">
        <f>IF('Add Change'!I225="","",+'Add Change'!I225)</f>
        <v/>
      </c>
      <c r="D220" s="253" t="str">
        <f>IF('Add Change'!W225="","",'Add Change'!W225)</f>
        <v/>
      </c>
      <c r="E220" s="31"/>
      <c r="F220" s="70"/>
      <c r="G220" s="253"/>
      <c r="H220" s="254" t="str">
        <f t="shared" si="64"/>
        <v/>
      </c>
      <c r="I220" s="255" t="str">
        <f t="shared" si="65"/>
        <v/>
      </c>
      <c r="J220" s="256"/>
      <c r="K220" s="257"/>
      <c r="L220" s="258" t="str">
        <f t="shared" si="50"/>
        <v/>
      </c>
      <c r="M220" s="259" t="str">
        <f t="shared" si="51"/>
        <v/>
      </c>
      <c r="N220" s="260" t="str">
        <f t="shared" si="63"/>
        <v/>
      </c>
      <c r="O220" s="261" t="str">
        <f t="shared" si="52"/>
        <v/>
      </c>
      <c r="P220" s="262" t="str">
        <f t="shared" si="53"/>
        <v/>
      </c>
      <c r="Q220" s="263" t="str">
        <f t="shared" si="62"/>
        <v/>
      </c>
      <c r="R220" s="263" t="str">
        <f t="shared" si="62"/>
        <v/>
      </c>
      <c r="S220" s="263" t="str">
        <f t="shared" si="62"/>
        <v/>
      </c>
      <c r="T220" s="263" t="str">
        <f t="shared" si="62"/>
        <v/>
      </c>
      <c r="U220" s="263" t="str">
        <f t="shared" si="62"/>
        <v/>
      </c>
      <c r="V220" s="263" t="str">
        <f t="shared" si="62"/>
        <v/>
      </c>
      <c r="W220" s="263" t="str">
        <f t="shared" si="54"/>
        <v/>
      </c>
      <c r="X220" s="30"/>
      <c r="Y220" s="264"/>
      <c r="Z220" s="30"/>
      <c r="AA220" s="61"/>
      <c r="AB220" s="62"/>
      <c r="AC220" s="263" t="str">
        <f t="shared" si="55"/>
        <v/>
      </c>
      <c r="AD220" s="263" t="str">
        <f t="shared" si="56"/>
        <v/>
      </c>
      <c r="AE220" s="263" t="str">
        <f t="shared" si="57"/>
        <v/>
      </c>
      <c r="AF220" s="263" t="str">
        <f t="shared" si="58"/>
        <v/>
      </c>
      <c r="AG220" s="263" t="str">
        <f t="shared" si="59"/>
        <v/>
      </c>
      <c r="AH220" s="263" t="str">
        <f t="shared" si="60"/>
        <v/>
      </c>
      <c r="AI220" s="263" t="str">
        <f t="shared" si="61"/>
        <v/>
      </c>
    </row>
    <row r="221" spans="1:35">
      <c r="A221" s="164">
        <v>204</v>
      </c>
      <c r="B221" s="60" t="str">
        <f>IF('Add Change'!D226="","",+'Add Change'!D226)</f>
        <v/>
      </c>
      <c r="C221" s="31" t="str">
        <f>IF('Add Change'!I226="","",+'Add Change'!I226)</f>
        <v/>
      </c>
      <c r="D221" s="253" t="str">
        <f>IF('Add Change'!W226="","",'Add Change'!W226)</f>
        <v/>
      </c>
      <c r="E221" s="31"/>
      <c r="F221" s="70"/>
      <c r="G221" s="253"/>
      <c r="H221" s="254" t="str">
        <f t="shared" si="64"/>
        <v/>
      </c>
      <c r="I221" s="255" t="str">
        <f t="shared" si="65"/>
        <v/>
      </c>
      <c r="J221" s="256"/>
      <c r="K221" s="257"/>
      <c r="L221" s="258" t="str">
        <f t="shared" si="50"/>
        <v/>
      </c>
      <c r="M221" s="259" t="str">
        <f t="shared" si="51"/>
        <v/>
      </c>
      <c r="N221" s="260" t="str">
        <f t="shared" si="63"/>
        <v/>
      </c>
      <c r="O221" s="261" t="str">
        <f t="shared" si="52"/>
        <v/>
      </c>
      <c r="P221" s="262" t="str">
        <f t="shared" si="53"/>
        <v/>
      </c>
      <c r="Q221" s="263" t="str">
        <f t="shared" si="62"/>
        <v/>
      </c>
      <c r="R221" s="263" t="str">
        <f t="shared" si="62"/>
        <v/>
      </c>
      <c r="S221" s="263" t="str">
        <f t="shared" si="62"/>
        <v/>
      </c>
      <c r="T221" s="263" t="str">
        <f t="shared" si="62"/>
        <v/>
      </c>
      <c r="U221" s="263" t="str">
        <f t="shared" si="62"/>
        <v/>
      </c>
      <c r="V221" s="263" t="str">
        <f t="shared" si="62"/>
        <v/>
      </c>
      <c r="W221" s="263" t="str">
        <f t="shared" si="54"/>
        <v/>
      </c>
      <c r="X221" s="30"/>
      <c r="Y221" s="264"/>
      <c r="Z221" s="30"/>
      <c r="AA221" s="61"/>
      <c r="AB221" s="62"/>
      <c r="AC221" s="263" t="str">
        <f t="shared" si="55"/>
        <v/>
      </c>
      <c r="AD221" s="263" t="str">
        <f t="shared" si="56"/>
        <v/>
      </c>
      <c r="AE221" s="263" t="str">
        <f t="shared" si="57"/>
        <v/>
      </c>
      <c r="AF221" s="263" t="str">
        <f t="shared" si="58"/>
        <v/>
      </c>
      <c r="AG221" s="263" t="str">
        <f t="shared" si="59"/>
        <v/>
      </c>
      <c r="AH221" s="263" t="str">
        <f t="shared" si="60"/>
        <v/>
      </c>
      <c r="AI221" s="263" t="str">
        <f t="shared" si="61"/>
        <v/>
      </c>
    </row>
    <row r="222" spans="1:35">
      <c r="A222" s="164">
        <v>205</v>
      </c>
      <c r="B222" s="60" t="str">
        <f>IF('Add Change'!D227="","",+'Add Change'!D227)</f>
        <v/>
      </c>
      <c r="C222" s="31" t="str">
        <f>IF('Add Change'!I227="","",+'Add Change'!I227)</f>
        <v/>
      </c>
      <c r="D222" s="253" t="str">
        <f>IF('Add Change'!W227="","",'Add Change'!W227)</f>
        <v/>
      </c>
      <c r="E222" s="31"/>
      <c r="F222" s="70"/>
      <c r="G222" s="253"/>
      <c r="H222" s="254" t="str">
        <f t="shared" si="64"/>
        <v/>
      </c>
      <c r="I222" s="255" t="str">
        <f t="shared" si="65"/>
        <v/>
      </c>
      <c r="J222" s="256"/>
      <c r="K222" s="257"/>
      <c r="L222" s="258" t="str">
        <f t="shared" si="50"/>
        <v/>
      </c>
      <c r="M222" s="259" t="str">
        <f t="shared" si="51"/>
        <v/>
      </c>
      <c r="N222" s="260" t="str">
        <f t="shared" si="63"/>
        <v/>
      </c>
      <c r="O222" s="261" t="str">
        <f t="shared" si="52"/>
        <v/>
      </c>
      <c r="P222" s="262" t="str">
        <f t="shared" si="53"/>
        <v/>
      </c>
      <c r="Q222" s="263" t="str">
        <f t="shared" si="62"/>
        <v/>
      </c>
      <c r="R222" s="263" t="str">
        <f t="shared" si="62"/>
        <v/>
      </c>
      <c r="S222" s="263" t="str">
        <f t="shared" si="62"/>
        <v/>
      </c>
      <c r="T222" s="263" t="str">
        <f t="shared" si="62"/>
        <v/>
      </c>
      <c r="U222" s="263" t="str">
        <f t="shared" si="62"/>
        <v/>
      </c>
      <c r="V222" s="263" t="str">
        <f t="shared" si="62"/>
        <v/>
      </c>
      <c r="W222" s="263" t="str">
        <f t="shared" si="54"/>
        <v/>
      </c>
      <c r="X222" s="30"/>
      <c r="Y222" s="264"/>
      <c r="Z222" s="30"/>
      <c r="AA222" s="61"/>
      <c r="AB222" s="62"/>
      <c r="AC222" s="263" t="str">
        <f t="shared" si="55"/>
        <v/>
      </c>
      <c r="AD222" s="263" t="str">
        <f t="shared" si="56"/>
        <v/>
      </c>
      <c r="AE222" s="263" t="str">
        <f t="shared" si="57"/>
        <v/>
      </c>
      <c r="AF222" s="263" t="str">
        <f t="shared" si="58"/>
        <v/>
      </c>
      <c r="AG222" s="263" t="str">
        <f t="shared" si="59"/>
        <v/>
      </c>
      <c r="AH222" s="263" t="str">
        <f t="shared" si="60"/>
        <v/>
      </c>
      <c r="AI222" s="263" t="str">
        <f t="shared" si="61"/>
        <v/>
      </c>
    </row>
    <row r="223" spans="1:35">
      <c r="A223" s="164">
        <v>206</v>
      </c>
      <c r="B223" s="60" t="str">
        <f>IF('Add Change'!D228="","",+'Add Change'!D228)</f>
        <v/>
      </c>
      <c r="C223" s="31" t="str">
        <f>IF('Add Change'!I228="","",+'Add Change'!I228)</f>
        <v/>
      </c>
      <c r="D223" s="253" t="str">
        <f>IF('Add Change'!W228="","",'Add Change'!W228)</f>
        <v/>
      </c>
      <c r="E223" s="31"/>
      <c r="F223" s="70"/>
      <c r="G223" s="253"/>
      <c r="H223" s="254" t="str">
        <f t="shared" si="64"/>
        <v/>
      </c>
      <c r="I223" s="255" t="str">
        <f t="shared" si="65"/>
        <v/>
      </c>
      <c r="J223" s="256"/>
      <c r="K223" s="257"/>
      <c r="L223" s="258" t="str">
        <f t="shared" si="50"/>
        <v/>
      </c>
      <c r="M223" s="259" t="str">
        <f t="shared" si="51"/>
        <v/>
      </c>
      <c r="N223" s="260" t="str">
        <f t="shared" si="63"/>
        <v/>
      </c>
      <c r="O223" s="261" t="str">
        <f t="shared" si="52"/>
        <v/>
      </c>
      <c r="P223" s="262" t="str">
        <f t="shared" si="53"/>
        <v/>
      </c>
      <c r="Q223" s="263" t="str">
        <f t="shared" si="62"/>
        <v/>
      </c>
      <c r="R223" s="263" t="str">
        <f t="shared" si="62"/>
        <v/>
      </c>
      <c r="S223" s="263" t="str">
        <f t="shared" si="62"/>
        <v/>
      </c>
      <c r="T223" s="263" t="str">
        <f t="shared" si="62"/>
        <v/>
      </c>
      <c r="U223" s="263" t="str">
        <f t="shared" si="62"/>
        <v/>
      </c>
      <c r="V223" s="263" t="str">
        <f t="shared" si="62"/>
        <v/>
      </c>
      <c r="W223" s="263" t="str">
        <f t="shared" si="54"/>
        <v/>
      </c>
      <c r="X223" s="30"/>
      <c r="Y223" s="264"/>
      <c r="Z223" s="30"/>
      <c r="AA223" s="61"/>
      <c r="AB223" s="62"/>
      <c r="AC223" s="263" t="str">
        <f t="shared" si="55"/>
        <v/>
      </c>
      <c r="AD223" s="263" t="str">
        <f t="shared" si="56"/>
        <v/>
      </c>
      <c r="AE223" s="263" t="str">
        <f t="shared" si="57"/>
        <v/>
      </c>
      <c r="AF223" s="263" t="str">
        <f t="shared" si="58"/>
        <v/>
      </c>
      <c r="AG223" s="263" t="str">
        <f t="shared" si="59"/>
        <v/>
      </c>
      <c r="AH223" s="263" t="str">
        <f t="shared" si="60"/>
        <v/>
      </c>
      <c r="AI223" s="263" t="str">
        <f t="shared" si="61"/>
        <v/>
      </c>
    </row>
    <row r="224" spans="1:35">
      <c r="A224" s="164">
        <v>207</v>
      </c>
      <c r="B224" s="60" t="str">
        <f>IF('Add Change'!D229="","",+'Add Change'!D229)</f>
        <v/>
      </c>
      <c r="C224" s="31" t="str">
        <f>IF('Add Change'!I229="","",+'Add Change'!I229)</f>
        <v/>
      </c>
      <c r="D224" s="253" t="str">
        <f>IF('Add Change'!W229="","",'Add Change'!W229)</f>
        <v/>
      </c>
      <c r="E224" s="31"/>
      <c r="F224" s="70"/>
      <c r="G224" s="253"/>
      <c r="H224" s="254" t="str">
        <f t="shared" si="64"/>
        <v/>
      </c>
      <c r="I224" s="255" t="str">
        <f t="shared" si="65"/>
        <v/>
      </c>
      <c r="J224" s="256"/>
      <c r="K224" s="257"/>
      <c r="L224" s="258" t="str">
        <f t="shared" si="50"/>
        <v/>
      </c>
      <c r="M224" s="259" t="str">
        <f t="shared" si="51"/>
        <v/>
      </c>
      <c r="N224" s="260" t="str">
        <f t="shared" si="63"/>
        <v/>
      </c>
      <c r="O224" s="261" t="str">
        <f t="shared" si="52"/>
        <v/>
      </c>
      <c r="P224" s="262" t="str">
        <f t="shared" si="53"/>
        <v/>
      </c>
      <c r="Q224" s="263" t="str">
        <f t="shared" si="62"/>
        <v/>
      </c>
      <c r="R224" s="263" t="str">
        <f t="shared" si="62"/>
        <v/>
      </c>
      <c r="S224" s="263" t="str">
        <f t="shared" si="62"/>
        <v/>
      </c>
      <c r="T224" s="263" t="str">
        <f t="shared" si="62"/>
        <v/>
      </c>
      <c r="U224" s="263" t="str">
        <f t="shared" si="62"/>
        <v/>
      </c>
      <c r="V224" s="263" t="str">
        <f t="shared" si="62"/>
        <v/>
      </c>
      <c r="W224" s="263" t="str">
        <f t="shared" si="54"/>
        <v/>
      </c>
      <c r="X224" s="30"/>
      <c r="Y224" s="264"/>
      <c r="Z224" s="30"/>
      <c r="AA224" s="61"/>
      <c r="AB224" s="62"/>
      <c r="AC224" s="263" t="str">
        <f t="shared" si="55"/>
        <v/>
      </c>
      <c r="AD224" s="263" t="str">
        <f t="shared" si="56"/>
        <v/>
      </c>
      <c r="AE224" s="263" t="str">
        <f t="shared" si="57"/>
        <v/>
      </c>
      <c r="AF224" s="263" t="str">
        <f t="shared" si="58"/>
        <v/>
      </c>
      <c r="AG224" s="263" t="str">
        <f t="shared" si="59"/>
        <v/>
      </c>
      <c r="AH224" s="263" t="str">
        <f t="shared" si="60"/>
        <v/>
      </c>
      <c r="AI224" s="263" t="str">
        <f t="shared" si="61"/>
        <v/>
      </c>
    </row>
    <row r="225" spans="1:35">
      <c r="A225" s="164">
        <v>208</v>
      </c>
      <c r="B225" s="60" t="str">
        <f>IF('Add Change'!D230="","",+'Add Change'!D230)</f>
        <v/>
      </c>
      <c r="C225" s="31" t="str">
        <f>IF('Add Change'!I230="","",+'Add Change'!I230)</f>
        <v/>
      </c>
      <c r="D225" s="253" t="str">
        <f>IF('Add Change'!W230="","",'Add Change'!W230)</f>
        <v/>
      </c>
      <c r="E225" s="31"/>
      <c r="F225" s="70"/>
      <c r="G225" s="253"/>
      <c r="H225" s="254" t="str">
        <f t="shared" si="64"/>
        <v/>
      </c>
      <c r="I225" s="255" t="str">
        <f t="shared" si="65"/>
        <v/>
      </c>
      <c r="J225" s="256"/>
      <c r="K225" s="257"/>
      <c r="L225" s="258" t="str">
        <f t="shared" si="50"/>
        <v/>
      </c>
      <c r="M225" s="259" t="str">
        <f t="shared" si="51"/>
        <v/>
      </c>
      <c r="N225" s="260" t="str">
        <f t="shared" si="63"/>
        <v/>
      </c>
      <c r="O225" s="261" t="str">
        <f t="shared" si="52"/>
        <v/>
      </c>
      <c r="P225" s="262" t="str">
        <f t="shared" si="53"/>
        <v/>
      </c>
      <c r="Q225" s="263" t="str">
        <f t="shared" si="62"/>
        <v/>
      </c>
      <c r="R225" s="263" t="str">
        <f t="shared" si="62"/>
        <v/>
      </c>
      <c r="S225" s="263" t="str">
        <f t="shared" si="62"/>
        <v/>
      </c>
      <c r="T225" s="263" t="str">
        <f t="shared" si="62"/>
        <v/>
      </c>
      <c r="U225" s="263" t="str">
        <f t="shared" si="62"/>
        <v/>
      </c>
      <c r="V225" s="263" t="str">
        <f t="shared" si="62"/>
        <v/>
      </c>
      <c r="W225" s="263" t="str">
        <f t="shared" si="54"/>
        <v/>
      </c>
      <c r="X225" s="30"/>
      <c r="Y225" s="264"/>
      <c r="Z225" s="30"/>
      <c r="AA225" s="61"/>
      <c r="AB225" s="62"/>
      <c r="AC225" s="263" t="str">
        <f t="shared" si="55"/>
        <v/>
      </c>
      <c r="AD225" s="263" t="str">
        <f t="shared" si="56"/>
        <v/>
      </c>
      <c r="AE225" s="263" t="str">
        <f t="shared" si="57"/>
        <v/>
      </c>
      <c r="AF225" s="263" t="str">
        <f t="shared" si="58"/>
        <v/>
      </c>
      <c r="AG225" s="263" t="str">
        <f t="shared" si="59"/>
        <v/>
      </c>
      <c r="AH225" s="263" t="str">
        <f t="shared" si="60"/>
        <v/>
      </c>
      <c r="AI225" s="263" t="str">
        <f t="shared" si="61"/>
        <v/>
      </c>
    </row>
    <row r="226" spans="1:35">
      <c r="A226" s="164">
        <v>209</v>
      </c>
      <c r="B226" s="60" t="str">
        <f>IF('Add Change'!D231="","",+'Add Change'!D231)</f>
        <v/>
      </c>
      <c r="C226" s="31" t="str">
        <f>IF('Add Change'!I231="","",+'Add Change'!I231)</f>
        <v/>
      </c>
      <c r="D226" s="253" t="str">
        <f>IF('Add Change'!W231="","",'Add Change'!W231)</f>
        <v/>
      </c>
      <c r="E226" s="31"/>
      <c r="F226" s="70"/>
      <c r="G226" s="253"/>
      <c r="H226" s="254" t="str">
        <f t="shared" si="64"/>
        <v/>
      </c>
      <c r="I226" s="255" t="str">
        <f t="shared" si="65"/>
        <v/>
      </c>
      <c r="J226" s="256"/>
      <c r="K226" s="257"/>
      <c r="L226" s="258" t="str">
        <f t="shared" si="50"/>
        <v/>
      </c>
      <c r="M226" s="259" t="str">
        <f t="shared" si="51"/>
        <v/>
      </c>
      <c r="N226" s="260" t="str">
        <f t="shared" si="63"/>
        <v/>
      </c>
      <c r="O226" s="261" t="str">
        <f t="shared" si="52"/>
        <v/>
      </c>
      <c r="P226" s="262" t="str">
        <f t="shared" si="53"/>
        <v/>
      </c>
      <c r="Q226" s="263" t="str">
        <f t="shared" si="62"/>
        <v/>
      </c>
      <c r="R226" s="263" t="str">
        <f t="shared" si="62"/>
        <v/>
      </c>
      <c r="S226" s="263" t="str">
        <f t="shared" si="62"/>
        <v/>
      </c>
      <c r="T226" s="263" t="str">
        <f t="shared" si="62"/>
        <v/>
      </c>
      <c r="U226" s="263" t="str">
        <f t="shared" si="62"/>
        <v/>
      </c>
      <c r="V226" s="263" t="str">
        <f t="shared" si="62"/>
        <v/>
      </c>
      <c r="W226" s="263" t="str">
        <f t="shared" si="54"/>
        <v/>
      </c>
      <c r="X226" s="30"/>
      <c r="Y226" s="264"/>
      <c r="Z226" s="30"/>
      <c r="AA226" s="61"/>
      <c r="AB226" s="62"/>
      <c r="AC226" s="263" t="str">
        <f t="shared" si="55"/>
        <v/>
      </c>
      <c r="AD226" s="263" t="str">
        <f t="shared" si="56"/>
        <v/>
      </c>
      <c r="AE226" s="263" t="str">
        <f t="shared" si="57"/>
        <v/>
      </c>
      <c r="AF226" s="263" t="str">
        <f t="shared" si="58"/>
        <v/>
      </c>
      <c r="AG226" s="263" t="str">
        <f t="shared" si="59"/>
        <v/>
      </c>
      <c r="AH226" s="263" t="str">
        <f t="shared" si="60"/>
        <v/>
      </c>
      <c r="AI226" s="263" t="str">
        <f t="shared" si="61"/>
        <v/>
      </c>
    </row>
    <row r="227" spans="1:35">
      <c r="A227" s="164">
        <v>210</v>
      </c>
      <c r="B227" s="60" t="str">
        <f>IF('Add Change'!D232="","",+'Add Change'!D232)</f>
        <v/>
      </c>
      <c r="C227" s="31" t="str">
        <f>IF('Add Change'!I232="","",+'Add Change'!I232)</f>
        <v/>
      </c>
      <c r="D227" s="253" t="str">
        <f>IF('Add Change'!W232="","",'Add Change'!W232)</f>
        <v/>
      </c>
      <c r="E227" s="31"/>
      <c r="F227" s="70"/>
      <c r="G227" s="253"/>
      <c r="H227" s="254" t="str">
        <f t="shared" si="64"/>
        <v/>
      </c>
      <c r="I227" s="255" t="str">
        <f t="shared" si="65"/>
        <v/>
      </c>
      <c r="J227" s="256"/>
      <c r="K227" s="257"/>
      <c r="L227" s="258" t="str">
        <f t="shared" si="50"/>
        <v/>
      </c>
      <c r="M227" s="259" t="str">
        <f t="shared" si="51"/>
        <v/>
      </c>
      <c r="N227" s="260" t="str">
        <f t="shared" si="63"/>
        <v/>
      </c>
      <c r="O227" s="261" t="str">
        <f t="shared" si="52"/>
        <v/>
      </c>
      <c r="P227" s="262" t="str">
        <f t="shared" si="53"/>
        <v/>
      </c>
      <c r="Q227" s="263" t="str">
        <f t="shared" si="62"/>
        <v/>
      </c>
      <c r="R227" s="263" t="str">
        <f t="shared" si="62"/>
        <v/>
      </c>
      <c r="S227" s="263" t="str">
        <f t="shared" si="62"/>
        <v/>
      </c>
      <c r="T227" s="263" t="str">
        <f t="shared" si="62"/>
        <v/>
      </c>
      <c r="U227" s="263" t="str">
        <f t="shared" si="62"/>
        <v/>
      </c>
      <c r="V227" s="263" t="str">
        <f t="shared" si="62"/>
        <v/>
      </c>
      <c r="W227" s="263" t="str">
        <f t="shared" si="54"/>
        <v/>
      </c>
      <c r="X227" s="30"/>
      <c r="Y227" s="264"/>
      <c r="Z227" s="30"/>
      <c r="AA227" s="61"/>
      <c r="AB227" s="62"/>
      <c r="AC227" s="263" t="str">
        <f t="shared" si="55"/>
        <v/>
      </c>
      <c r="AD227" s="263" t="str">
        <f t="shared" si="56"/>
        <v/>
      </c>
      <c r="AE227" s="263" t="str">
        <f t="shared" si="57"/>
        <v/>
      </c>
      <c r="AF227" s="263" t="str">
        <f t="shared" si="58"/>
        <v/>
      </c>
      <c r="AG227" s="263" t="str">
        <f t="shared" si="59"/>
        <v/>
      </c>
      <c r="AH227" s="263" t="str">
        <f t="shared" si="60"/>
        <v/>
      </c>
      <c r="AI227" s="263" t="str">
        <f t="shared" si="61"/>
        <v/>
      </c>
    </row>
    <row r="228" spans="1:35">
      <c r="A228" s="164">
        <v>211</v>
      </c>
      <c r="B228" s="60" t="str">
        <f>IF('Add Change'!D233="","",+'Add Change'!D233)</f>
        <v/>
      </c>
      <c r="C228" s="31" t="str">
        <f>IF('Add Change'!I233="","",+'Add Change'!I233)</f>
        <v/>
      </c>
      <c r="D228" s="253" t="str">
        <f>IF('Add Change'!W233="","",'Add Change'!W233)</f>
        <v/>
      </c>
      <c r="E228" s="31"/>
      <c r="F228" s="70"/>
      <c r="G228" s="253"/>
      <c r="H228" s="254" t="str">
        <f t="shared" si="64"/>
        <v/>
      </c>
      <c r="I228" s="255" t="str">
        <f t="shared" si="65"/>
        <v/>
      </c>
      <c r="J228" s="256"/>
      <c r="K228" s="257"/>
      <c r="L228" s="258" t="str">
        <f t="shared" si="50"/>
        <v/>
      </c>
      <c r="M228" s="259" t="str">
        <f t="shared" si="51"/>
        <v/>
      </c>
      <c r="N228" s="260" t="str">
        <f t="shared" si="63"/>
        <v/>
      </c>
      <c r="O228" s="261" t="str">
        <f t="shared" si="52"/>
        <v/>
      </c>
      <c r="P228" s="262" t="str">
        <f t="shared" si="53"/>
        <v/>
      </c>
      <c r="Q228" s="263" t="str">
        <f t="shared" si="62"/>
        <v/>
      </c>
      <c r="R228" s="263" t="str">
        <f t="shared" si="62"/>
        <v/>
      </c>
      <c r="S228" s="263" t="str">
        <f t="shared" si="62"/>
        <v/>
      </c>
      <c r="T228" s="263" t="str">
        <f t="shared" si="62"/>
        <v/>
      </c>
      <c r="U228" s="263" t="str">
        <f t="shared" si="62"/>
        <v/>
      </c>
      <c r="V228" s="263" t="str">
        <f t="shared" si="62"/>
        <v/>
      </c>
      <c r="W228" s="263" t="str">
        <f t="shared" si="54"/>
        <v/>
      </c>
      <c r="X228" s="30"/>
      <c r="Y228" s="264"/>
      <c r="Z228" s="30"/>
      <c r="AA228" s="61"/>
      <c r="AB228" s="62"/>
      <c r="AC228" s="263" t="str">
        <f t="shared" si="55"/>
        <v/>
      </c>
      <c r="AD228" s="263" t="str">
        <f t="shared" si="56"/>
        <v/>
      </c>
      <c r="AE228" s="263" t="str">
        <f t="shared" si="57"/>
        <v/>
      </c>
      <c r="AF228" s="263" t="str">
        <f t="shared" si="58"/>
        <v/>
      </c>
      <c r="AG228" s="263" t="str">
        <f t="shared" si="59"/>
        <v/>
      </c>
      <c r="AH228" s="263" t="str">
        <f t="shared" si="60"/>
        <v/>
      </c>
      <c r="AI228" s="263" t="str">
        <f t="shared" si="61"/>
        <v/>
      </c>
    </row>
    <row r="229" spans="1:35">
      <c r="A229" s="164">
        <v>212</v>
      </c>
      <c r="B229" s="60" t="str">
        <f>IF('Add Change'!D234="","",+'Add Change'!D234)</f>
        <v/>
      </c>
      <c r="C229" s="31" t="str">
        <f>IF('Add Change'!I234="","",+'Add Change'!I234)</f>
        <v/>
      </c>
      <c r="D229" s="253" t="str">
        <f>IF('Add Change'!W234="","",'Add Change'!W234)</f>
        <v/>
      </c>
      <c r="E229" s="31"/>
      <c r="F229" s="70"/>
      <c r="G229" s="253"/>
      <c r="H229" s="254" t="str">
        <f t="shared" si="64"/>
        <v/>
      </c>
      <c r="I229" s="255" t="str">
        <f t="shared" si="65"/>
        <v/>
      </c>
      <c r="J229" s="256"/>
      <c r="K229" s="257"/>
      <c r="L229" s="258" t="str">
        <f t="shared" si="50"/>
        <v/>
      </c>
      <c r="M229" s="259" t="str">
        <f t="shared" si="51"/>
        <v/>
      </c>
      <c r="N229" s="260" t="str">
        <f t="shared" si="63"/>
        <v/>
      </c>
      <c r="O229" s="261" t="str">
        <f t="shared" si="52"/>
        <v/>
      </c>
      <c r="P229" s="262" t="str">
        <f t="shared" si="53"/>
        <v/>
      </c>
      <c r="Q229" s="263" t="str">
        <f t="shared" si="62"/>
        <v/>
      </c>
      <c r="R229" s="263" t="str">
        <f t="shared" si="62"/>
        <v/>
      </c>
      <c r="S229" s="263" t="str">
        <f t="shared" si="62"/>
        <v/>
      </c>
      <c r="T229" s="263" t="str">
        <f t="shared" si="62"/>
        <v/>
      </c>
      <c r="U229" s="263" t="str">
        <f t="shared" si="62"/>
        <v/>
      </c>
      <c r="V229" s="263" t="str">
        <f t="shared" si="62"/>
        <v/>
      </c>
      <c r="W229" s="263" t="str">
        <f t="shared" si="54"/>
        <v/>
      </c>
      <c r="X229" s="30"/>
      <c r="Y229" s="264"/>
      <c r="Z229" s="30"/>
      <c r="AA229" s="61"/>
      <c r="AB229" s="62"/>
      <c r="AC229" s="263" t="str">
        <f t="shared" si="55"/>
        <v/>
      </c>
      <c r="AD229" s="263" t="str">
        <f t="shared" si="56"/>
        <v/>
      </c>
      <c r="AE229" s="263" t="str">
        <f t="shared" si="57"/>
        <v/>
      </c>
      <c r="AF229" s="263" t="str">
        <f t="shared" si="58"/>
        <v/>
      </c>
      <c r="AG229" s="263" t="str">
        <f t="shared" si="59"/>
        <v/>
      </c>
      <c r="AH229" s="263" t="str">
        <f t="shared" si="60"/>
        <v/>
      </c>
      <c r="AI229" s="263" t="str">
        <f t="shared" si="61"/>
        <v/>
      </c>
    </row>
    <row r="230" spans="1:35">
      <c r="A230" s="164">
        <v>213</v>
      </c>
      <c r="B230" s="60" t="str">
        <f>IF('Add Change'!D235="","",+'Add Change'!D235)</f>
        <v/>
      </c>
      <c r="C230" s="31" t="str">
        <f>IF('Add Change'!I235="","",+'Add Change'!I235)</f>
        <v/>
      </c>
      <c r="D230" s="253" t="str">
        <f>IF('Add Change'!W235="","",'Add Change'!W235)</f>
        <v/>
      </c>
      <c r="E230" s="31"/>
      <c r="F230" s="70"/>
      <c r="G230" s="253"/>
      <c r="H230" s="254" t="str">
        <f t="shared" si="64"/>
        <v/>
      </c>
      <c r="I230" s="255" t="str">
        <f t="shared" si="65"/>
        <v/>
      </c>
      <c r="J230" s="256"/>
      <c r="K230" s="257"/>
      <c r="L230" s="258" t="str">
        <f t="shared" si="50"/>
        <v/>
      </c>
      <c r="M230" s="259" t="str">
        <f t="shared" si="51"/>
        <v/>
      </c>
      <c r="N230" s="260" t="str">
        <f t="shared" si="63"/>
        <v/>
      </c>
      <c r="O230" s="261" t="str">
        <f t="shared" si="52"/>
        <v/>
      </c>
      <c r="P230" s="262" t="str">
        <f t="shared" si="53"/>
        <v/>
      </c>
      <c r="Q230" s="263" t="str">
        <f t="shared" si="62"/>
        <v/>
      </c>
      <c r="R230" s="263" t="str">
        <f t="shared" si="62"/>
        <v/>
      </c>
      <c r="S230" s="263" t="str">
        <f t="shared" si="62"/>
        <v/>
      </c>
      <c r="T230" s="263" t="str">
        <f t="shared" si="62"/>
        <v/>
      </c>
      <c r="U230" s="263" t="str">
        <f t="shared" si="62"/>
        <v/>
      </c>
      <c r="V230" s="263" t="str">
        <f t="shared" si="62"/>
        <v/>
      </c>
      <c r="W230" s="263" t="str">
        <f t="shared" si="54"/>
        <v/>
      </c>
      <c r="X230" s="30"/>
      <c r="Y230" s="264"/>
      <c r="Z230" s="30"/>
      <c r="AA230" s="61"/>
      <c r="AB230" s="62"/>
      <c r="AC230" s="263" t="str">
        <f t="shared" si="55"/>
        <v/>
      </c>
      <c r="AD230" s="263" t="str">
        <f t="shared" si="56"/>
        <v/>
      </c>
      <c r="AE230" s="263" t="str">
        <f t="shared" si="57"/>
        <v/>
      </c>
      <c r="AF230" s="263" t="str">
        <f t="shared" si="58"/>
        <v/>
      </c>
      <c r="AG230" s="263" t="str">
        <f t="shared" si="59"/>
        <v/>
      </c>
      <c r="AH230" s="263" t="str">
        <f t="shared" si="60"/>
        <v/>
      </c>
      <c r="AI230" s="263" t="str">
        <f t="shared" si="61"/>
        <v/>
      </c>
    </row>
    <row r="231" spans="1:35">
      <c r="A231" s="164">
        <v>214</v>
      </c>
      <c r="B231" s="60" t="str">
        <f>IF('Add Change'!D236="","",+'Add Change'!D236)</f>
        <v/>
      </c>
      <c r="C231" s="31" t="str">
        <f>IF('Add Change'!I236="","",+'Add Change'!I236)</f>
        <v/>
      </c>
      <c r="D231" s="253" t="str">
        <f>IF('Add Change'!W236="","",'Add Change'!W236)</f>
        <v/>
      </c>
      <c r="E231" s="31"/>
      <c r="F231" s="70"/>
      <c r="G231" s="253"/>
      <c r="H231" s="254" t="str">
        <f t="shared" si="64"/>
        <v/>
      </c>
      <c r="I231" s="255" t="str">
        <f t="shared" si="65"/>
        <v/>
      </c>
      <c r="J231" s="256"/>
      <c r="K231" s="257"/>
      <c r="L231" s="258" t="str">
        <f t="shared" si="50"/>
        <v/>
      </c>
      <c r="M231" s="259" t="str">
        <f t="shared" si="51"/>
        <v/>
      </c>
      <c r="N231" s="260" t="str">
        <f t="shared" si="63"/>
        <v/>
      </c>
      <c r="O231" s="261" t="str">
        <f t="shared" si="52"/>
        <v/>
      </c>
      <c r="P231" s="262" t="str">
        <f t="shared" si="53"/>
        <v/>
      </c>
      <c r="Q231" s="263" t="str">
        <f t="shared" si="62"/>
        <v/>
      </c>
      <c r="R231" s="263" t="str">
        <f t="shared" si="62"/>
        <v/>
      </c>
      <c r="S231" s="263" t="str">
        <f t="shared" si="62"/>
        <v/>
      </c>
      <c r="T231" s="263" t="str">
        <f t="shared" si="62"/>
        <v/>
      </c>
      <c r="U231" s="263" t="str">
        <f t="shared" si="62"/>
        <v/>
      </c>
      <c r="V231" s="263" t="str">
        <f t="shared" si="62"/>
        <v/>
      </c>
      <c r="W231" s="263" t="str">
        <f t="shared" si="54"/>
        <v/>
      </c>
      <c r="X231" s="30"/>
      <c r="Y231" s="264"/>
      <c r="Z231" s="30"/>
      <c r="AA231" s="61"/>
      <c r="AB231" s="62"/>
      <c r="AC231" s="263" t="str">
        <f t="shared" si="55"/>
        <v/>
      </c>
      <c r="AD231" s="263" t="str">
        <f t="shared" si="56"/>
        <v/>
      </c>
      <c r="AE231" s="263" t="str">
        <f t="shared" si="57"/>
        <v/>
      </c>
      <c r="AF231" s="263" t="str">
        <f t="shared" si="58"/>
        <v/>
      </c>
      <c r="AG231" s="263" t="str">
        <f t="shared" si="59"/>
        <v/>
      </c>
      <c r="AH231" s="263" t="str">
        <f t="shared" si="60"/>
        <v/>
      </c>
      <c r="AI231" s="263" t="str">
        <f t="shared" si="61"/>
        <v/>
      </c>
    </row>
    <row r="232" spans="1:35">
      <c r="A232" s="164">
        <v>215</v>
      </c>
      <c r="B232" s="60" t="str">
        <f>IF('Add Change'!D237="","",+'Add Change'!D237)</f>
        <v/>
      </c>
      <c r="C232" s="31" t="str">
        <f>IF('Add Change'!I237="","",+'Add Change'!I237)</f>
        <v/>
      </c>
      <c r="D232" s="253" t="str">
        <f>IF('Add Change'!W237="","",'Add Change'!W237)</f>
        <v/>
      </c>
      <c r="E232" s="31"/>
      <c r="F232" s="70"/>
      <c r="G232" s="253"/>
      <c r="H232" s="254" t="str">
        <f t="shared" si="64"/>
        <v/>
      </c>
      <c r="I232" s="255" t="str">
        <f t="shared" si="65"/>
        <v/>
      </c>
      <c r="J232" s="256"/>
      <c r="K232" s="257"/>
      <c r="L232" s="258" t="str">
        <f t="shared" si="50"/>
        <v/>
      </c>
      <c r="M232" s="259" t="str">
        <f t="shared" si="51"/>
        <v/>
      </c>
      <c r="N232" s="260" t="str">
        <f t="shared" si="63"/>
        <v/>
      </c>
      <c r="O232" s="261" t="str">
        <f t="shared" si="52"/>
        <v/>
      </c>
      <c r="P232" s="262" t="str">
        <f t="shared" si="53"/>
        <v/>
      </c>
      <c r="Q232" s="263" t="str">
        <f t="shared" si="62"/>
        <v/>
      </c>
      <c r="R232" s="263" t="str">
        <f t="shared" si="62"/>
        <v/>
      </c>
      <c r="S232" s="263" t="str">
        <f t="shared" si="62"/>
        <v/>
      </c>
      <c r="T232" s="263" t="str">
        <f t="shared" si="62"/>
        <v/>
      </c>
      <c r="U232" s="263" t="str">
        <f t="shared" si="62"/>
        <v/>
      </c>
      <c r="V232" s="263" t="str">
        <f t="shared" si="62"/>
        <v/>
      </c>
      <c r="W232" s="263" t="str">
        <f t="shared" si="54"/>
        <v/>
      </c>
      <c r="X232" s="30"/>
      <c r="Y232" s="264"/>
      <c r="Z232" s="30"/>
      <c r="AA232" s="61"/>
      <c r="AB232" s="62"/>
      <c r="AC232" s="263" t="str">
        <f t="shared" si="55"/>
        <v/>
      </c>
      <c r="AD232" s="263" t="str">
        <f t="shared" si="56"/>
        <v/>
      </c>
      <c r="AE232" s="263" t="str">
        <f t="shared" si="57"/>
        <v/>
      </c>
      <c r="AF232" s="263" t="str">
        <f t="shared" si="58"/>
        <v/>
      </c>
      <c r="AG232" s="263" t="str">
        <f t="shared" si="59"/>
        <v/>
      </c>
      <c r="AH232" s="263" t="str">
        <f t="shared" si="60"/>
        <v/>
      </c>
      <c r="AI232" s="263" t="str">
        <f t="shared" si="61"/>
        <v/>
      </c>
    </row>
    <row r="233" spans="1:35">
      <c r="A233" s="164">
        <v>216</v>
      </c>
      <c r="B233" s="60" t="str">
        <f>IF('Add Change'!D238="","",+'Add Change'!D238)</f>
        <v/>
      </c>
      <c r="C233" s="31" t="str">
        <f>IF('Add Change'!I238="","",+'Add Change'!I238)</f>
        <v/>
      </c>
      <c r="D233" s="253" t="str">
        <f>IF('Add Change'!W238="","",'Add Change'!W238)</f>
        <v/>
      </c>
      <c r="E233" s="31"/>
      <c r="F233" s="70"/>
      <c r="G233" s="253"/>
      <c r="H233" s="254" t="str">
        <f t="shared" si="64"/>
        <v/>
      </c>
      <c r="I233" s="255" t="str">
        <f t="shared" si="65"/>
        <v/>
      </c>
      <c r="J233" s="256"/>
      <c r="K233" s="257"/>
      <c r="L233" s="258" t="str">
        <f t="shared" si="50"/>
        <v/>
      </c>
      <c r="M233" s="259" t="str">
        <f t="shared" si="51"/>
        <v/>
      </c>
      <c r="N233" s="260" t="str">
        <f t="shared" si="63"/>
        <v/>
      </c>
      <c r="O233" s="261" t="str">
        <f t="shared" si="52"/>
        <v/>
      </c>
      <c r="P233" s="262" t="str">
        <f t="shared" si="53"/>
        <v/>
      </c>
      <c r="Q233" s="263" t="str">
        <f t="shared" si="62"/>
        <v/>
      </c>
      <c r="R233" s="263" t="str">
        <f t="shared" si="62"/>
        <v/>
      </c>
      <c r="S233" s="263" t="str">
        <f t="shared" si="62"/>
        <v/>
      </c>
      <c r="T233" s="263" t="str">
        <f t="shared" si="62"/>
        <v/>
      </c>
      <c r="U233" s="263" t="str">
        <f t="shared" si="62"/>
        <v/>
      </c>
      <c r="V233" s="263" t="str">
        <f t="shared" si="62"/>
        <v/>
      </c>
      <c r="W233" s="263" t="str">
        <f t="shared" si="54"/>
        <v/>
      </c>
      <c r="X233" s="30"/>
      <c r="Y233" s="264"/>
      <c r="Z233" s="30"/>
      <c r="AA233" s="61"/>
      <c r="AB233" s="62"/>
      <c r="AC233" s="263" t="str">
        <f t="shared" si="55"/>
        <v/>
      </c>
      <c r="AD233" s="263" t="str">
        <f t="shared" si="56"/>
        <v/>
      </c>
      <c r="AE233" s="263" t="str">
        <f t="shared" si="57"/>
        <v/>
      </c>
      <c r="AF233" s="263" t="str">
        <f t="shared" si="58"/>
        <v/>
      </c>
      <c r="AG233" s="263" t="str">
        <f t="shared" si="59"/>
        <v/>
      </c>
      <c r="AH233" s="263" t="str">
        <f t="shared" si="60"/>
        <v/>
      </c>
      <c r="AI233" s="263" t="str">
        <f t="shared" si="61"/>
        <v/>
      </c>
    </row>
    <row r="234" spans="1:35">
      <c r="A234" s="164">
        <v>217</v>
      </c>
      <c r="B234" s="60" t="str">
        <f>IF('Add Change'!D239="","",+'Add Change'!D239)</f>
        <v/>
      </c>
      <c r="C234" s="31" t="str">
        <f>IF('Add Change'!I239="","",+'Add Change'!I239)</f>
        <v/>
      </c>
      <c r="D234" s="253" t="str">
        <f>IF('Add Change'!W239="","",'Add Change'!W239)</f>
        <v/>
      </c>
      <c r="E234" s="31"/>
      <c r="F234" s="70"/>
      <c r="G234" s="253"/>
      <c r="H234" s="254" t="str">
        <f t="shared" si="64"/>
        <v/>
      </c>
      <c r="I234" s="255" t="str">
        <f t="shared" si="65"/>
        <v/>
      </c>
      <c r="J234" s="256"/>
      <c r="K234" s="257"/>
      <c r="L234" s="258" t="str">
        <f t="shared" si="50"/>
        <v/>
      </c>
      <c r="M234" s="259" t="str">
        <f t="shared" si="51"/>
        <v/>
      </c>
      <c r="N234" s="260" t="str">
        <f t="shared" si="63"/>
        <v/>
      </c>
      <c r="O234" s="261" t="str">
        <f t="shared" si="52"/>
        <v/>
      </c>
      <c r="P234" s="262" t="str">
        <f t="shared" si="53"/>
        <v/>
      </c>
      <c r="Q234" s="263" t="str">
        <f t="shared" si="62"/>
        <v/>
      </c>
      <c r="R234" s="263" t="str">
        <f t="shared" si="62"/>
        <v/>
      </c>
      <c r="S234" s="263" t="str">
        <f t="shared" si="62"/>
        <v/>
      </c>
      <c r="T234" s="263" t="str">
        <f t="shared" si="62"/>
        <v/>
      </c>
      <c r="U234" s="263" t="str">
        <f t="shared" si="62"/>
        <v/>
      </c>
      <c r="V234" s="263" t="str">
        <f t="shared" si="62"/>
        <v/>
      </c>
      <c r="W234" s="263" t="str">
        <f t="shared" si="54"/>
        <v/>
      </c>
      <c r="X234" s="30"/>
      <c r="Y234" s="264"/>
      <c r="Z234" s="30"/>
      <c r="AA234" s="61"/>
      <c r="AB234" s="62"/>
      <c r="AC234" s="263" t="str">
        <f t="shared" si="55"/>
        <v/>
      </c>
      <c r="AD234" s="263" t="str">
        <f t="shared" si="56"/>
        <v/>
      </c>
      <c r="AE234" s="263" t="str">
        <f t="shared" si="57"/>
        <v/>
      </c>
      <c r="AF234" s="263" t="str">
        <f t="shared" si="58"/>
        <v/>
      </c>
      <c r="AG234" s="263" t="str">
        <f t="shared" si="59"/>
        <v/>
      </c>
      <c r="AH234" s="263" t="str">
        <f t="shared" si="60"/>
        <v/>
      </c>
      <c r="AI234" s="263" t="str">
        <f t="shared" si="61"/>
        <v/>
      </c>
    </row>
    <row r="235" spans="1:35">
      <c r="A235" s="164">
        <v>218</v>
      </c>
      <c r="B235" s="60" t="str">
        <f>IF('Add Change'!D240="","",+'Add Change'!D240)</f>
        <v/>
      </c>
      <c r="C235" s="31" t="str">
        <f>IF('Add Change'!I240="","",+'Add Change'!I240)</f>
        <v/>
      </c>
      <c r="D235" s="253" t="str">
        <f>IF('Add Change'!W240="","",'Add Change'!W240)</f>
        <v/>
      </c>
      <c r="E235" s="31"/>
      <c r="F235" s="70"/>
      <c r="G235" s="253"/>
      <c r="H235" s="254" t="str">
        <f t="shared" si="64"/>
        <v/>
      </c>
      <c r="I235" s="255" t="str">
        <f t="shared" si="65"/>
        <v/>
      </c>
      <c r="J235" s="256"/>
      <c r="K235" s="257"/>
      <c r="L235" s="258" t="str">
        <f t="shared" si="50"/>
        <v/>
      </c>
      <c r="M235" s="259" t="str">
        <f t="shared" si="51"/>
        <v/>
      </c>
      <c r="N235" s="260" t="str">
        <f t="shared" si="63"/>
        <v/>
      </c>
      <c r="O235" s="261" t="str">
        <f t="shared" si="52"/>
        <v/>
      </c>
      <c r="P235" s="262" t="str">
        <f t="shared" si="53"/>
        <v/>
      </c>
      <c r="Q235" s="263" t="str">
        <f t="shared" si="62"/>
        <v/>
      </c>
      <c r="R235" s="263" t="str">
        <f t="shared" si="62"/>
        <v/>
      </c>
      <c r="S235" s="263" t="str">
        <f t="shared" si="62"/>
        <v/>
      </c>
      <c r="T235" s="263" t="str">
        <f t="shared" si="62"/>
        <v/>
      </c>
      <c r="U235" s="263" t="str">
        <f t="shared" si="62"/>
        <v/>
      </c>
      <c r="V235" s="263" t="str">
        <f t="shared" si="62"/>
        <v/>
      </c>
      <c r="W235" s="263" t="str">
        <f t="shared" si="54"/>
        <v/>
      </c>
      <c r="X235" s="30"/>
      <c r="Y235" s="264"/>
      <c r="Z235" s="30"/>
      <c r="AA235" s="61"/>
      <c r="AB235" s="62"/>
      <c r="AC235" s="263" t="str">
        <f t="shared" si="55"/>
        <v/>
      </c>
      <c r="AD235" s="263" t="str">
        <f t="shared" si="56"/>
        <v/>
      </c>
      <c r="AE235" s="263" t="str">
        <f t="shared" si="57"/>
        <v/>
      </c>
      <c r="AF235" s="263" t="str">
        <f t="shared" si="58"/>
        <v/>
      </c>
      <c r="AG235" s="263" t="str">
        <f t="shared" si="59"/>
        <v/>
      </c>
      <c r="AH235" s="263" t="str">
        <f t="shared" si="60"/>
        <v/>
      </c>
      <c r="AI235" s="263" t="str">
        <f t="shared" si="61"/>
        <v/>
      </c>
    </row>
    <row r="236" spans="1:35">
      <c r="A236" s="164">
        <v>219</v>
      </c>
      <c r="B236" s="60" t="str">
        <f>IF('Add Change'!D241="","",+'Add Change'!D241)</f>
        <v/>
      </c>
      <c r="C236" s="31" t="str">
        <f>IF('Add Change'!I241="","",+'Add Change'!I241)</f>
        <v/>
      </c>
      <c r="D236" s="253" t="str">
        <f>IF('Add Change'!W241="","",'Add Change'!W241)</f>
        <v/>
      </c>
      <c r="E236" s="31"/>
      <c r="F236" s="70"/>
      <c r="G236" s="253"/>
      <c r="H236" s="254" t="str">
        <f t="shared" si="64"/>
        <v/>
      </c>
      <c r="I236" s="255" t="str">
        <f t="shared" si="65"/>
        <v/>
      </c>
      <c r="J236" s="256"/>
      <c r="K236" s="257"/>
      <c r="L236" s="258" t="str">
        <f t="shared" si="50"/>
        <v/>
      </c>
      <c r="M236" s="259" t="str">
        <f t="shared" si="51"/>
        <v/>
      </c>
      <c r="N236" s="260" t="str">
        <f t="shared" si="63"/>
        <v/>
      </c>
      <c r="O236" s="261" t="str">
        <f t="shared" si="52"/>
        <v/>
      </c>
      <c r="P236" s="262" t="str">
        <f t="shared" si="53"/>
        <v/>
      </c>
      <c r="Q236" s="263" t="str">
        <f t="shared" si="62"/>
        <v/>
      </c>
      <c r="R236" s="263" t="str">
        <f t="shared" si="62"/>
        <v/>
      </c>
      <c r="S236" s="263" t="str">
        <f t="shared" si="62"/>
        <v/>
      </c>
      <c r="T236" s="263" t="str">
        <f t="shared" si="62"/>
        <v/>
      </c>
      <c r="U236" s="263" t="str">
        <f t="shared" si="62"/>
        <v/>
      </c>
      <c r="V236" s="263" t="str">
        <f t="shared" si="62"/>
        <v/>
      </c>
      <c r="W236" s="263" t="str">
        <f t="shared" si="54"/>
        <v/>
      </c>
      <c r="X236" s="30"/>
      <c r="Y236" s="264"/>
      <c r="Z236" s="30"/>
      <c r="AA236" s="61"/>
      <c r="AB236" s="62"/>
      <c r="AC236" s="263" t="str">
        <f t="shared" si="55"/>
        <v/>
      </c>
      <c r="AD236" s="263" t="str">
        <f t="shared" si="56"/>
        <v/>
      </c>
      <c r="AE236" s="263" t="str">
        <f t="shared" si="57"/>
        <v/>
      </c>
      <c r="AF236" s="263" t="str">
        <f t="shared" si="58"/>
        <v/>
      </c>
      <c r="AG236" s="263" t="str">
        <f t="shared" si="59"/>
        <v/>
      </c>
      <c r="AH236" s="263" t="str">
        <f t="shared" si="60"/>
        <v/>
      </c>
      <c r="AI236" s="263" t="str">
        <f t="shared" si="61"/>
        <v/>
      </c>
    </row>
    <row r="237" spans="1:35">
      <c r="A237" s="164">
        <v>220</v>
      </c>
      <c r="B237" s="60" t="str">
        <f>IF('Add Change'!D242="","",+'Add Change'!D242)</f>
        <v/>
      </c>
      <c r="C237" s="31" t="str">
        <f>IF('Add Change'!I242="","",+'Add Change'!I242)</f>
        <v/>
      </c>
      <c r="D237" s="253" t="str">
        <f>IF('Add Change'!W242="","",'Add Change'!W242)</f>
        <v/>
      </c>
      <c r="E237" s="31"/>
      <c r="F237" s="70"/>
      <c r="G237" s="253"/>
      <c r="H237" s="254" t="str">
        <f t="shared" si="64"/>
        <v/>
      </c>
      <c r="I237" s="255" t="str">
        <f t="shared" si="65"/>
        <v/>
      </c>
      <c r="J237" s="256"/>
      <c r="K237" s="257"/>
      <c r="L237" s="258" t="str">
        <f t="shared" si="50"/>
        <v/>
      </c>
      <c r="M237" s="259" t="str">
        <f t="shared" si="51"/>
        <v/>
      </c>
      <c r="N237" s="260" t="str">
        <f t="shared" si="63"/>
        <v/>
      </c>
      <c r="O237" s="261" t="str">
        <f t="shared" si="52"/>
        <v/>
      </c>
      <c r="P237" s="262" t="str">
        <f t="shared" si="53"/>
        <v/>
      </c>
      <c r="Q237" s="263" t="str">
        <f t="shared" si="62"/>
        <v/>
      </c>
      <c r="R237" s="263" t="str">
        <f t="shared" si="62"/>
        <v/>
      </c>
      <c r="S237" s="263" t="str">
        <f t="shared" si="62"/>
        <v/>
      </c>
      <c r="T237" s="263" t="str">
        <f t="shared" si="62"/>
        <v/>
      </c>
      <c r="U237" s="263" t="str">
        <f t="shared" si="62"/>
        <v/>
      </c>
      <c r="V237" s="263" t="str">
        <f t="shared" si="62"/>
        <v/>
      </c>
      <c r="W237" s="263" t="str">
        <f t="shared" si="54"/>
        <v/>
      </c>
      <c r="X237" s="30"/>
      <c r="Y237" s="264"/>
      <c r="Z237" s="30"/>
      <c r="AA237" s="61"/>
      <c r="AB237" s="62"/>
      <c r="AC237" s="263" t="str">
        <f t="shared" si="55"/>
        <v/>
      </c>
      <c r="AD237" s="263" t="str">
        <f t="shared" si="56"/>
        <v/>
      </c>
      <c r="AE237" s="263" t="str">
        <f t="shared" si="57"/>
        <v/>
      </c>
      <c r="AF237" s="263" t="str">
        <f t="shared" si="58"/>
        <v/>
      </c>
      <c r="AG237" s="263" t="str">
        <f t="shared" si="59"/>
        <v/>
      </c>
      <c r="AH237" s="263" t="str">
        <f t="shared" si="60"/>
        <v/>
      </c>
      <c r="AI237" s="263" t="str">
        <f t="shared" si="61"/>
        <v/>
      </c>
    </row>
    <row r="238" spans="1:35">
      <c r="A238" s="164">
        <v>221</v>
      </c>
      <c r="B238" s="60" t="str">
        <f>IF('Add Change'!D243="","",+'Add Change'!D243)</f>
        <v/>
      </c>
      <c r="C238" s="31" t="str">
        <f>IF('Add Change'!I243="","",+'Add Change'!I243)</f>
        <v/>
      </c>
      <c r="D238" s="253" t="str">
        <f>IF('Add Change'!W243="","",'Add Change'!W243)</f>
        <v/>
      </c>
      <c r="E238" s="31"/>
      <c r="F238" s="70"/>
      <c r="G238" s="253"/>
      <c r="H238" s="254" t="str">
        <f t="shared" si="64"/>
        <v/>
      </c>
      <c r="I238" s="255" t="str">
        <f t="shared" si="65"/>
        <v/>
      </c>
      <c r="J238" s="256"/>
      <c r="K238" s="257"/>
      <c r="L238" s="258" t="str">
        <f t="shared" si="50"/>
        <v/>
      </c>
      <c r="M238" s="259" t="str">
        <f t="shared" si="51"/>
        <v/>
      </c>
      <c r="N238" s="260" t="str">
        <f t="shared" si="63"/>
        <v/>
      </c>
      <c r="O238" s="261" t="str">
        <f t="shared" si="52"/>
        <v/>
      </c>
      <c r="P238" s="262" t="str">
        <f t="shared" si="53"/>
        <v/>
      </c>
      <c r="Q238" s="263" t="str">
        <f t="shared" si="62"/>
        <v/>
      </c>
      <c r="R238" s="263" t="str">
        <f t="shared" si="62"/>
        <v/>
      </c>
      <c r="S238" s="263" t="str">
        <f t="shared" si="62"/>
        <v/>
      </c>
      <c r="T238" s="263" t="str">
        <f t="shared" si="62"/>
        <v/>
      </c>
      <c r="U238" s="263" t="str">
        <f t="shared" si="62"/>
        <v/>
      </c>
      <c r="V238" s="263" t="str">
        <f t="shared" si="62"/>
        <v/>
      </c>
      <c r="W238" s="263" t="str">
        <f t="shared" si="54"/>
        <v/>
      </c>
      <c r="X238" s="30"/>
      <c r="Y238" s="264"/>
      <c r="Z238" s="30"/>
      <c r="AA238" s="61"/>
      <c r="AB238" s="62"/>
      <c r="AC238" s="263" t="str">
        <f t="shared" si="55"/>
        <v/>
      </c>
      <c r="AD238" s="263" t="str">
        <f t="shared" si="56"/>
        <v/>
      </c>
      <c r="AE238" s="263" t="str">
        <f t="shared" si="57"/>
        <v/>
      </c>
      <c r="AF238" s="263" t="str">
        <f t="shared" si="58"/>
        <v/>
      </c>
      <c r="AG238" s="263" t="str">
        <f t="shared" si="59"/>
        <v/>
      </c>
      <c r="AH238" s="263" t="str">
        <f t="shared" si="60"/>
        <v/>
      </c>
      <c r="AI238" s="263" t="str">
        <f t="shared" si="61"/>
        <v/>
      </c>
    </row>
    <row r="239" spans="1:35">
      <c r="A239" s="164">
        <v>222</v>
      </c>
      <c r="B239" s="60" t="str">
        <f>IF('Add Change'!D244="","",+'Add Change'!D244)</f>
        <v/>
      </c>
      <c r="C239" s="31" t="str">
        <f>IF('Add Change'!I244="","",+'Add Change'!I244)</f>
        <v/>
      </c>
      <c r="D239" s="253" t="str">
        <f>IF('Add Change'!W244="","",'Add Change'!W244)</f>
        <v/>
      </c>
      <c r="E239" s="31"/>
      <c r="F239" s="70"/>
      <c r="G239" s="253"/>
      <c r="H239" s="254" t="str">
        <f t="shared" si="64"/>
        <v/>
      </c>
      <c r="I239" s="255" t="str">
        <f t="shared" si="65"/>
        <v/>
      </c>
      <c r="J239" s="256"/>
      <c r="K239" s="257"/>
      <c r="L239" s="258" t="str">
        <f t="shared" si="50"/>
        <v/>
      </c>
      <c r="M239" s="259" t="str">
        <f t="shared" si="51"/>
        <v/>
      </c>
      <c r="N239" s="260" t="str">
        <f t="shared" si="63"/>
        <v/>
      </c>
      <c r="O239" s="261" t="str">
        <f t="shared" si="52"/>
        <v/>
      </c>
      <c r="P239" s="262" t="str">
        <f t="shared" si="53"/>
        <v/>
      </c>
      <c r="Q239" s="263" t="str">
        <f t="shared" si="62"/>
        <v/>
      </c>
      <c r="R239" s="263" t="str">
        <f t="shared" si="62"/>
        <v/>
      </c>
      <c r="S239" s="263" t="str">
        <f t="shared" si="62"/>
        <v/>
      </c>
      <c r="T239" s="263" t="str">
        <f t="shared" si="62"/>
        <v/>
      </c>
      <c r="U239" s="263" t="str">
        <f t="shared" si="62"/>
        <v/>
      </c>
      <c r="V239" s="263" t="str">
        <f t="shared" si="62"/>
        <v/>
      </c>
      <c r="W239" s="263" t="str">
        <f t="shared" si="54"/>
        <v/>
      </c>
      <c r="X239" s="30"/>
      <c r="Y239" s="264"/>
      <c r="Z239" s="30"/>
      <c r="AA239" s="61"/>
      <c r="AB239" s="62"/>
      <c r="AC239" s="263" t="str">
        <f t="shared" si="55"/>
        <v/>
      </c>
      <c r="AD239" s="263" t="str">
        <f t="shared" si="56"/>
        <v/>
      </c>
      <c r="AE239" s="263" t="str">
        <f t="shared" si="57"/>
        <v/>
      </c>
      <c r="AF239" s="263" t="str">
        <f t="shared" si="58"/>
        <v/>
      </c>
      <c r="AG239" s="263" t="str">
        <f t="shared" si="59"/>
        <v/>
      </c>
      <c r="AH239" s="263" t="str">
        <f t="shared" si="60"/>
        <v/>
      </c>
      <c r="AI239" s="263" t="str">
        <f t="shared" si="61"/>
        <v/>
      </c>
    </row>
    <row r="240" spans="1:35">
      <c r="A240" s="164">
        <v>223</v>
      </c>
      <c r="B240" s="60" t="str">
        <f>IF('Add Change'!D245="","",+'Add Change'!D245)</f>
        <v/>
      </c>
      <c r="C240" s="31" t="str">
        <f>IF('Add Change'!I245="","",+'Add Change'!I245)</f>
        <v/>
      </c>
      <c r="D240" s="253" t="str">
        <f>IF('Add Change'!W245="","",'Add Change'!W245)</f>
        <v/>
      </c>
      <c r="E240" s="31"/>
      <c r="F240" s="70"/>
      <c r="G240" s="253"/>
      <c r="H240" s="254" t="str">
        <f t="shared" si="64"/>
        <v/>
      </c>
      <c r="I240" s="255" t="str">
        <f t="shared" si="65"/>
        <v/>
      </c>
      <c r="J240" s="256"/>
      <c r="K240" s="257"/>
      <c r="L240" s="258" t="str">
        <f t="shared" si="50"/>
        <v/>
      </c>
      <c r="M240" s="259" t="str">
        <f t="shared" si="51"/>
        <v/>
      </c>
      <c r="N240" s="260" t="str">
        <f t="shared" si="63"/>
        <v/>
      </c>
      <c r="O240" s="261" t="str">
        <f t="shared" si="52"/>
        <v/>
      </c>
      <c r="P240" s="262" t="str">
        <f t="shared" si="53"/>
        <v/>
      </c>
      <c r="Q240" s="263" t="str">
        <f t="shared" si="62"/>
        <v/>
      </c>
      <c r="R240" s="263" t="str">
        <f t="shared" si="62"/>
        <v/>
      </c>
      <c r="S240" s="263" t="str">
        <f t="shared" si="62"/>
        <v/>
      </c>
      <c r="T240" s="263" t="str">
        <f t="shared" si="62"/>
        <v/>
      </c>
      <c r="U240" s="263" t="str">
        <f t="shared" si="62"/>
        <v/>
      </c>
      <c r="V240" s="263" t="str">
        <f t="shared" si="62"/>
        <v/>
      </c>
      <c r="W240" s="263" t="str">
        <f t="shared" si="54"/>
        <v/>
      </c>
      <c r="X240" s="30"/>
      <c r="Y240" s="264"/>
      <c r="Z240" s="30"/>
      <c r="AA240" s="61"/>
      <c r="AB240" s="62"/>
      <c r="AC240" s="263" t="str">
        <f t="shared" si="55"/>
        <v/>
      </c>
      <c r="AD240" s="263" t="str">
        <f t="shared" si="56"/>
        <v/>
      </c>
      <c r="AE240" s="263" t="str">
        <f t="shared" si="57"/>
        <v/>
      </c>
      <c r="AF240" s="263" t="str">
        <f t="shared" si="58"/>
        <v/>
      </c>
      <c r="AG240" s="263" t="str">
        <f t="shared" si="59"/>
        <v/>
      </c>
      <c r="AH240" s="263" t="str">
        <f t="shared" si="60"/>
        <v/>
      </c>
      <c r="AI240" s="263" t="str">
        <f t="shared" si="61"/>
        <v/>
      </c>
    </row>
    <row r="241" spans="1:35">
      <c r="A241" s="164">
        <v>224</v>
      </c>
      <c r="B241" s="60" t="str">
        <f>IF('Add Change'!D246="","",+'Add Change'!D246)</f>
        <v/>
      </c>
      <c r="C241" s="31" t="str">
        <f>IF('Add Change'!I246="","",+'Add Change'!I246)</f>
        <v/>
      </c>
      <c r="D241" s="253" t="str">
        <f>IF('Add Change'!W246="","",'Add Change'!W246)</f>
        <v/>
      </c>
      <c r="E241" s="31"/>
      <c r="F241" s="70"/>
      <c r="G241" s="253"/>
      <c r="H241" s="254" t="str">
        <f t="shared" si="64"/>
        <v/>
      </c>
      <c r="I241" s="255" t="str">
        <f t="shared" si="65"/>
        <v/>
      </c>
      <c r="J241" s="256"/>
      <c r="K241" s="257"/>
      <c r="L241" s="258" t="str">
        <f t="shared" si="50"/>
        <v/>
      </c>
      <c r="M241" s="259" t="str">
        <f t="shared" si="51"/>
        <v/>
      </c>
      <c r="N241" s="260" t="str">
        <f t="shared" si="63"/>
        <v/>
      </c>
      <c r="O241" s="261" t="str">
        <f t="shared" si="52"/>
        <v/>
      </c>
      <c r="P241" s="262" t="str">
        <f t="shared" si="53"/>
        <v/>
      </c>
      <c r="Q241" s="263" t="str">
        <f t="shared" si="62"/>
        <v/>
      </c>
      <c r="R241" s="263" t="str">
        <f t="shared" si="62"/>
        <v/>
      </c>
      <c r="S241" s="263" t="str">
        <f t="shared" si="62"/>
        <v/>
      </c>
      <c r="T241" s="263" t="str">
        <f t="shared" si="62"/>
        <v/>
      </c>
      <c r="U241" s="263" t="str">
        <f t="shared" si="62"/>
        <v/>
      </c>
      <c r="V241" s="263" t="str">
        <f t="shared" si="62"/>
        <v/>
      </c>
      <c r="W241" s="263" t="str">
        <f t="shared" si="54"/>
        <v/>
      </c>
      <c r="X241" s="30"/>
      <c r="Y241" s="264"/>
      <c r="Z241" s="30"/>
      <c r="AA241" s="61"/>
      <c r="AB241" s="62"/>
      <c r="AC241" s="263" t="str">
        <f t="shared" si="55"/>
        <v/>
      </c>
      <c r="AD241" s="263" t="str">
        <f t="shared" si="56"/>
        <v/>
      </c>
      <c r="AE241" s="263" t="str">
        <f t="shared" si="57"/>
        <v/>
      </c>
      <c r="AF241" s="263" t="str">
        <f t="shared" si="58"/>
        <v/>
      </c>
      <c r="AG241" s="263" t="str">
        <f t="shared" si="59"/>
        <v/>
      </c>
      <c r="AH241" s="263" t="str">
        <f t="shared" si="60"/>
        <v/>
      </c>
      <c r="AI241" s="263" t="str">
        <f t="shared" si="61"/>
        <v/>
      </c>
    </row>
    <row r="242" spans="1:35">
      <c r="A242" s="164">
        <v>225</v>
      </c>
      <c r="B242" s="60" t="str">
        <f>IF('Add Change'!D247="","",+'Add Change'!D247)</f>
        <v/>
      </c>
      <c r="C242" s="31" t="str">
        <f>IF('Add Change'!I247="","",+'Add Change'!I247)</f>
        <v/>
      </c>
      <c r="D242" s="253" t="str">
        <f>IF('Add Change'!W247="","",'Add Change'!W247)</f>
        <v/>
      </c>
      <c r="E242" s="31"/>
      <c r="F242" s="70"/>
      <c r="G242" s="253"/>
      <c r="H242" s="254" t="str">
        <f t="shared" si="64"/>
        <v/>
      </c>
      <c r="I242" s="255" t="str">
        <f t="shared" si="65"/>
        <v/>
      </c>
      <c r="J242" s="256"/>
      <c r="K242" s="257"/>
      <c r="L242" s="258" t="str">
        <f t="shared" si="50"/>
        <v/>
      </c>
      <c r="M242" s="259" t="str">
        <f t="shared" si="51"/>
        <v/>
      </c>
      <c r="N242" s="260" t="str">
        <f t="shared" si="63"/>
        <v/>
      </c>
      <c r="O242" s="261" t="str">
        <f t="shared" si="52"/>
        <v/>
      </c>
      <c r="P242" s="262" t="str">
        <f t="shared" si="53"/>
        <v/>
      </c>
      <c r="Q242" s="263" t="str">
        <f t="shared" si="62"/>
        <v/>
      </c>
      <c r="R242" s="263" t="str">
        <f t="shared" si="62"/>
        <v/>
      </c>
      <c r="S242" s="263" t="str">
        <f t="shared" si="62"/>
        <v/>
      </c>
      <c r="T242" s="263" t="str">
        <f t="shared" si="62"/>
        <v/>
      </c>
      <c r="U242" s="263" t="str">
        <f t="shared" si="62"/>
        <v/>
      </c>
      <c r="V242" s="263" t="str">
        <f t="shared" si="62"/>
        <v/>
      </c>
      <c r="W242" s="263" t="str">
        <f t="shared" si="54"/>
        <v/>
      </c>
      <c r="X242" s="30"/>
      <c r="Y242" s="264"/>
      <c r="Z242" s="30"/>
      <c r="AA242" s="61"/>
      <c r="AB242" s="62"/>
      <c r="AC242" s="263" t="str">
        <f t="shared" si="55"/>
        <v/>
      </c>
      <c r="AD242" s="263" t="str">
        <f t="shared" si="56"/>
        <v/>
      </c>
      <c r="AE242" s="263" t="str">
        <f t="shared" si="57"/>
        <v/>
      </c>
      <c r="AF242" s="263" t="str">
        <f t="shared" si="58"/>
        <v/>
      </c>
      <c r="AG242" s="263" t="str">
        <f t="shared" si="59"/>
        <v/>
      </c>
      <c r="AH242" s="263" t="str">
        <f t="shared" si="60"/>
        <v/>
      </c>
      <c r="AI242" s="263" t="str">
        <f t="shared" si="61"/>
        <v/>
      </c>
    </row>
    <row r="243" spans="1:35">
      <c r="A243" s="164">
        <v>226</v>
      </c>
      <c r="B243" s="60" t="str">
        <f>IF('Add Change'!D248="","",+'Add Change'!D248)</f>
        <v/>
      </c>
      <c r="C243" s="31" t="str">
        <f>IF('Add Change'!I248="","",+'Add Change'!I248)</f>
        <v/>
      </c>
      <c r="D243" s="253" t="str">
        <f>IF('Add Change'!W248="","",'Add Change'!W248)</f>
        <v/>
      </c>
      <c r="E243" s="31"/>
      <c r="F243" s="70"/>
      <c r="G243" s="253"/>
      <c r="H243" s="254" t="str">
        <f t="shared" si="64"/>
        <v/>
      </c>
      <c r="I243" s="255" t="str">
        <f t="shared" si="65"/>
        <v/>
      </c>
      <c r="J243" s="256"/>
      <c r="K243" s="257"/>
      <c r="L243" s="258" t="str">
        <f t="shared" si="50"/>
        <v/>
      </c>
      <c r="M243" s="259" t="str">
        <f t="shared" si="51"/>
        <v/>
      </c>
      <c r="N243" s="260" t="str">
        <f t="shared" si="63"/>
        <v/>
      </c>
      <c r="O243" s="261" t="str">
        <f t="shared" si="52"/>
        <v/>
      </c>
      <c r="P243" s="262" t="str">
        <f t="shared" si="53"/>
        <v/>
      </c>
      <c r="Q243" s="263" t="str">
        <f t="shared" si="62"/>
        <v/>
      </c>
      <c r="R243" s="263" t="str">
        <f t="shared" si="62"/>
        <v/>
      </c>
      <c r="S243" s="263" t="str">
        <f t="shared" si="62"/>
        <v/>
      </c>
      <c r="T243" s="263" t="str">
        <f t="shared" si="62"/>
        <v/>
      </c>
      <c r="U243" s="263" t="str">
        <f t="shared" si="62"/>
        <v/>
      </c>
      <c r="V243" s="263" t="str">
        <f t="shared" si="62"/>
        <v/>
      </c>
      <c r="W243" s="263" t="str">
        <f t="shared" si="54"/>
        <v/>
      </c>
      <c r="X243" s="30"/>
      <c r="Y243" s="264"/>
      <c r="Z243" s="30"/>
      <c r="AA243" s="61"/>
      <c r="AB243" s="62"/>
      <c r="AC243" s="263" t="str">
        <f t="shared" si="55"/>
        <v/>
      </c>
      <c r="AD243" s="263" t="str">
        <f t="shared" si="56"/>
        <v/>
      </c>
      <c r="AE243" s="263" t="str">
        <f t="shared" si="57"/>
        <v/>
      </c>
      <c r="AF243" s="263" t="str">
        <f t="shared" si="58"/>
        <v/>
      </c>
      <c r="AG243" s="263" t="str">
        <f t="shared" si="59"/>
        <v/>
      </c>
      <c r="AH243" s="263" t="str">
        <f t="shared" si="60"/>
        <v/>
      </c>
      <c r="AI243" s="263" t="str">
        <f t="shared" si="61"/>
        <v/>
      </c>
    </row>
    <row r="244" spans="1:35">
      <c r="A244" s="164">
        <v>227</v>
      </c>
      <c r="B244" s="60" t="str">
        <f>IF('Add Change'!D249="","",+'Add Change'!D249)</f>
        <v/>
      </c>
      <c r="C244" s="31" t="str">
        <f>IF('Add Change'!I249="","",+'Add Change'!I249)</f>
        <v/>
      </c>
      <c r="D244" s="253" t="str">
        <f>IF('Add Change'!W249="","",'Add Change'!W249)</f>
        <v/>
      </c>
      <c r="E244" s="31"/>
      <c r="F244" s="70"/>
      <c r="G244" s="253"/>
      <c r="H244" s="254" t="str">
        <f t="shared" si="64"/>
        <v/>
      </c>
      <c r="I244" s="255" t="str">
        <f t="shared" si="65"/>
        <v/>
      </c>
      <c r="J244" s="256"/>
      <c r="K244" s="257"/>
      <c r="L244" s="258" t="str">
        <f t="shared" si="50"/>
        <v/>
      </c>
      <c r="M244" s="259" t="str">
        <f t="shared" si="51"/>
        <v/>
      </c>
      <c r="N244" s="260" t="str">
        <f t="shared" si="63"/>
        <v/>
      </c>
      <c r="O244" s="261" t="str">
        <f t="shared" si="52"/>
        <v/>
      </c>
      <c r="P244" s="262" t="str">
        <f t="shared" si="53"/>
        <v/>
      </c>
      <c r="Q244" s="263" t="str">
        <f t="shared" si="62"/>
        <v/>
      </c>
      <c r="R244" s="263" t="str">
        <f t="shared" si="62"/>
        <v/>
      </c>
      <c r="S244" s="263" t="str">
        <f t="shared" si="62"/>
        <v/>
      </c>
      <c r="T244" s="263" t="str">
        <f t="shared" si="62"/>
        <v/>
      </c>
      <c r="U244" s="263" t="str">
        <f t="shared" si="62"/>
        <v/>
      </c>
      <c r="V244" s="263" t="str">
        <f t="shared" si="62"/>
        <v/>
      </c>
      <c r="W244" s="263" t="str">
        <f t="shared" si="54"/>
        <v/>
      </c>
      <c r="X244" s="30"/>
      <c r="Y244" s="264"/>
      <c r="Z244" s="30"/>
      <c r="AA244" s="61"/>
      <c r="AB244" s="62"/>
      <c r="AC244" s="263" t="str">
        <f t="shared" si="55"/>
        <v/>
      </c>
      <c r="AD244" s="263" t="str">
        <f t="shared" si="56"/>
        <v/>
      </c>
      <c r="AE244" s="263" t="str">
        <f t="shared" si="57"/>
        <v/>
      </c>
      <c r="AF244" s="263" t="str">
        <f t="shared" si="58"/>
        <v/>
      </c>
      <c r="AG244" s="263" t="str">
        <f t="shared" si="59"/>
        <v/>
      </c>
      <c r="AH244" s="263" t="str">
        <f t="shared" si="60"/>
        <v/>
      </c>
      <c r="AI244" s="263" t="str">
        <f t="shared" si="61"/>
        <v/>
      </c>
    </row>
    <row r="245" spans="1:35">
      <c r="A245" s="164">
        <v>228</v>
      </c>
      <c r="B245" s="60" t="str">
        <f>IF('Add Change'!D250="","",+'Add Change'!D250)</f>
        <v/>
      </c>
      <c r="C245" s="31" t="str">
        <f>IF('Add Change'!I250="","",+'Add Change'!I250)</f>
        <v/>
      </c>
      <c r="D245" s="253" t="str">
        <f>IF('Add Change'!W250="","",'Add Change'!W250)</f>
        <v/>
      </c>
      <c r="E245" s="31"/>
      <c r="F245" s="70"/>
      <c r="G245" s="253"/>
      <c r="H245" s="254" t="str">
        <f t="shared" si="64"/>
        <v/>
      </c>
      <c r="I245" s="255" t="str">
        <f t="shared" si="65"/>
        <v/>
      </c>
      <c r="J245" s="256"/>
      <c r="K245" s="257"/>
      <c r="L245" s="258" t="str">
        <f t="shared" si="50"/>
        <v/>
      </c>
      <c r="M245" s="259" t="str">
        <f t="shared" si="51"/>
        <v/>
      </c>
      <c r="N245" s="260" t="str">
        <f t="shared" si="63"/>
        <v/>
      </c>
      <c r="O245" s="261" t="str">
        <f t="shared" si="52"/>
        <v/>
      </c>
      <c r="P245" s="262" t="str">
        <f t="shared" si="53"/>
        <v/>
      </c>
      <c r="Q245" s="263" t="str">
        <f t="shared" si="62"/>
        <v/>
      </c>
      <c r="R245" s="263" t="str">
        <f t="shared" si="62"/>
        <v/>
      </c>
      <c r="S245" s="263" t="str">
        <f t="shared" si="62"/>
        <v/>
      </c>
      <c r="T245" s="263" t="str">
        <f t="shared" si="62"/>
        <v/>
      </c>
      <c r="U245" s="263" t="str">
        <f t="shared" si="62"/>
        <v/>
      </c>
      <c r="V245" s="263" t="str">
        <f t="shared" si="62"/>
        <v/>
      </c>
      <c r="W245" s="263" t="str">
        <f t="shared" si="54"/>
        <v/>
      </c>
      <c r="X245" s="30"/>
      <c r="Y245" s="264"/>
      <c r="Z245" s="30"/>
      <c r="AA245" s="61"/>
      <c r="AB245" s="62"/>
      <c r="AC245" s="263" t="str">
        <f t="shared" si="55"/>
        <v/>
      </c>
      <c r="AD245" s="263" t="str">
        <f t="shared" si="56"/>
        <v/>
      </c>
      <c r="AE245" s="263" t="str">
        <f t="shared" si="57"/>
        <v/>
      </c>
      <c r="AF245" s="263" t="str">
        <f t="shared" si="58"/>
        <v/>
      </c>
      <c r="AG245" s="263" t="str">
        <f t="shared" si="59"/>
        <v/>
      </c>
      <c r="AH245" s="263" t="str">
        <f t="shared" si="60"/>
        <v/>
      </c>
      <c r="AI245" s="263" t="str">
        <f t="shared" si="61"/>
        <v/>
      </c>
    </row>
    <row r="246" spans="1:35">
      <c r="A246" s="164">
        <v>229</v>
      </c>
      <c r="B246" s="60" t="str">
        <f>IF('Add Change'!D251="","",+'Add Change'!D251)</f>
        <v/>
      </c>
      <c r="C246" s="31" t="str">
        <f>IF('Add Change'!I251="","",+'Add Change'!I251)</f>
        <v/>
      </c>
      <c r="D246" s="253" t="str">
        <f>IF('Add Change'!W251="","",'Add Change'!W251)</f>
        <v/>
      </c>
      <c r="E246" s="31"/>
      <c r="F246" s="70"/>
      <c r="G246" s="253"/>
      <c r="H246" s="254" t="str">
        <f t="shared" si="64"/>
        <v/>
      </c>
      <c r="I246" s="255" t="str">
        <f t="shared" si="65"/>
        <v/>
      </c>
      <c r="J246" s="256"/>
      <c r="K246" s="257"/>
      <c r="L246" s="258" t="str">
        <f t="shared" ref="L246:L267" si="66">IF(K246="","",(K246/J246/52)*4)</f>
        <v/>
      </c>
      <c r="M246" s="259" t="str">
        <f t="shared" ref="M246:M267" si="67">IF(L246="","",ROUND(I246/L246,1))</f>
        <v/>
      </c>
      <c r="N246" s="260" t="str">
        <f t="shared" si="63"/>
        <v/>
      </c>
      <c r="O246" s="261" t="str">
        <f t="shared" ref="O246:O267" si="68">IF(N246="","",(N246/W$13/52)*4)</f>
        <v/>
      </c>
      <c r="P246" s="262" t="str">
        <f t="shared" ref="P246:P267" si="69">IF(H246="","",+H246*D246)</f>
        <v/>
      </c>
      <c r="Q246" s="263" t="str">
        <f t="shared" si="62"/>
        <v/>
      </c>
      <c r="R246" s="263" t="str">
        <f t="shared" si="62"/>
        <v/>
      </c>
      <c r="S246" s="263" t="str">
        <f t="shared" si="62"/>
        <v/>
      </c>
      <c r="T246" s="263" t="str">
        <f t="shared" ref="Q246:V267" si="70">IF($O246="","",($O246*T$13/4)*52)</f>
        <v/>
      </c>
      <c r="U246" s="263" t="str">
        <f t="shared" si="70"/>
        <v/>
      </c>
      <c r="V246" s="263" t="str">
        <f t="shared" si="70"/>
        <v/>
      </c>
      <c r="W246" s="263" t="str">
        <f t="shared" ref="W246:W267" si="71">IF(SUM(Q246:V246)=0,"",SUM(Q246:V246))</f>
        <v/>
      </c>
      <c r="X246" s="30"/>
      <c r="Y246" s="264"/>
      <c r="Z246" s="30"/>
      <c r="AA246" s="61"/>
      <c r="AB246" s="62"/>
      <c r="AC246" s="263" t="str">
        <f t="shared" ref="AC246:AC267" si="72">IF(AB246="","",(INT(($AB246/$AA246)+0.99)*$AA246)*Q$13)</f>
        <v/>
      </c>
      <c r="AD246" s="263" t="str">
        <f t="shared" ref="AD246:AD267" si="73">IF(AB246="","",(INT(($AB246/$AA246)+0.99)*$AA246)*R$13)</f>
        <v/>
      </c>
      <c r="AE246" s="263" t="str">
        <f t="shared" ref="AE246:AE267" si="74">IF(AB246="","",(INT(($AB246/$AA246)+0.99)*$AA246)*S$13)</f>
        <v/>
      </c>
      <c r="AF246" s="263" t="str">
        <f t="shared" ref="AF246:AF267" si="75">IF(AB246="","",(INT(($AB246/$AA246)+0.99)*$AA246)*T$13)</f>
        <v/>
      </c>
      <c r="AG246" s="263" t="str">
        <f t="shared" ref="AG246:AG267" si="76">IF(AB246="","",(INT(($AB246/$AA246)+0.99)*$AA246)*U$13)</f>
        <v/>
      </c>
      <c r="AH246" s="263" t="str">
        <f t="shared" ref="AH246:AH267" si="77">IF(AB246="","",(INT(($AB246/$AA246)+0.99)*$AA246)*V$13)</f>
        <v/>
      </c>
      <c r="AI246" s="263" t="str">
        <f t="shared" ref="AI246:AI267" si="78">IF(SUM(AC246:AH246)=0,"",SUM(AC246:AH246))</f>
        <v/>
      </c>
    </row>
    <row r="247" spans="1:35">
      <c r="A247" s="164">
        <v>230</v>
      </c>
      <c r="B247" s="60" t="str">
        <f>IF('Add Change'!D252="","",+'Add Change'!D252)</f>
        <v/>
      </c>
      <c r="C247" s="31" t="str">
        <f>IF('Add Change'!I252="","",+'Add Change'!I252)</f>
        <v/>
      </c>
      <c r="D247" s="253" t="str">
        <f>IF('Add Change'!W252="","",'Add Change'!W252)</f>
        <v/>
      </c>
      <c r="E247" s="31"/>
      <c r="F247" s="70"/>
      <c r="G247" s="253"/>
      <c r="H247" s="254" t="str">
        <f t="shared" si="64"/>
        <v/>
      </c>
      <c r="I247" s="255" t="str">
        <f t="shared" si="65"/>
        <v/>
      </c>
      <c r="J247" s="256"/>
      <c r="K247" s="257"/>
      <c r="L247" s="258" t="str">
        <f t="shared" si="66"/>
        <v/>
      </c>
      <c r="M247" s="259" t="str">
        <f t="shared" si="67"/>
        <v/>
      </c>
      <c r="N247" s="260" t="str">
        <f t="shared" si="63"/>
        <v/>
      </c>
      <c r="O247" s="261" t="str">
        <f t="shared" si="68"/>
        <v/>
      </c>
      <c r="P247" s="262" t="str">
        <f t="shared" si="69"/>
        <v/>
      </c>
      <c r="Q247" s="263" t="str">
        <f t="shared" si="70"/>
        <v/>
      </c>
      <c r="R247" s="263" t="str">
        <f t="shared" si="70"/>
        <v/>
      </c>
      <c r="S247" s="263" t="str">
        <f t="shared" si="70"/>
        <v/>
      </c>
      <c r="T247" s="263" t="str">
        <f t="shared" si="70"/>
        <v/>
      </c>
      <c r="U247" s="263" t="str">
        <f t="shared" si="70"/>
        <v/>
      </c>
      <c r="V247" s="263" t="str">
        <f t="shared" si="70"/>
        <v/>
      </c>
      <c r="W247" s="263" t="str">
        <f t="shared" si="71"/>
        <v/>
      </c>
      <c r="X247" s="30"/>
      <c r="Y247" s="264"/>
      <c r="Z247" s="30"/>
      <c r="AA247" s="61"/>
      <c r="AB247" s="62"/>
      <c r="AC247" s="263" t="str">
        <f t="shared" si="72"/>
        <v/>
      </c>
      <c r="AD247" s="263" t="str">
        <f t="shared" si="73"/>
        <v/>
      </c>
      <c r="AE247" s="263" t="str">
        <f t="shared" si="74"/>
        <v/>
      </c>
      <c r="AF247" s="263" t="str">
        <f t="shared" si="75"/>
        <v/>
      </c>
      <c r="AG247" s="263" t="str">
        <f t="shared" si="76"/>
        <v/>
      </c>
      <c r="AH247" s="263" t="str">
        <f t="shared" si="77"/>
        <v/>
      </c>
      <c r="AI247" s="263" t="str">
        <f t="shared" si="78"/>
        <v/>
      </c>
    </row>
    <row r="248" spans="1:35">
      <c r="A248" s="164">
        <v>231</v>
      </c>
      <c r="B248" s="60" t="str">
        <f>IF('Add Change'!D253="","",+'Add Change'!D253)</f>
        <v/>
      </c>
      <c r="C248" s="31" t="str">
        <f>IF('Add Change'!I253="","",+'Add Change'!I253)</f>
        <v/>
      </c>
      <c r="D248" s="253" t="str">
        <f>IF('Add Change'!W253="","",'Add Change'!W253)</f>
        <v/>
      </c>
      <c r="E248" s="31"/>
      <c r="F248" s="70"/>
      <c r="G248" s="253"/>
      <c r="H248" s="254" t="str">
        <f t="shared" si="64"/>
        <v/>
      </c>
      <c r="I248" s="255" t="str">
        <f t="shared" si="65"/>
        <v/>
      </c>
      <c r="J248" s="256"/>
      <c r="K248" s="257"/>
      <c r="L248" s="258" t="str">
        <f t="shared" si="66"/>
        <v/>
      </c>
      <c r="M248" s="259" t="str">
        <f t="shared" si="67"/>
        <v/>
      </c>
      <c r="N248" s="260" t="str">
        <f t="shared" si="63"/>
        <v/>
      </c>
      <c r="O248" s="261" t="str">
        <f t="shared" si="68"/>
        <v/>
      </c>
      <c r="P248" s="262" t="str">
        <f t="shared" si="69"/>
        <v/>
      </c>
      <c r="Q248" s="263" t="str">
        <f t="shared" si="70"/>
        <v/>
      </c>
      <c r="R248" s="263" t="str">
        <f t="shared" si="70"/>
        <v/>
      </c>
      <c r="S248" s="263" t="str">
        <f t="shared" si="70"/>
        <v/>
      </c>
      <c r="T248" s="263" t="str">
        <f t="shared" si="70"/>
        <v/>
      </c>
      <c r="U248" s="263" t="str">
        <f t="shared" si="70"/>
        <v/>
      </c>
      <c r="V248" s="263" t="str">
        <f t="shared" si="70"/>
        <v/>
      </c>
      <c r="W248" s="263" t="str">
        <f t="shared" si="71"/>
        <v/>
      </c>
      <c r="X248" s="30"/>
      <c r="Y248" s="264"/>
      <c r="Z248" s="30"/>
      <c r="AA248" s="61"/>
      <c r="AB248" s="62"/>
      <c r="AC248" s="263" t="str">
        <f t="shared" si="72"/>
        <v/>
      </c>
      <c r="AD248" s="263" t="str">
        <f t="shared" si="73"/>
        <v/>
      </c>
      <c r="AE248" s="263" t="str">
        <f t="shared" si="74"/>
        <v/>
      </c>
      <c r="AF248" s="263" t="str">
        <f t="shared" si="75"/>
        <v/>
      </c>
      <c r="AG248" s="263" t="str">
        <f t="shared" si="76"/>
        <v/>
      </c>
      <c r="AH248" s="263" t="str">
        <f t="shared" si="77"/>
        <v/>
      </c>
      <c r="AI248" s="263" t="str">
        <f t="shared" si="78"/>
        <v/>
      </c>
    </row>
    <row r="249" spans="1:35">
      <c r="A249" s="164">
        <v>232</v>
      </c>
      <c r="B249" s="60" t="str">
        <f>IF('Add Change'!D254="","",+'Add Change'!D254)</f>
        <v/>
      </c>
      <c r="C249" s="31" t="str">
        <f>IF('Add Change'!I254="","",+'Add Change'!I254)</f>
        <v/>
      </c>
      <c r="D249" s="253" t="str">
        <f>IF('Add Change'!W254="","",'Add Change'!W254)</f>
        <v/>
      </c>
      <c r="E249" s="31"/>
      <c r="F249" s="70"/>
      <c r="G249" s="253"/>
      <c r="H249" s="254" t="str">
        <f t="shared" si="64"/>
        <v/>
      </c>
      <c r="I249" s="255" t="str">
        <f t="shared" si="65"/>
        <v/>
      </c>
      <c r="J249" s="256"/>
      <c r="K249" s="257"/>
      <c r="L249" s="258" t="str">
        <f t="shared" si="66"/>
        <v/>
      </c>
      <c r="M249" s="259" t="str">
        <f t="shared" si="67"/>
        <v/>
      </c>
      <c r="N249" s="260" t="str">
        <f t="shared" si="63"/>
        <v/>
      </c>
      <c r="O249" s="261" t="str">
        <f t="shared" si="68"/>
        <v/>
      </c>
      <c r="P249" s="262" t="str">
        <f t="shared" si="69"/>
        <v/>
      </c>
      <c r="Q249" s="263" t="str">
        <f t="shared" si="70"/>
        <v/>
      </c>
      <c r="R249" s="263" t="str">
        <f t="shared" si="70"/>
        <v/>
      </c>
      <c r="S249" s="263" t="str">
        <f t="shared" si="70"/>
        <v/>
      </c>
      <c r="T249" s="263" t="str">
        <f t="shared" si="70"/>
        <v/>
      </c>
      <c r="U249" s="263" t="str">
        <f t="shared" si="70"/>
        <v/>
      </c>
      <c r="V249" s="263" t="str">
        <f t="shared" si="70"/>
        <v/>
      </c>
      <c r="W249" s="263" t="str">
        <f t="shared" si="71"/>
        <v/>
      </c>
      <c r="X249" s="30"/>
      <c r="Y249" s="264"/>
      <c r="Z249" s="30"/>
      <c r="AA249" s="61"/>
      <c r="AB249" s="62"/>
      <c r="AC249" s="263" t="str">
        <f t="shared" si="72"/>
        <v/>
      </c>
      <c r="AD249" s="263" t="str">
        <f t="shared" si="73"/>
        <v/>
      </c>
      <c r="AE249" s="263" t="str">
        <f t="shared" si="74"/>
        <v/>
      </c>
      <c r="AF249" s="263" t="str">
        <f t="shared" si="75"/>
        <v/>
      </c>
      <c r="AG249" s="263" t="str">
        <f t="shared" si="76"/>
        <v/>
      </c>
      <c r="AH249" s="263" t="str">
        <f t="shared" si="77"/>
        <v/>
      </c>
      <c r="AI249" s="263" t="str">
        <f t="shared" si="78"/>
        <v/>
      </c>
    </row>
    <row r="250" spans="1:35">
      <c r="A250" s="164">
        <v>233</v>
      </c>
      <c r="B250" s="60" t="str">
        <f>IF('Add Change'!D255="","",+'Add Change'!D255)</f>
        <v/>
      </c>
      <c r="C250" s="31" t="str">
        <f>IF('Add Change'!I255="","",+'Add Change'!I255)</f>
        <v/>
      </c>
      <c r="D250" s="253" t="str">
        <f>IF('Add Change'!W255="","",'Add Change'!W255)</f>
        <v/>
      </c>
      <c r="E250" s="31"/>
      <c r="F250" s="70"/>
      <c r="G250" s="253"/>
      <c r="H250" s="254" t="str">
        <f t="shared" si="64"/>
        <v/>
      </c>
      <c r="I250" s="255" t="str">
        <f t="shared" si="65"/>
        <v/>
      </c>
      <c r="J250" s="256"/>
      <c r="K250" s="257"/>
      <c r="L250" s="258" t="str">
        <f t="shared" si="66"/>
        <v/>
      </c>
      <c r="M250" s="259" t="str">
        <f t="shared" si="67"/>
        <v/>
      </c>
      <c r="N250" s="260" t="str">
        <f t="shared" si="63"/>
        <v/>
      </c>
      <c r="O250" s="261" t="str">
        <f t="shared" si="68"/>
        <v/>
      </c>
      <c r="P250" s="262" t="str">
        <f t="shared" si="69"/>
        <v/>
      </c>
      <c r="Q250" s="263" t="str">
        <f t="shared" si="70"/>
        <v/>
      </c>
      <c r="R250" s="263" t="str">
        <f t="shared" si="70"/>
        <v/>
      </c>
      <c r="S250" s="263" t="str">
        <f t="shared" si="70"/>
        <v/>
      </c>
      <c r="T250" s="263" t="str">
        <f t="shared" si="70"/>
        <v/>
      </c>
      <c r="U250" s="263" t="str">
        <f t="shared" si="70"/>
        <v/>
      </c>
      <c r="V250" s="263" t="str">
        <f t="shared" si="70"/>
        <v/>
      </c>
      <c r="W250" s="263" t="str">
        <f t="shared" si="71"/>
        <v/>
      </c>
      <c r="X250" s="30"/>
      <c r="Y250" s="264"/>
      <c r="Z250" s="30"/>
      <c r="AA250" s="61"/>
      <c r="AB250" s="62"/>
      <c r="AC250" s="263" t="str">
        <f t="shared" si="72"/>
        <v/>
      </c>
      <c r="AD250" s="263" t="str">
        <f t="shared" si="73"/>
        <v/>
      </c>
      <c r="AE250" s="263" t="str">
        <f t="shared" si="74"/>
        <v/>
      </c>
      <c r="AF250" s="263" t="str">
        <f t="shared" si="75"/>
        <v/>
      </c>
      <c r="AG250" s="263" t="str">
        <f t="shared" si="76"/>
        <v/>
      </c>
      <c r="AH250" s="263" t="str">
        <f t="shared" si="77"/>
        <v/>
      </c>
      <c r="AI250" s="263" t="str">
        <f t="shared" si="78"/>
        <v/>
      </c>
    </row>
    <row r="251" spans="1:35">
      <c r="A251" s="164">
        <v>234</v>
      </c>
      <c r="B251" s="60" t="str">
        <f>IF('Add Change'!D256="","",+'Add Change'!D256)</f>
        <v/>
      </c>
      <c r="C251" s="31" t="str">
        <f>IF('Add Change'!I256="","",+'Add Change'!I256)</f>
        <v/>
      </c>
      <c r="D251" s="253" t="str">
        <f>IF('Add Change'!W256="","",'Add Change'!W256)</f>
        <v/>
      </c>
      <c r="E251" s="31"/>
      <c r="F251" s="70"/>
      <c r="G251" s="253"/>
      <c r="H251" s="254" t="str">
        <f t="shared" si="64"/>
        <v/>
      </c>
      <c r="I251" s="255" t="str">
        <f t="shared" si="65"/>
        <v/>
      </c>
      <c r="J251" s="256"/>
      <c r="K251" s="257"/>
      <c r="L251" s="258" t="str">
        <f t="shared" si="66"/>
        <v/>
      </c>
      <c r="M251" s="259" t="str">
        <f t="shared" si="67"/>
        <v/>
      </c>
      <c r="N251" s="260" t="str">
        <f t="shared" si="63"/>
        <v/>
      </c>
      <c r="O251" s="261" t="str">
        <f t="shared" si="68"/>
        <v/>
      </c>
      <c r="P251" s="262" t="str">
        <f t="shared" si="69"/>
        <v/>
      </c>
      <c r="Q251" s="263" t="str">
        <f t="shared" si="70"/>
        <v/>
      </c>
      <c r="R251" s="263" t="str">
        <f t="shared" si="70"/>
        <v/>
      </c>
      <c r="S251" s="263" t="str">
        <f t="shared" si="70"/>
        <v/>
      </c>
      <c r="T251" s="263" t="str">
        <f t="shared" si="70"/>
        <v/>
      </c>
      <c r="U251" s="263" t="str">
        <f t="shared" si="70"/>
        <v/>
      </c>
      <c r="V251" s="263" t="str">
        <f t="shared" si="70"/>
        <v/>
      </c>
      <c r="W251" s="263" t="str">
        <f t="shared" si="71"/>
        <v/>
      </c>
      <c r="X251" s="30"/>
      <c r="Y251" s="264"/>
      <c r="Z251" s="30"/>
      <c r="AA251" s="61"/>
      <c r="AB251" s="62"/>
      <c r="AC251" s="263" t="str">
        <f t="shared" si="72"/>
        <v/>
      </c>
      <c r="AD251" s="263" t="str">
        <f t="shared" si="73"/>
        <v/>
      </c>
      <c r="AE251" s="263" t="str">
        <f t="shared" si="74"/>
        <v/>
      </c>
      <c r="AF251" s="263" t="str">
        <f t="shared" si="75"/>
        <v/>
      </c>
      <c r="AG251" s="263" t="str">
        <f t="shared" si="76"/>
        <v/>
      </c>
      <c r="AH251" s="263" t="str">
        <f t="shared" si="77"/>
        <v/>
      </c>
      <c r="AI251" s="263" t="str">
        <f t="shared" si="78"/>
        <v/>
      </c>
    </row>
    <row r="252" spans="1:35">
      <c r="A252" s="164">
        <v>235</v>
      </c>
      <c r="B252" s="60" t="str">
        <f>IF('Add Change'!D257="","",+'Add Change'!D257)</f>
        <v/>
      </c>
      <c r="C252" s="31" t="str">
        <f>IF('Add Change'!I257="","",+'Add Change'!I257)</f>
        <v/>
      </c>
      <c r="D252" s="253" t="str">
        <f>IF('Add Change'!W257="","",'Add Change'!W257)</f>
        <v/>
      </c>
      <c r="E252" s="31"/>
      <c r="F252" s="70"/>
      <c r="G252" s="253"/>
      <c r="H252" s="254" t="str">
        <f t="shared" si="64"/>
        <v/>
      </c>
      <c r="I252" s="255" t="str">
        <f t="shared" si="65"/>
        <v/>
      </c>
      <c r="J252" s="256"/>
      <c r="K252" s="257"/>
      <c r="L252" s="258" t="str">
        <f t="shared" si="66"/>
        <v/>
      </c>
      <c r="M252" s="259" t="str">
        <f t="shared" si="67"/>
        <v/>
      </c>
      <c r="N252" s="260" t="str">
        <f t="shared" si="63"/>
        <v/>
      </c>
      <c r="O252" s="261" t="str">
        <f t="shared" si="68"/>
        <v/>
      </c>
      <c r="P252" s="262" t="str">
        <f t="shared" si="69"/>
        <v/>
      </c>
      <c r="Q252" s="263" t="str">
        <f t="shared" si="70"/>
        <v/>
      </c>
      <c r="R252" s="263" t="str">
        <f t="shared" si="70"/>
        <v/>
      </c>
      <c r="S252" s="263" t="str">
        <f t="shared" si="70"/>
        <v/>
      </c>
      <c r="T252" s="263" t="str">
        <f t="shared" si="70"/>
        <v/>
      </c>
      <c r="U252" s="263" t="str">
        <f t="shared" si="70"/>
        <v/>
      </c>
      <c r="V252" s="263" t="str">
        <f t="shared" si="70"/>
        <v/>
      </c>
      <c r="W252" s="263" t="str">
        <f t="shared" si="71"/>
        <v/>
      </c>
      <c r="X252" s="30"/>
      <c r="Y252" s="264"/>
      <c r="Z252" s="30"/>
      <c r="AA252" s="61"/>
      <c r="AB252" s="62"/>
      <c r="AC252" s="263" t="str">
        <f t="shared" si="72"/>
        <v/>
      </c>
      <c r="AD252" s="263" t="str">
        <f t="shared" si="73"/>
        <v/>
      </c>
      <c r="AE252" s="263" t="str">
        <f t="shared" si="74"/>
        <v/>
      </c>
      <c r="AF252" s="263" t="str">
        <f t="shared" si="75"/>
        <v/>
      </c>
      <c r="AG252" s="263" t="str">
        <f t="shared" si="76"/>
        <v/>
      </c>
      <c r="AH252" s="263" t="str">
        <f t="shared" si="77"/>
        <v/>
      </c>
      <c r="AI252" s="263" t="str">
        <f t="shared" si="78"/>
        <v/>
      </c>
    </row>
    <row r="253" spans="1:35">
      <c r="A253" s="164">
        <v>236</v>
      </c>
      <c r="B253" s="60" t="str">
        <f>IF('Add Change'!D258="","",+'Add Change'!D258)</f>
        <v/>
      </c>
      <c r="C253" s="31" t="str">
        <f>IF('Add Change'!I258="","",+'Add Change'!I258)</f>
        <v/>
      </c>
      <c r="D253" s="253" t="str">
        <f>IF('Add Change'!W258="","",'Add Change'!W258)</f>
        <v/>
      </c>
      <c r="E253" s="31"/>
      <c r="F253" s="70"/>
      <c r="G253" s="253"/>
      <c r="H253" s="254" t="str">
        <f t="shared" si="64"/>
        <v/>
      </c>
      <c r="I253" s="255" t="str">
        <f t="shared" si="65"/>
        <v/>
      </c>
      <c r="J253" s="256"/>
      <c r="K253" s="257"/>
      <c r="L253" s="258" t="str">
        <f t="shared" si="66"/>
        <v/>
      </c>
      <c r="M253" s="259" t="str">
        <f t="shared" si="67"/>
        <v/>
      </c>
      <c r="N253" s="260" t="str">
        <f t="shared" si="63"/>
        <v/>
      </c>
      <c r="O253" s="261" t="str">
        <f t="shared" si="68"/>
        <v/>
      </c>
      <c r="P253" s="262" t="str">
        <f t="shared" si="69"/>
        <v/>
      </c>
      <c r="Q253" s="263" t="str">
        <f t="shared" si="70"/>
        <v/>
      </c>
      <c r="R253" s="263" t="str">
        <f t="shared" si="70"/>
        <v/>
      </c>
      <c r="S253" s="263" t="str">
        <f t="shared" si="70"/>
        <v/>
      </c>
      <c r="T253" s="263" t="str">
        <f t="shared" si="70"/>
        <v/>
      </c>
      <c r="U253" s="263" t="str">
        <f t="shared" si="70"/>
        <v/>
      </c>
      <c r="V253" s="263" t="str">
        <f t="shared" si="70"/>
        <v/>
      </c>
      <c r="W253" s="263" t="str">
        <f t="shared" si="71"/>
        <v/>
      </c>
      <c r="X253" s="30"/>
      <c r="Y253" s="264"/>
      <c r="Z253" s="30"/>
      <c r="AA253" s="61"/>
      <c r="AB253" s="62"/>
      <c r="AC253" s="263" t="str">
        <f t="shared" si="72"/>
        <v/>
      </c>
      <c r="AD253" s="263" t="str">
        <f t="shared" si="73"/>
        <v/>
      </c>
      <c r="AE253" s="263" t="str">
        <f t="shared" si="74"/>
        <v/>
      </c>
      <c r="AF253" s="263" t="str">
        <f t="shared" si="75"/>
        <v/>
      </c>
      <c r="AG253" s="263" t="str">
        <f t="shared" si="76"/>
        <v/>
      </c>
      <c r="AH253" s="263" t="str">
        <f t="shared" si="77"/>
        <v/>
      </c>
      <c r="AI253" s="263" t="str">
        <f t="shared" si="78"/>
        <v/>
      </c>
    </row>
    <row r="254" spans="1:35">
      <c r="A254" s="164">
        <v>237</v>
      </c>
      <c r="B254" s="60" t="str">
        <f>IF('Add Change'!D259="","",+'Add Change'!D259)</f>
        <v/>
      </c>
      <c r="C254" s="31" t="str">
        <f>IF('Add Change'!I259="","",+'Add Change'!I259)</f>
        <v/>
      </c>
      <c r="D254" s="253" t="str">
        <f>IF('Add Change'!W259="","",'Add Change'!W259)</f>
        <v/>
      </c>
      <c r="E254" s="31"/>
      <c r="F254" s="70"/>
      <c r="G254" s="253"/>
      <c r="H254" s="254" t="str">
        <f t="shared" si="64"/>
        <v/>
      </c>
      <c r="I254" s="255" t="str">
        <f t="shared" si="65"/>
        <v/>
      </c>
      <c r="J254" s="256"/>
      <c r="K254" s="257"/>
      <c r="L254" s="258" t="str">
        <f t="shared" si="66"/>
        <v/>
      </c>
      <c r="M254" s="259" t="str">
        <f t="shared" si="67"/>
        <v/>
      </c>
      <c r="N254" s="260" t="str">
        <f t="shared" si="63"/>
        <v/>
      </c>
      <c r="O254" s="261" t="str">
        <f t="shared" si="68"/>
        <v/>
      </c>
      <c r="P254" s="262" t="str">
        <f t="shared" si="69"/>
        <v/>
      </c>
      <c r="Q254" s="263" t="str">
        <f t="shared" si="70"/>
        <v/>
      </c>
      <c r="R254" s="263" t="str">
        <f t="shared" si="70"/>
        <v/>
      </c>
      <c r="S254" s="263" t="str">
        <f t="shared" si="70"/>
        <v/>
      </c>
      <c r="T254" s="263" t="str">
        <f t="shared" si="70"/>
        <v/>
      </c>
      <c r="U254" s="263" t="str">
        <f t="shared" si="70"/>
        <v/>
      </c>
      <c r="V254" s="263" t="str">
        <f t="shared" si="70"/>
        <v/>
      </c>
      <c r="W254" s="263" t="str">
        <f t="shared" si="71"/>
        <v/>
      </c>
      <c r="X254" s="30"/>
      <c r="Y254" s="264"/>
      <c r="Z254" s="30"/>
      <c r="AA254" s="61"/>
      <c r="AB254" s="62"/>
      <c r="AC254" s="263" t="str">
        <f t="shared" si="72"/>
        <v/>
      </c>
      <c r="AD254" s="263" t="str">
        <f t="shared" si="73"/>
        <v/>
      </c>
      <c r="AE254" s="263" t="str">
        <f t="shared" si="74"/>
        <v/>
      </c>
      <c r="AF254" s="263" t="str">
        <f t="shared" si="75"/>
        <v/>
      </c>
      <c r="AG254" s="263" t="str">
        <f t="shared" si="76"/>
        <v/>
      </c>
      <c r="AH254" s="263" t="str">
        <f t="shared" si="77"/>
        <v/>
      </c>
      <c r="AI254" s="263" t="str">
        <f t="shared" si="78"/>
        <v/>
      </c>
    </row>
    <row r="255" spans="1:35">
      <c r="A255" s="164">
        <v>238</v>
      </c>
      <c r="B255" s="60" t="str">
        <f>IF('Add Change'!D260="","",+'Add Change'!D260)</f>
        <v/>
      </c>
      <c r="C255" s="31" t="str">
        <f>IF('Add Change'!I260="","",+'Add Change'!I260)</f>
        <v/>
      </c>
      <c r="D255" s="253" t="str">
        <f>IF('Add Change'!W260="","",'Add Change'!W260)</f>
        <v/>
      </c>
      <c r="E255" s="31"/>
      <c r="F255" s="70"/>
      <c r="G255" s="253"/>
      <c r="H255" s="254" t="str">
        <f t="shared" si="64"/>
        <v/>
      </c>
      <c r="I255" s="255" t="str">
        <f t="shared" si="65"/>
        <v/>
      </c>
      <c r="J255" s="256"/>
      <c r="K255" s="257"/>
      <c r="L255" s="258" t="str">
        <f t="shared" si="66"/>
        <v/>
      </c>
      <c r="M255" s="259" t="str">
        <f t="shared" si="67"/>
        <v/>
      </c>
      <c r="N255" s="260" t="str">
        <f t="shared" si="63"/>
        <v/>
      </c>
      <c r="O255" s="261" t="str">
        <f t="shared" si="68"/>
        <v/>
      </c>
      <c r="P255" s="262" t="str">
        <f t="shared" si="69"/>
        <v/>
      </c>
      <c r="Q255" s="263" t="str">
        <f t="shared" si="70"/>
        <v/>
      </c>
      <c r="R255" s="263" t="str">
        <f t="shared" si="70"/>
        <v/>
      </c>
      <c r="S255" s="263" t="str">
        <f t="shared" si="70"/>
        <v/>
      </c>
      <c r="T255" s="263" t="str">
        <f t="shared" si="70"/>
        <v/>
      </c>
      <c r="U255" s="263" t="str">
        <f t="shared" si="70"/>
        <v/>
      </c>
      <c r="V255" s="263" t="str">
        <f t="shared" si="70"/>
        <v/>
      </c>
      <c r="W255" s="263" t="str">
        <f t="shared" si="71"/>
        <v/>
      </c>
      <c r="X255" s="30"/>
      <c r="Y255" s="264"/>
      <c r="Z255" s="30"/>
      <c r="AA255" s="61"/>
      <c r="AB255" s="62"/>
      <c r="AC255" s="263" t="str">
        <f t="shared" si="72"/>
        <v/>
      </c>
      <c r="AD255" s="263" t="str">
        <f t="shared" si="73"/>
        <v/>
      </c>
      <c r="AE255" s="263" t="str">
        <f t="shared" si="74"/>
        <v/>
      </c>
      <c r="AF255" s="263" t="str">
        <f t="shared" si="75"/>
        <v/>
      </c>
      <c r="AG255" s="263" t="str">
        <f t="shared" si="76"/>
        <v/>
      </c>
      <c r="AH255" s="263" t="str">
        <f t="shared" si="77"/>
        <v/>
      </c>
      <c r="AI255" s="263" t="str">
        <f t="shared" si="78"/>
        <v/>
      </c>
    </row>
    <row r="256" spans="1:35">
      <c r="A256" s="164">
        <v>239</v>
      </c>
      <c r="B256" s="60" t="str">
        <f>IF('Add Change'!D261="","",+'Add Change'!D261)</f>
        <v/>
      </c>
      <c r="C256" s="31" t="str">
        <f>IF('Add Change'!I261="","",+'Add Change'!I261)</f>
        <v/>
      </c>
      <c r="D256" s="253" t="str">
        <f>IF('Add Change'!W261="","",'Add Change'!W261)</f>
        <v/>
      </c>
      <c r="E256" s="31"/>
      <c r="F256" s="70"/>
      <c r="G256" s="253"/>
      <c r="H256" s="254" t="str">
        <f t="shared" si="64"/>
        <v/>
      </c>
      <c r="I256" s="255" t="str">
        <f t="shared" si="65"/>
        <v/>
      </c>
      <c r="J256" s="256"/>
      <c r="K256" s="257"/>
      <c r="L256" s="258" t="str">
        <f t="shared" si="66"/>
        <v/>
      </c>
      <c r="M256" s="259" t="str">
        <f t="shared" si="67"/>
        <v/>
      </c>
      <c r="N256" s="260" t="str">
        <f t="shared" si="63"/>
        <v/>
      </c>
      <c r="O256" s="261" t="str">
        <f t="shared" si="68"/>
        <v/>
      </c>
      <c r="P256" s="262" t="str">
        <f t="shared" si="69"/>
        <v/>
      </c>
      <c r="Q256" s="263" t="str">
        <f t="shared" si="70"/>
        <v/>
      </c>
      <c r="R256" s="263" t="str">
        <f t="shared" si="70"/>
        <v/>
      </c>
      <c r="S256" s="263" t="str">
        <f t="shared" si="70"/>
        <v/>
      </c>
      <c r="T256" s="263" t="str">
        <f t="shared" si="70"/>
        <v/>
      </c>
      <c r="U256" s="263" t="str">
        <f t="shared" si="70"/>
        <v/>
      </c>
      <c r="V256" s="263" t="str">
        <f t="shared" si="70"/>
        <v/>
      </c>
      <c r="W256" s="263" t="str">
        <f t="shared" si="71"/>
        <v/>
      </c>
      <c r="X256" s="30"/>
      <c r="Y256" s="264"/>
      <c r="Z256" s="30"/>
      <c r="AA256" s="61"/>
      <c r="AB256" s="62"/>
      <c r="AC256" s="263" t="str">
        <f t="shared" si="72"/>
        <v/>
      </c>
      <c r="AD256" s="263" t="str">
        <f t="shared" si="73"/>
        <v/>
      </c>
      <c r="AE256" s="263" t="str">
        <f t="shared" si="74"/>
        <v/>
      </c>
      <c r="AF256" s="263" t="str">
        <f t="shared" si="75"/>
        <v/>
      </c>
      <c r="AG256" s="263" t="str">
        <f t="shared" si="76"/>
        <v/>
      </c>
      <c r="AH256" s="263" t="str">
        <f t="shared" si="77"/>
        <v/>
      </c>
      <c r="AI256" s="263" t="str">
        <f t="shared" si="78"/>
        <v/>
      </c>
    </row>
    <row r="257" spans="1:35">
      <c r="A257" s="164">
        <v>240</v>
      </c>
      <c r="B257" s="60" t="str">
        <f>IF('Add Change'!D262="","",+'Add Change'!D262)</f>
        <v/>
      </c>
      <c r="C257" s="31" t="str">
        <f>IF('Add Change'!I262="","",+'Add Change'!I262)</f>
        <v/>
      </c>
      <c r="D257" s="253" t="str">
        <f>IF('Add Change'!W262="","",'Add Change'!W262)</f>
        <v/>
      </c>
      <c r="E257" s="31"/>
      <c r="F257" s="70"/>
      <c r="G257" s="253"/>
      <c r="H257" s="254" t="str">
        <f t="shared" si="64"/>
        <v/>
      </c>
      <c r="I257" s="255" t="str">
        <f t="shared" si="65"/>
        <v/>
      </c>
      <c r="J257" s="256"/>
      <c r="K257" s="257"/>
      <c r="L257" s="258" t="str">
        <f t="shared" si="66"/>
        <v/>
      </c>
      <c r="M257" s="259" t="str">
        <f t="shared" si="67"/>
        <v/>
      </c>
      <c r="N257" s="260" t="str">
        <f t="shared" si="63"/>
        <v/>
      </c>
      <c r="O257" s="261" t="str">
        <f t="shared" si="68"/>
        <v/>
      </c>
      <c r="P257" s="262" t="str">
        <f t="shared" si="69"/>
        <v/>
      </c>
      <c r="Q257" s="263" t="str">
        <f t="shared" si="70"/>
        <v/>
      </c>
      <c r="R257" s="263" t="str">
        <f t="shared" si="70"/>
        <v/>
      </c>
      <c r="S257" s="263" t="str">
        <f t="shared" si="70"/>
        <v/>
      </c>
      <c r="T257" s="263" t="str">
        <f t="shared" si="70"/>
        <v/>
      </c>
      <c r="U257" s="263" t="str">
        <f t="shared" si="70"/>
        <v/>
      </c>
      <c r="V257" s="263" t="str">
        <f t="shared" si="70"/>
        <v/>
      </c>
      <c r="W257" s="263" t="str">
        <f t="shared" si="71"/>
        <v/>
      </c>
      <c r="X257" s="30"/>
      <c r="Y257" s="264"/>
      <c r="Z257" s="30"/>
      <c r="AA257" s="61"/>
      <c r="AB257" s="62"/>
      <c r="AC257" s="263" t="str">
        <f t="shared" si="72"/>
        <v/>
      </c>
      <c r="AD257" s="263" t="str">
        <f t="shared" si="73"/>
        <v/>
      </c>
      <c r="AE257" s="263" t="str">
        <f t="shared" si="74"/>
        <v/>
      </c>
      <c r="AF257" s="263" t="str">
        <f t="shared" si="75"/>
        <v/>
      </c>
      <c r="AG257" s="263" t="str">
        <f t="shared" si="76"/>
        <v/>
      </c>
      <c r="AH257" s="263" t="str">
        <f t="shared" si="77"/>
        <v/>
      </c>
      <c r="AI257" s="263" t="str">
        <f t="shared" si="78"/>
        <v/>
      </c>
    </row>
    <row r="258" spans="1:35">
      <c r="A258" s="164">
        <v>241</v>
      </c>
      <c r="B258" s="60" t="str">
        <f>IF('Add Change'!D263="","",+'Add Change'!D263)</f>
        <v/>
      </c>
      <c r="C258" s="31" t="str">
        <f>IF('Add Change'!I263="","",+'Add Change'!I263)</f>
        <v/>
      </c>
      <c r="D258" s="253" t="str">
        <f>IF('Add Change'!W263="","",'Add Change'!W263)</f>
        <v/>
      </c>
      <c r="E258" s="31"/>
      <c r="F258" s="70"/>
      <c r="G258" s="253"/>
      <c r="H258" s="254" t="str">
        <f t="shared" si="64"/>
        <v/>
      </c>
      <c r="I258" s="255" t="str">
        <f t="shared" si="65"/>
        <v/>
      </c>
      <c r="J258" s="256"/>
      <c r="K258" s="257"/>
      <c r="L258" s="258" t="str">
        <f t="shared" si="66"/>
        <v/>
      </c>
      <c r="M258" s="259" t="str">
        <f t="shared" si="67"/>
        <v/>
      </c>
      <c r="N258" s="260" t="str">
        <f t="shared" si="63"/>
        <v/>
      </c>
      <c r="O258" s="261" t="str">
        <f t="shared" si="68"/>
        <v/>
      </c>
      <c r="P258" s="262" t="str">
        <f t="shared" si="69"/>
        <v/>
      </c>
      <c r="Q258" s="263" t="str">
        <f t="shared" si="70"/>
        <v/>
      </c>
      <c r="R258" s="263" t="str">
        <f t="shared" si="70"/>
        <v/>
      </c>
      <c r="S258" s="263" t="str">
        <f t="shared" si="70"/>
        <v/>
      </c>
      <c r="T258" s="263" t="str">
        <f t="shared" si="70"/>
        <v/>
      </c>
      <c r="U258" s="263" t="str">
        <f t="shared" si="70"/>
        <v/>
      </c>
      <c r="V258" s="263" t="str">
        <f t="shared" si="70"/>
        <v/>
      </c>
      <c r="W258" s="263" t="str">
        <f t="shared" si="71"/>
        <v/>
      </c>
      <c r="X258" s="30"/>
      <c r="Y258" s="264"/>
      <c r="Z258" s="30"/>
      <c r="AA258" s="61"/>
      <c r="AB258" s="62"/>
      <c r="AC258" s="263" t="str">
        <f t="shared" si="72"/>
        <v/>
      </c>
      <c r="AD258" s="263" t="str">
        <f t="shared" si="73"/>
        <v/>
      </c>
      <c r="AE258" s="263" t="str">
        <f t="shared" si="74"/>
        <v/>
      </c>
      <c r="AF258" s="263" t="str">
        <f t="shared" si="75"/>
        <v/>
      </c>
      <c r="AG258" s="263" t="str">
        <f t="shared" si="76"/>
        <v/>
      </c>
      <c r="AH258" s="263" t="str">
        <f t="shared" si="77"/>
        <v/>
      </c>
      <c r="AI258" s="263" t="str">
        <f t="shared" si="78"/>
        <v/>
      </c>
    </row>
    <row r="259" spans="1:35">
      <c r="A259" s="164">
        <v>242</v>
      </c>
      <c r="B259" s="60" t="str">
        <f>IF('Add Change'!D264="","",+'Add Change'!D264)</f>
        <v/>
      </c>
      <c r="C259" s="31" t="str">
        <f>IF('Add Change'!I264="","",+'Add Change'!I264)</f>
        <v/>
      </c>
      <c r="D259" s="253" t="str">
        <f>IF('Add Change'!W264="","",'Add Change'!W264)</f>
        <v/>
      </c>
      <c r="E259" s="31"/>
      <c r="F259" s="70"/>
      <c r="G259" s="253"/>
      <c r="H259" s="254" t="str">
        <f t="shared" si="64"/>
        <v/>
      </c>
      <c r="I259" s="255" t="str">
        <f t="shared" si="65"/>
        <v/>
      </c>
      <c r="J259" s="256"/>
      <c r="K259" s="257"/>
      <c r="L259" s="258" t="str">
        <f t="shared" si="66"/>
        <v/>
      </c>
      <c r="M259" s="259" t="str">
        <f t="shared" si="67"/>
        <v/>
      </c>
      <c r="N259" s="260" t="str">
        <f t="shared" si="63"/>
        <v/>
      </c>
      <c r="O259" s="261" t="str">
        <f t="shared" si="68"/>
        <v/>
      </c>
      <c r="P259" s="262" t="str">
        <f t="shared" si="69"/>
        <v/>
      </c>
      <c r="Q259" s="263" t="str">
        <f t="shared" si="70"/>
        <v/>
      </c>
      <c r="R259" s="263" t="str">
        <f t="shared" si="70"/>
        <v/>
      </c>
      <c r="S259" s="263" t="str">
        <f t="shared" si="70"/>
        <v/>
      </c>
      <c r="T259" s="263" t="str">
        <f t="shared" si="70"/>
        <v/>
      </c>
      <c r="U259" s="263" t="str">
        <f t="shared" si="70"/>
        <v/>
      </c>
      <c r="V259" s="263" t="str">
        <f t="shared" si="70"/>
        <v/>
      </c>
      <c r="W259" s="263" t="str">
        <f t="shared" si="71"/>
        <v/>
      </c>
      <c r="X259" s="30"/>
      <c r="Y259" s="264"/>
      <c r="Z259" s="30"/>
      <c r="AA259" s="61"/>
      <c r="AB259" s="62"/>
      <c r="AC259" s="263" t="str">
        <f t="shared" si="72"/>
        <v/>
      </c>
      <c r="AD259" s="263" t="str">
        <f t="shared" si="73"/>
        <v/>
      </c>
      <c r="AE259" s="263" t="str">
        <f t="shared" si="74"/>
        <v/>
      </c>
      <c r="AF259" s="263" t="str">
        <f t="shared" si="75"/>
        <v/>
      </c>
      <c r="AG259" s="263" t="str">
        <f t="shared" si="76"/>
        <v/>
      </c>
      <c r="AH259" s="263" t="str">
        <f t="shared" si="77"/>
        <v/>
      </c>
      <c r="AI259" s="263" t="str">
        <f t="shared" si="78"/>
        <v/>
      </c>
    </row>
    <row r="260" spans="1:35">
      <c r="A260" s="164">
        <v>243</v>
      </c>
      <c r="B260" s="60" t="str">
        <f>IF('Add Change'!D265="","",+'Add Change'!D265)</f>
        <v/>
      </c>
      <c r="C260" s="31" t="str">
        <f>IF('Add Change'!I265="","",+'Add Change'!I265)</f>
        <v/>
      </c>
      <c r="D260" s="253" t="str">
        <f>IF('Add Change'!W265="","",'Add Change'!W265)</f>
        <v/>
      </c>
      <c r="E260" s="31"/>
      <c r="F260" s="70"/>
      <c r="G260" s="253"/>
      <c r="H260" s="254" t="str">
        <f t="shared" si="64"/>
        <v/>
      </c>
      <c r="I260" s="255" t="str">
        <f t="shared" si="65"/>
        <v/>
      </c>
      <c r="J260" s="256"/>
      <c r="K260" s="257"/>
      <c r="L260" s="258" t="str">
        <f t="shared" si="66"/>
        <v/>
      </c>
      <c r="M260" s="259" t="str">
        <f t="shared" si="67"/>
        <v/>
      </c>
      <c r="N260" s="260" t="str">
        <f t="shared" si="63"/>
        <v/>
      </c>
      <c r="O260" s="261" t="str">
        <f t="shared" si="68"/>
        <v/>
      </c>
      <c r="P260" s="262" t="str">
        <f t="shared" si="69"/>
        <v/>
      </c>
      <c r="Q260" s="263" t="str">
        <f t="shared" si="70"/>
        <v/>
      </c>
      <c r="R260" s="263" t="str">
        <f t="shared" si="70"/>
        <v/>
      </c>
      <c r="S260" s="263" t="str">
        <f t="shared" si="70"/>
        <v/>
      </c>
      <c r="T260" s="263" t="str">
        <f t="shared" si="70"/>
        <v/>
      </c>
      <c r="U260" s="263" t="str">
        <f t="shared" si="70"/>
        <v/>
      </c>
      <c r="V260" s="263" t="str">
        <f t="shared" si="70"/>
        <v/>
      </c>
      <c r="W260" s="263" t="str">
        <f t="shared" si="71"/>
        <v/>
      </c>
      <c r="X260" s="30"/>
      <c r="Y260" s="264"/>
      <c r="Z260" s="30"/>
      <c r="AA260" s="61"/>
      <c r="AB260" s="62"/>
      <c r="AC260" s="263" t="str">
        <f t="shared" si="72"/>
        <v/>
      </c>
      <c r="AD260" s="263" t="str">
        <f t="shared" si="73"/>
        <v/>
      </c>
      <c r="AE260" s="263" t="str">
        <f t="shared" si="74"/>
        <v/>
      </c>
      <c r="AF260" s="263" t="str">
        <f t="shared" si="75"/>
        <v/>
      </c>
      <c r="AG260" s="263" t="str">
        <f t="shared" si="76"/>
        <v/>
      </c>
      <c r="AH260" s="263" t="str">
        <f t="shared" si="77"/>
        <v/>
      </c>
      <c r="AI260" s="263" t="str">
        <f t="shared" si="78"/>
        <v/>
      </c>
    </row>
    <row r="261" spans="1:35">
      <c r="A261" s="164">
        <v>244</v>
      </c>
      <c r="B261" s="60" t="str">
        <f>IF('Add Change'!D266="","",+'Add Change'!D266)</f>
        <v/>
      </c>
      <c r="C261" s="31" t="str">
        <f>IF('Add Change'!I266="","",+'Add Change'!I266)</f>
        <v/>
      </c>
      <c r="D261" s="253" t="str">
        <f>IF('Add Change'!W266="","",'Add Change'!W266)</f>
        <v/>
      </c>
      <c r="E261" s="31"/>
      <c r="F261" s="70"/>
      <c r="G261" s="253"/>
      <c r="H261" s="254" t="str">
        <f t="shared" si="64"/>
        <v/>
      </c>
      <c r="I261" s="255" t="str">
        <f t="shared" si="65"/>
        <v/>
      </c>
      <c r="J261" s="256"/>
      <c r="K261" s="257"/>
      <c r="L261" s="258" t="str">
        <f t="shared" si="66"/>
        <v/>
      </c>
      <c r="M261" s="259" t="str">
        <f t="shared" si="67"/>
        <v/>
      </c>
      <c r="N261" s="260" t="str">
        <f t="shared" si="63"/>
        <v/>
      </c>
      <c r="O261" s="261" t="str">
        <f t="shared" si="68"/>
        <v/>
      </c>
      <c r="P261" s="262" t="str">
        <f t="shared" si="69"/>
        <v/>
      </c>
      <c r="Q261" s="263" t="str">
        <f t="shared" si="70"/>
        <v/>
      </c>
      <c r="R261" s="263" t="str">
        <f t="shared" si="70"/>
        <v/>
      </c>
      <c r="S261" s="263" t="str">
        <f t="shared" si="70"/>
        <v/>
      </c>
      <c r="T261" s="263" t="str">
        <f t="shared" si="70"/>
        <v/>
      </c>
      <c r="U261" s="263" t="str">
        <f t="shared" si="70"/>
        <v/>
      </c>
      <c r="V261" s="263" t="str">
        <f t="shared" si="70"/>
        <v/>
      </c>
      <c r="W261" s="263" t="str">
        <f t="shared" si="71"/>
        <v/>
      </c>
      <c r="X261" s="30"/>
      <c r="Y261" s="264"/>
      <c r="Z261" s="30"/>
      <c r="AA261" s="61"/>
      <c r="AB261" s="62"/>
      <c r="AC261" s="263" t="str">
        <f t="shared" si="72"/>
        <v/>
      </c>
      <c r="AD261" s="263" t="str">
        <f t="shared" si="73"/>
        <v/>
      </c>
      <c r="AE261" s="263" t="str">
        <f t="shared" si="74"/>
        <v/>
      </c>
      <c r="AF261" s="263" t="str">
        <f t="shared" si="75"/>
        <v/>
      </c>
      <c r="AG261" s="263" t="str">
        <f t="shared" si="76"/>
        <v/>
      </c>
      <c r="AH261" s="263" t="str">
        <f t="shared" si="77"/>
        <v/>
      </c>
      <c r="AI261" s="263" t="str">
        <f t="shared" si="78"/>
        <v/>
      </c>
    </row>
    <row r="262" spans="1:35">
      <c r="A262" s="164">
        <v>245</v>
      </c>
      <c r="B262" s="60" t="str">
        <f>IF('Add Change'!D267="","",+'Add Change'!D267)</f>
        <v/>
      </c>
      <c r="C262" s="31" t="str">
        <f>IF('Add Change'!I267="","",+'Add Change'!I267)</f>
        <v/>
      </c>
      <c r="D262" s="253" t="str">
        <f>IF('Add Change'!W267="","",'Add Change'!W267)</f>
        <v/>
      </c>
      <c r="E262" s="31"/>
      <c r="F262" s="70"/>
      <c r="G262" s="253"/>
      <c r="H262" s="254" t="str">
        <f t="shared" si="64"/>
        <v/>
      </c>
      <c r="I262" s="255" t="str">
        <f t="shared" si="65"/>
        <v/>
      </c>
      <c r="J262" s="256"/>
      <c r="K262" s="257"/>
      <c r="L262" s="258" t="str">
        <f t="shared" si="66"/>
        <v/>
      </c>
      <c r="M262" s="259" t="str">
        <f t="shared" si="67"/>
        <v/>
      </c>
      <c r="N262" s="260" t="str">
        <f t="shared" si="63"/>
        <v/>
      </c>
      <c r="O262" s="261" t="str">
        <f t="shared" si="68"/>
        <v/>
      </c>
      <c r="P262" s="262" t="str">
        <f t="shared" si="69"/>
        <v/>
      </c>
      <c r="Q262" s="263" t="str">
        <f t="shared" si="70"/>
        <v/>
      </c>
      <c r="R262" s="263" t="str">
        <f t="shared" si="70"/>
        <v/>
      </c>
      <c r="S262" s="263" t="str">
        <f t="shared" si="70"/>
        <v/>
      </c>
      <c r="T262" s="263" t="str">
        <f t="shared" si="70"/>
        <v/>
      </c>
      <c r="U262" s="263" t="str">
        <f t="shared" si="70"/>
        <v/>
      </c>
      <c r="V262" s="263" t="str">
        <f t="shared" si="70"/>
        <v/>
      </c>
      <c r="W262" s="263" t="str">
        <f t="shared" si="71"/>
        <v/>
      </c>
      <c r="X262" s="30"/>
      <c r="Y262" s="264"/>
      <c r="Z262" s="30"/>
      <c r="AA262" s="61"/>
      <c r="AB262" s="62"/>
      <c r="AC262" s="263" t="str">
        <f t="shared" si="72"/>
        <v/>
      </c>
      <c r="AD262" s="263" t="str">
        <f t="shared" si="73"/>
        <v/>
      </c>
      <c r="AE262" s="263" t="str">
        <f t="shared" si="74"/>
        <v/>
      </c>
      <c r="AF262" s="263" t="str">
        <f t="shared" si="75"/>
        <v/>
      </c>
      <c r="AG262" s="263" t="str">
        <f t="shared" si="76"/>
        <v/>
      </c>
      <c r="AH262" s="263" t="str">
        <f t="shared" si="77"/>
        <v/>
      </c>
      <c r="AI262" s="263" t="str">
        <f t="shared" si="78"/>
        <v/>
      </c>
    </row>
    <row r="263" spans="1:35">
      <c r="A263" s="164">
        <v>246</v>
      </c>
      <c r="B263" s="60" t="str">
        <f>IF('Add Change'!D268="","",+'Add Change'!D268)</f>
        <v/>
      </c>
      <c r="C263" s="31" t="str">
        <f>IF('Add Change'!I268="","",+'Add Change'!I268)</f>
        <v/>
      </c>
      <c r="D263" s="253" t="str">
        <f>IF('Add Change'!W268="","",'Add Change'!W268)</f>
        <v/>
      </c>
      <c r="E263" s="31"/>
      <c r="F263" s="70"/>
      <c r="G263" s="253"/>
      <c r="H263" s="254" t="str">
        <f t="shared" si="64"/>
        <v/>
      </c>
      <c r="I263" s="255" t="str">
        <f t="shared" si="65"/>
        <v/>
      </c>
      <c r="J263" s="256"/>
      <c r="K263" s="257"/>
      <c r="L263" s="258" t="str">
        <f t="shared" si="66"/>
        <v/>
      </c>
      <c r="M263" s="259" t="str">
        <f t="shared" si="67"/>
        <v/>
      </c>
      <c r="N263" s="260" t="str">
        <f t="shared" si="63"/>
        <v/>
      </c>
      <c r="O263" s="261" t="str">
        <f t="shared" si="68"/>
        <v/>
      </c>
      <c r="P263" s="262" t="str">
        <f t="shared" si="69"/>
        <v/>
      </c>
      <c r="Q263" s="263" t="str">
        <f t="shared" si="70"/>
        <v/>
      </c>
      <c r="R263" s="263" t="str">
        <f t="shared" si="70"/>
        <v/>
      </c>
      <c r="S263" s="263" t="str">
        <f t="shared" si="70"/>
        <v/>
      </c>
      <c r="T263" s="263" t="str">
        <f t="shared" si="70"/>
        <v/>
      </c>
      <c r="U263" s="263" t="str">
        <f t="shared" si="70"/>
        <v/>
      </c>
      <c r="V263" s="263" t="str">
        <f t="shared" si="70"/>
        <v/>
      </c>
      <c r="W263" s="263" t="str">
        <f t="shared" si="71"/>
        <v/>
      </c>
      <c r="X263" s="30"/>
      <c r="Y263" s="264"/>
      <c r="Z263" s="30"/>
      <c r="AA263" s="61"/>
      <c r="AB263" s="62"/>
      <c r="AC263" s="263" t="str">
        <f t="shared" si="72"/>
        <v/>
      </c>
      <c r="AD263" s="263" t="str">
        <f t="shared" si="73"/>
        <v/>
      </c>
      <c r="AE263" s="263" t="str">
        <f t="shared" si="74"/>
        <v/>
      </c>
      <c r="AF263" s="263" t="str">
        <f t="shared" si="75"/>
        <v/>
      </c>
      <c r="AG263" s="263" t="str">
        <f t="shared" si="76"/>
        <v/>
      </c>
      <c r="AH263" s="263" t="str">
        <f t="shared" si="77"/>
        <v/>
      </c>
      <c r="AI263" s="263" t="str">
        <f t="shared" si="78"/>
        <v/>
      </c>
    </row>
    <row r="264" spans="1:35">
      <c r="A264" s="164">
        <v>247</v>
      </c>
      <c r="B264" s="60" t="str">
        <f>IF('Add Change'!D269="","",+'Add Change'!D269)</f>
        <v/>
      </c>
      <c r="C264" s="31" t="str">
        <f>IF('Add Change'!I269="","",+'Add Change'!I269)</f>
        <v/>
      </c>
      <c r="D264" s="253" t="str">
        <f>IF('Add Change'!W269="","",'Add Change'!W269)</f>
        <v/>
      </c>
      <c r="E264" s="31"/>
      <c r="F264" s="70"/>
      <c r="G264" s="253"/>
      <c r="H264" s="254" t="str">
        <f t="shared" si="64"/>
        <v/>
      </c>
      <c r="I264" s="255" t="str">
        <f t="shared" si="65"/>
        <v/>
      </c>
      <c r="J264" s="256"/>
      <c r="K264" s="257"/>
      <c r="L264" s="258" t="str">
        <f t="shared" si="66"/>
        <v/>
      </c>
      <c r="M264" s="259" t="str">
        <f t="shared" si="67"/>
        <v/>
      </c>
      <c r="N264" s="260" t="str">
        <f t="shared" si="63"/>
        <v/>
      </c>
      <c r="O264" s="261" t="str">
        <f t="shared" si="68"/>
        <v/>
      </c>
      <c r="P264" s="262" t="str">
        <f t="shared" si="69"/>
        <v/>
      </c>
      <c r="Q264" s="263" t="str">
        <f t="shared" si="70"/>
        <v/>
      </c>
      <c r="R264" s="263" t="str">
        <f t="shared" si="70"/>
        <v/>
      </c>
      <c r="S264" s="263" t="str">
        <f t="shared" si="70"/>
        <v/>
      </c>
      <c r="T264" s="263" t="str">
        <f t="shared" si="70"/>
        <v/>
      </c>
      <c r="U264" s="263" t="str">
        <f t="shared" si="70"/>
        <v/>
      </c>
      <c r="V264" s="263" t="str">
        <f t="shared" si="70"/>
        <v/>
      </c>
      <c r="W264" s="263" t="str">
        <f t="shared" si="71"/>
        <v/>
      </c>
      <c r="X264" s="30"/>
      <c r="Y264" s="264"/>
      <c r="Z264" s="30"/>
      <c r="AA264" s="61"/>
      <c r="AB264" s="62"/>
      <c r="AC264" s="263" t="str">
        <f t="shared" si="72"/>
        <v/>
      </c>
      <c r="AD264" s="263" t="str">
        <f t="shared" si="73"/>
        <v/>
      </c>
      <c r="AE264" s="263" t="str">
        <f t="shared" si="74"/>
        <v/>
      </c>
      <c r="AF264" s="263" t="str">
        <f t="shared" si="75"/>
        <v/>
      </c>
      <c r="AG264" s="263" t="str">
        <f t="shared" si="76"/>
        <v/>
      </c>
      <c r="AH264" s="263" t="str">
        <f t="shared" si="77"/>
        <v/>
      </c>
      <c r="AI264" s="263" t="str">
        <f t="shared" si="78"/>
        <v/>
      </c>
    </row>
    <row r="265" spans="1:35">
      <c r="A265" s="164">
        <v>248</v>
      </c>
      <c r="B265" s="60" t="str">
        <f>IF('Add Change'!D270="","",+'Add Change'!D270)</f>
        <v/>
      </c>
      <c r="C265" s="31" t="str">
        <f>IF('Add Change'!I270="","",+'Add Change'!I270)</f>
        <v/>
      </c>
      <c r="D265" s="253" t="str">
        <f>IF('Add Change'!W270="","",'Add Change'!W270)</f>
        <v/>
      </c>
      <c r="E265" s="31"/>
      <c r="F265" s="70"/>
      <c r="G265" s="253"/>
      <c r="H265" s="254" t="str">
        <f t="shared" si="64"/>
        <v/>
      </c>
      <c r="I265" s="255" t="str">
        <f t="shared" si="65"/>
        <v/>
      </c>
      <c r="J265" s="256"/>
      <c r="K265" s="257"/>
      <c r="L265" s="258" t="str">
        <f t="shared" si="66"/>
        <v/>
      </c>
      <c r="M265" s="259" t="str">
        <f t="shared" si="67"/>
        <v/>
      </c>
      <c r="N265" s="260" t="str">
        <f t="shared" si="63"/>
        <v/>
      </c>
      <c r="O265" s="261" t="str">
        <f t="shared" si="68"/>
        <v/>
      </c>
      <c r="P265" s="262" t="str">
        <f t="shared" si="69"/>
        <v/>
      </c>
      <c r="Q265" s="263" t="str">
        <f t="shared" si="70"/>
        <v/>
      </c>
      <c r="R265" s="263" t="str">
        <f t="shared" si="70"/>
        <v/>
      </c>
      <c r="S265" s="263" t="str">
        <f t="shared" si="70"/>
        <v/>
      </c>
      <c r="T265" s="263" t="str">
        <f t="shared" si="70"/>
        <v/>
      </c>
      <c r="U265" s="263" t="str">
        <f t="shared" si="70"/>
        <v/>
      </c>
      <c r="V265" s="263" t="str">
        <f t="shared" si="70"/>
        <v/>
      </c>
      <c r="W265" s="263" t="str">
        <f t="shared" si="71"/>
        <v/>
      </c>
      <c r="X265" s="30"/>
      <c r="Y265" s="264"/>
      <c r="Z265" s="30"/>
      <c r="AA265" s="61"/>
      <c r="AB265" s="62"/>
      <c r="AC265" s="263" t="str">
        <f t="shared" si="72"/>
        <v/>
      </c>
      <c r="AD265" s="263" t="str">
        <f t="shared" si="73"/>
        <v/>
      </c>
      <c r="AE265" s="263" t="str">
        <f t="shared" si="74"/>
        <v/>
      </c>
      <c r="AF265" s="263" t="str">
        <f t="shared" si="75"/>
        <v/>
      </c>
      <c r="AG265" s="263" t="str">
        <f t="shared" si="76"/>
        <v/>
      </c>
      <c r="AH265" s="263" t="str">
        <f t="shared" si="77"/>
        <v/>
      </c>
      <c r="AI265" s="263" t="str">
        <f t="shared" si="78"/>
        <v/>
      </c>
    </row>
    <row r="266" spans="1:35">
      <c r="A266" s="164">
        <v>249</v>
      </c>
      <c r="B266" s="60" t="str">
        <f>IF('Add Change'!D271="","",+'Add Change'!D271)</f>
        <v/>
      </c>
      <c r="C266" s="31" t="str">
        <f>IF('Add Change'!I271="","",+'Add Change'!I271)</f>
        <v/>
      </c>
      <c r="D266" s="253" t="str">
        <f>IF('Add Change'!W271="","",'Add Change'!W271)</f>
        <v/>
      </c>
      <c r="E266" s="31"/>
      <c r="F266" s="70"/>
      <c r="G266" s="253"/>
      <c r="H266" s="254" t="str">
        <f t="shared" si="64"/>
        <v/>
      </c>
      <c r="I266" s="255" t="str">
        <f t="shared" si="65"/>
        <v/>
      </c>
      <c r="J266" s="256"/>
      <c r="K266" s="257"/>
      <c r="L266" s="258" t="str">
        <f t="shared" si="66"/>
        <v/>
      </c>
      <c r="M266" s="259" t="str">
        <f t="shared" si="67"/>
        <v/>
      </c>
      <c r="N266" s="260" t="str">
        <f t="shared" si="63"/>
        <v/>
      </c>
      <c r="O266" s="261" t="str">
        <f t="shared" si="68"/>
        <v/>
      </c>
      <c r="P266" s="262" t="str">
        <f t="shared" si="69"/>
        <v/>
      </c>
      <c r="Q266" s="263" t="str">
        <f t="shared" si="70"/>
        <v/>
      </c>
      <c r="R266" s="263" t="str">
        <f t="shared" si="70"/>
        <v/>
      </c>
      <c r="S266" s="263" t="str">
        <f t="shared" si="70"/>
        <v/>
      </c>
      <c r="T266" s="263" t="str">
        <f t="shared" si="70"/>
        <v/>
      </c>
      <c r="U266" s="263" t="str">
        <f t="shared" si="70"/>
        <v/>
      </c>
      <c r="V266" s="263" t="str">
        <f t="shared" si="70"/>
        <v/>
      </c>
      <c r="W266" s="263" t="str">
        <f t="shared" si="71"/>
        <v/>
      </c>
      <c r="X266" s="30"/>
      <c r="Y266" s="264"/>
      <c r="Z266" s="30"/>
      <c r="AA266" s="61"/>
      <c r="AB266" s="62"/>
      <c r="AC266" s="263" t="str">
        <f t="shared" si="72"/>
        <v/>
      </c>
      <c r="AD266" s="263" t="str">
        <f t="shared" si="73"/>
        <v/>
      </c>
      <c r="AE266" s="263" t="str">
        <f t="shared" si="74"/>
        <v/>
      </c>
      <c r="AF266" s="263" t="str">
        <f t="shared" si="75"/>
        <v/>
      </c>
      <c r="AG266" s="263" t="str">
        <f t="shared" si="76"/>
        <v/>
      </c>
      <c r="AH266" s="263" t="str">
        <f t="shared" si="77"/>
        <v/>
      </c>
      <c r="AI266" s="263" t="str">
        <f t="shared" si="78"/>
        <v/>
      </c>
    </row>
    <row r="267" spans="1:35">
      <c r="A267" s="164">
        <v>250</v>
      </c>
      <c r="B267" s="60" t="str">
        <f>IF('Add Change'!D272="","",+'Add Change'!D272)</f>
        <v/>
      </c>
      <c r="C267" s="31" t="str">
        <f>IF('Add Change'!I272="","",+'Add Change'!I272)</f>
        <v/>
      </c>
      <c r="D267" s="253" t="str">
        <f>IF('Add Change'!W272="","",'Add Change'!W272)</f>
        <v/>
      </c>
      <c r="E267" s="31"/>
      <c r="F267" s="70"/>
      <c r="G267" s="253"/>
      <c r="H267" s="254" t="str">
        <f t="shared" si="64"/>
        <v/>
      </c>
      <c r="I267" s="255" t="str">
        <f t="shared" si="65"/>
        <v/>
      </c>
      <c r="J267" s="256"/>
      <c r="K267" s="257"/>
      <c r="L267" s="258" t="str">
        <f t="shared" si="66"/>
        <v/>
      </c>
      <c r="M267" s="259" t="str">
        <f t="shared" si="67"/>
        <v/>
      </c>
      <c r="N267" s="260" t="str">
        <f t="shared" si="63"/>
        <v/>
      </c>
      <c r="O267" s="261" t="str">
        <f t="shared" si="68"/>
        <v/>
      </c>
      <c r="P267" s="262" t="str">
        <f t="shared" si="69"/>
        <v/>
      </c>
      <c r="Q267" s="263" t="str">
        <f t="shared" si="70"/>
        <v/>
      </c>
      <c r="R267" s="263" t="str">
        <f t="shared" si="70"/>
        <v/>
      </c>
      <c r="S267" s="263" t="str">
        <f t="shared" si="70"/>
        <v/>
      </c>
      <c r="T267" s="263" t="str">
        <f t="shared" si="70"/>
        <v/>
      </c>
      <c r="U267" s="263" t="str">
        <f t="shared" si="70"/>
        <v/>
      </c>
      <c r="V267" s="263" t="str">
        <f t="shared" si="70"/>
        <v/>
      </c>
      <c r="W267" s="263" t="str">
        <f t="shared" si="71"/>
        <v/>
      </c>
      <c r="X267" s="30"/>
      <c r="Y267" s="264"/>
      <c r="Z267" s="30"/>
      <c r="AA267" s="61"/>
      <c r="AB267" s="62"/>
      <c r="AC267" s="263" t="str">
        <f t="shared" si="72"/>
        <v/>
      </c>
      <c r="AD267" s="263" t="str">
        <f t="shared" si="73"/>
        <v/>
      </c>
      <c r="AE267" s="263" t="str">
        <f t="shared" si="74"/>
        <v/>
      </c>
      <c r="AF267" s="263" t="str">
        <f t="shared" si="75"/>
        <v/>
      </c>
      <c r="AG267" s="263" t="str">
        <f t="shared" si="76"/>
        <v/>
      </c>
      <c r="AH267" s="263" t="str">
        <f t="shared" si="77"/>
        <v/>
      </c>
      <c r="AI267" s="263" t="str">
        <f t="shared" si="78"/>
        <v/>
      </c>
    </row>
    <row r="268" spans="1:35">
      <c r="A268" s="164" t="s">
        <v>390</v>
      </c>
      <c r="B268" s="164" t="s">
        <v>390</v>
      </c>
      <c r="C268" s="164" t="s">
        <v>390</v>
      </c>
      <c r="D268" s="164" t="s">
        <v>390</v>
      </c>
      <c r="E268" s="164" t="s">
        <v>390</v>
      </c>
      <c r="F268" s="164" t="s">
        <v>390</v>
      </c>
      <c r="G268" s="164" t="s">
        <v>390</v>
      </c>
      <c r="H268" s="164" t="s">
        <v>390</v>
      </c>
      <c r="I268" s="164" t="s">
        <v>390</v>
      </c>
      <c r="J268" s="164" t="s">
        <v>390</v>
      </c>
      <c r="K268" s="164" t="s">
        <v>390</v>
      </c>
      <c r="L268" s="164" t="s">
        <v>390</v>
      </c>
      <c r="M268" s="164" t="s">
        <v>390</v>
      </c>
      <c r="N268" s="164" t="s">
        <v>390</v>
      </c>
      <c r="O268" s="164" t="s">
        <v>390</v>
      </c>
      <c r="P268" s="164" t="s">
        <v>390</v>
      </c>
      <c r="Q268" s="164" t="s">
        <v>390</v>
      </c>
      <c r="R268" s="164" t="s">
        <v>390</v>
      </c>
      <c r="S268" s="164" t="s">
        <v>390</v>
      </c>
      <c r="T268" s="164" t="s">
        <v>390</v>
      </c>
      <c r="U268" s="164" t="s">
        <v>390</v>
      </c>
      <c r="V268" s="164" t="s">
        <v>390</v>
      </c>
      <c r="W268" s="164" t="s">
        <v>390</v>
      </c>
      <c r="X268" s="164" t="s">
        <v>390</v>
      </c>
      <c r="Y268" s="164" t="s">
        <v>390</v>
      </c>
      <c r="Z268" s="164" t="s">
        <v>390</v>
      </c>
      <c r="AA268" s="164" t="s">
        <v>390</v>
      </c>
      <c r="AB268" s="164" t="s">
        <v>390</v>
      </c>
      <c r="AC268" s="164" t="s">
        <v>390</v>
      </c>
      <c r="AD268" s="164" t="s">
        <v>390</v>
      </c>
      <c r="AE268" s="164" t="s">
        <v>390</v>
      </c>
      <c r="AF268" s="164" t="s">
        <v>390</v>
      </c>
      <c r="AG268" s="164" t="s">
        <v>390</v>
      </c>
      <c r="AH268" s="164" t="s">
        <v>390</v>
      </c>
      <c r="AI268" s="164" t="s">
        <v>390</v>
      </c>
    </row>
  </sheetData>
  <mergeCells count="21">
    <mergeCell ref="Q8:R8"/>
    <mergeCell ref="AC2:AD2"/>
    <mergeCell ref="AC4:AD4"/>
    <mergeCell ref="AC16:AH16"/>
    <mergeCell ref="Q16:V16"/>
    <mergeCell ref="S10:T10"/>
    <mergeCell ref="V8:W8"/>
    <mergeCell ref="AB12:AC12"/>
    <mergeCell ref="E1:I1"/>
    <mergeCell ref="V2:W2"/>
    <mergeCell ref="V4:W4"/>
    <mergeCell ref="V6:W6"/>
    <mergeCell ref="Q6:R6"/>
    <mergeCell ref="Q2:R2"/>
    <mergeCell ref="Q4:R4"/>
    <mergeCell ref="E12:G12"/>
    <mergeCell ref="E14:G14"/>
    <mergeCell ref="S9:U9"/>
    <mergeCell ref="K14:L14"/>
    <mergeCell ref="K12:L12"/>
    <mergeCell ref="K13:L13"/>
  </mergeCells>
  <phoneticPr fontId="0" type="noConversion"/>
  <conditionalFormatting sqref="W13">
    <cfRule type="cellIs" dxfId="0" priority="1" stopIfTrue="1" operator="notEqual">
      <formula>$W$14</formula>
    </cfRule>
  </conditionalFormatting>
  <dataValidations xWindow="687" yWindow="207" count="36">
    <dataValidation type="decimal" operator="greaterThan" allowBlank="1" errorTitle="Units per Store per Month" promptTitle="Units per Store per Month" prompt="Auto calculated field. Enter what an average store would sell per store per month." sqref="H18:I267">
      <formula1>0</formula1>
    </dataValidation>
    <dataValidation allowBlank="1" errorTitle="Yearly forecast" promptTitle="Yearly forecast" prompt="This is an Auto calculated field.  Enter the Forecasted Company Regular Unit Sales for New SKU." sqref="M18:N267"/>
    <dataValidation allowBlank="1" promptTitle="DC 1" prompt="This is an Auto calculated field.  Enter the Forecasted DC 1 Regular Unit Sales for New SKU." sqref="Q18:W267"/>
    <dataValidation allowBlank="1" promptTitle="Total Retail" prompt="This is an Auto calculated field." sqref="P18:P267"/>
    <dataValidation type="whole" allowBlank="1" showErrorMessage="1" errorTitle="Facings" error="A number between 1 and 100" promptTitle="Facings" prompt="Enter the number of facings on POG the new sku is located." sqref="X18:Y267">
      <formula1>1</formula1>
      <formula2>100</formula2>
    </dataValidation>
    <dataValidation type="whole" operator="greaterThan" allowBlank="1" promptTitle="Inner Pack" prompt="This is an Auto calculated field.  Enter the Inner pack of the new sku." sqref="AA18:AA267">
      <formula1>1</formula1>
    </dataValidation>
    <dataValidation type="whole" operator="greaterThan" allowBlank="1" promptTitle="Initial Split Qty per Store" prompt="This is an Auto calculated field.  Enter the POG Set Qty for an average store." sqref="AB18:AB267">
      <formula1>1</formula1>
    </dataValidation>
    <dataValidation allowBlank="1" promptTitle="DC 1" prompt="This is an Auto calculated field.  Enter the Total POG Set Qty for all stores in DC 1." sqref="AC18:AH267"/>
    <dataValidation allowBlank="1" promptTitle="Total" prompt="This is an Auto calculated field." sqref="AI18:AI267"/>
    <dataValidation type="textLength" allowBlank="1" showErrorMessage="1" errorTitle="Item Description" error="Check the number of Characters in the  item description.  Limited to 30 Characters." promptTitle="Item Description" prompt="Enter the Description of the Like SKU." sqref="F18:F267">
      <formula1>1</formula1>
      <formula2>30</formula2>
    </dataValidation>
    <dataValidation type="decimal" operator="greaterThan" allowBlank="1" errorTitle="Like Item Sales last 52 Weeks" promptTitle="Like Item Sales last 52 Weeks" prompt="Enter the Regular Unit Sales for the last 52 weeks." sqref="L18:L267">
      <formula1>0</formula1>
    </dataValidation>
    <dataValidation type="decimal" operator="greaterThan" allowBlank="1" promptTitle="Like Item Retail" prompt="Enter the U.S. Retail for Like SKU." sqref="J18:J267 G18:G267">
      <formula1>0</formula1>
    </dataValidation>
    <dataValidation type="date" allowBlank="1" showInputMessage="1" showErrorMessage="1" errorTitle="POG Completion Date" error="The date must be greater than today’s date and less than today’s date plus 360 days." promptTitle="POG Completion Date" prompt="Enter the date which the POG will be completed." sqref="Q4">
      <formula1>NOW()</formula1>
      <formula2>NOW()+360</formula2>
    </dataValidation>
    <dataValidation type="date" allowBlank="1" showInputMessage="1" showErrorMessage="1" errorTitle="POG Exit Date" error="Date must be greater than today and less than today plus 360." promptTitle="POG Exit Date" prompt="Enter the date the POG will exit." sqref="Q8">
      <formula1>NOW()-30</formula1>
      <formula2>NOW()+364</formula2>
    </dataValidation>
    <dataValidation showInputMessage="1" errorTitle="Event Code" error="You must select one from the list." promptTitle="Event Code" prompt="Type in the event code or place &quot;N/A&quot; in the cell if no event is involved." sqref="Q6"/>
    <dataValidation type="date" allowBlank="1" showInputMessage="1" showErrorMessage="1" errorTitle="POG Set Date" error="Date has to be greater than today minus 1 and less than toady plus 360." promptTitle="POG Set Date" prompt="Enter the POG Start date." sqref="Q2">
      <formula1>NOW()-1</formula1>
      <formula2>NOW()+360</formula2>
    </dataValidation>
    <dataValidation type="date" allowBlank="1" showInputMessage="1" errorTitle="Arrival Date" promptTitle="Arrival Date" prompt="6 wk. prior to POG comp date. This is an auto fill field.  If this field is blank, enter the date in the Comp Date field." sqref="V6">
      <formula1>NOW()-1</formula1>
      <formula2>NOW()+364</formula2>
    </dataValidation>
    <dataValidation type="date" allowBlank="1" showInputMessage="1" showErrorMessage="1" errorTitle="Cancel Date" error="Date between now and now + 360 days" promptTitle="Cancel Date" prompt="Enter the Cancel date of the PO." sqref="V4">
      <formula1>NOW()</formula1>
      <formula2>NOW()+360</formula2>
    </dataValidation>
    <dataValidation type="date" allowBlank="1" showInputMessage="1" errorTitle="Arrival Date" promptTitle="Auto On Date" prompt="25 days. prior to POG Start date. This is an auto fill field.  If this field is blank." sqref="V8:W8">
      <formula1>NOW()-1</formula1>
      <formula2>NOW()+364</formula2>
    </dataValidation>
    <dataValidation type="date" allowBlank="1" showInputMessage="1" showErrorMessage="1" errorTitle="Hold out Begin Date" error="Enter a date between today's date and one less than 60 days from now." promptTitle="Hold out Begin Date" prompt="Enter the date used to enter Hold Out Plans into E3 - Today's date." sqref="AC2">
      <formula1>NOW()-1</formula1>
      <formula2>NOW()+60</formula2>
    </dataValidation>
    <dataValidation type="date" allowBlank="1" showInputMessage="1" errorTitle="Arrival Date" promptTitle="Hold Out End Date" prompt="Friday prior to SLIM Auto On Date. This is an auto fill field." sqref="AC4:AD4">
      <formula1>NOW()-1</formula1>
      <formula2>NOW()+364</formula2>
    </dataValidation>
    <dataValidation allowBlank="1" showInputMessage="1" promptTitle="Minimums" prompt="Enter the Dollar or Unit minimums to place an order." sqref="C10"/>
    <dataValidation type="whole" allowBlank="1" showInputMessage="1" showErrorMessage="1" errorTitle="Stores in DC 1" error="We don't have that many Stores in this DC." promptTitle="Stores in DC 1" prompt="Enter the number of stores attached to this DC." sqref="Q13">
      <formula1>0</formula1>
      <formula2>1400</formula2>
    </dataValidation>
    <dataValidation type="whole" allowBlank="1" showInputMessage="1" showErrorMessage="1" errorTitle="Stores in DC 4" error="We don't have that many Stores in this DC." promptTitle="Stores in DC 4" prompt="Enter the number of stores attached to this DC." sqref="S13">
      <formula1>0</formula1>
      <formula2>1400</formula2>
    </dataValidation>
    <dataValidation type="whole" allowBlank="1" showInputMessage="1" showErrorMessage="1" errorTitle="Stores in DC 7" error="We don't have that many Stores in this DC." promptTitle="Stores in DC 7" prompt="Enter the number of stores attached to this DC." sqref="T13">
      <formula1>0</formula1>
      <formula2>1400</formula2>
    </dataValidation>
    <dataValidation type="whole" allowBlank="1" showInputMessage="1" showErrorMessage="1" errorTitle="Stores in DC 8" error="We don't have that many Stores in this DC." promptTitle="Stores in DC 8" prompt="Enter the number of stores attached to this DC." sqref="U13">
      <formula1>0</formula1>
      <formula2>1400</formula2>
    </dataValidation>
    <dataValidation type="whole" allowBlank="1" showInputMessage="1" promptTitle="Total Stores" prompt="This is a auto fill field." sqref="Y13">
      <formula1>0</formula1>
      <formula2>1200</formula2>
    </dataValidation>
    <dataValidation type="whole" allowBlank="1" showInputMessage="1" showErrorMessage="1" errorTitle="Stores in DC 9" error="We don't have that many Stores in this DC." promptTitle="Stores in DC 9" prompt="Enter the number of stores attached to this DC." sqref="V13">
      <formula1>0</formula1>
      <formula2>1400</formula2>
    </dataValidation>
    <dataValidation type="whole" allowBlank="1" showInputMessage="1" showErrorMessage="1" errorTitle="Stores in DC 2" error="We don't have that many Stores in this DC." promptTitle="Stores in DC 2" prompt="Enter the number of stores attached to this DC." sqref="R13">
      <formula1>0</formula1>
      <formula2>1400</formula2>
    </dataValidation>
    <dataValidation allowBlank="1" showInputMessage="1" promptTitle="Vendor Number" prompt="This is an auto fill field." sqref="C2"/>
    <dataValidation allowBlank="1" showInputMessage="1" promptTitle="Vendor Name" prompt="This is an auto fill field." sqref="C4"/>
    <dataValidation allowBlank="1" showInputMessage="1" promptTitle="LOG ID" prompt="Auto-filled from Spedy." sqref="C6"/>
    <dataValidation allowBlank="1" showInputMessage="1" promptTitle="MA Approval" prompt="This is a required field for the Merchandise Analysts Signature." sqref="E12"/>
    <dataValidation allowBlank="1" showInputMessage="1" promptTitle="RS Approval" prompt="This is a required field for the Replenishment Supervisor Signature." sqref="E14"/>
    <dataValidation type="whole" allowBlank="1" showInputMessage="1" promptTitle="Total Stores" prompt="Key Store Count for New SKUs." sqref="W13">
      <formula1>0</formula1>
      <formula2>1400</formula2>
    </dataValidation>
    <dataValidation allowBlank="1" showInputMessage="1" showErrorMessage="1" promptTitle="Total Store Count" prompt="Sum of Stores by DC, Should equal Keyed Store Count for New SKU." sqref="W14"/>
  </dataValidations>
  <pageMargins left="0.2" right="0.21" top="0.36" bottom="0.52" header="0.5" footer="0.3"/>
  <pageSetup paperSize="5" scale="41" fitToHeight="0" orientation="landscape" r:id="rId1"/>
  <headerFooter alignWithMargins="0">
    <oddFooter>&amp;L&amp;F &amp;A&amp;C&amp;P of &amp;N&amp;R&amp;D &amp;T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2" r:id="rId4" name="calculate_options">
              <controlPr defaultSize="0" autoLine="0" autoPict="0">
                <anchor moveWithCells="1">
                  <from>
                    <xdr:col>4</xdr:col>
                    <xdr:colOff>409575</xdr:colOff>
                    <xdr:row>3</xdr:row>
                    <xdr:rowOff>142875</xdr:rowOff>
                  </from>
                  <to>
                    <xdr:col>7</xdr:col>
                    <xdr:colOff>762000</xdr:colOff>
                    <xdr:row>4</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zoomScale="50" workbookViewId="0"/>
  </sheetViews>
  <sheetFormatPr defaultRowHeight="15"/>
  <cols>
    <col min="1" max="16384" width="8.88671875" style="32"/>
  </cols>
  <sheetData/>
  <phoneticPr fontId="33"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8</vt:i4>
      </vt:variant>
    </vt:vector>
  </HeadingPairs>
  <TitlesOfParts>
    <vt:vector size="9" baseType="lpstr">
      <vt:lpstr>00-Securtiy</vt:lpstr>
      <vt:lpstr>Hazardous</vt:lpstr>
      <vt:lpstr>'Add Change'!Print_Area</vt:lpstr>
      <vt:lpstr>'Like Item'!Print_Area</vt:lpstr>
      <vt:lpstr>'Add Change'!Print_Titles</vt:lpstr>
      <vt:lpstr>'Like Item'!Print_Titles</vt:lpstr>
      <vt:lpstr>retail</vt:lpstr>
      <vt:lpstr>'00-Securtiy'!Version</vt:lpstr>
      <vt:lpstr>Version</vt:lpstr>
    </vt:vector>
  </TitlesOfParts>
  <Manager>DBC \ POE</Manager>
  <Company>Michaels Stores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Forms Consolidation</dc:title>
  <dc:creator>Ron Brack</dc:creator>
  <cp:lastModifiedBy>Ron Brack</cp:lastModifiedBy>
  <cp:lastPrinted>2012-05-31T14:59:06Z</cp:lastPrinted>
  <dcterms:created xsi:type="dcterms:W3CDTF">1999-06-07T17:28:34Z</dcterms:created>
  <dcterms:modified xsi:type="dcterms:W3CDTF">2012-09-26T12:53:40Z</dcterms:modified>
</cp:coreProperties>
</file>